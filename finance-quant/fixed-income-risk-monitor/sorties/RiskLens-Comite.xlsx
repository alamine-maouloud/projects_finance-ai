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l-aminemaouloud/Desktop/RiskLens-Python/sorties/"/>
    </mc:Choice>
  </mc:AlternateContent>
  <xr:revisionPtr revIDLastSave="0" documentId="11_7A0CA9E73BB3009B23F521326C069E0580E5194D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Comité" sheetId="1" r:id="rId1"/>
    <sheet name="Paramètres" sheetId="2" r:id="rId2"/>
    <sheet name="Positions" sheetId="3" r:id="rId3"/>
    <sheet name="Calculs" sheetId="4" r:id="rId4"/>
    <sheet name="Historique" sheetId="5" r:id="rId5"/>
    <sheet name="Flux" sheetId="6" r:id="rId6"/>
    <sheet name="Backtest" sheetId="7" r:id="rId7"/>
    <sheet name="Contrôles" sheetId="8" r:id="rId8"/>
    <sheet name="Inventaire" sheetId="9" r:id="rId9"/>
    <sheet name="Émetteurs" sheetId="10" r:id="rId10"/>
    <sheet name="Sources" sheetId="11" r:id="rId11"/>
  </sheets>
  <definedNames>
    <definedName name="RL_Actif_Net">Paramètres!$C$19</definedName>
    <definedName name="RL_Age_Prix">Paramètres!$C$12</definedName>
    <definedName name="RL_Choc_Spread">Paramètres!$C$8</definedName>
    <definedName name="RL_Choc_Taux">Paramètres!$C$7</definedName>
    <definedName name="RL_Confiance">Paramètres!$C$6</definedName>
    <definedName name="RL_Date">Paramètres!$C$18</definedName>
    <definedName name="RL_Ecart_Contributions">Contrôles!$C$8</definedName>
    <definedName name="RL_ES_Apres">Comité!$D$10</definedName>
    <definedName name="RL_ES_Initial">Comité!$C$10</definedName>
    <definedName name="RL_Horodatage">Contrôles!$C$13</definedName>
    <definedName name="RL_ISIN_Vente">Paramètres!$C$9</definedName>
    <definedName name="RL_Liste_ISIN">Positions!$B$7:$B$173</definedName>
    <definedName name="RL_Montant_Vente">Paramètres!$C$10</definedName>
    <definedName name="RL_NAV">Positions!$J$175</definedName>
    <definedName name="RL_Poids_Apres">Positions!$U$7:$U$174</definedName>
    <definedName name="RL_Sensibilite_Spread">Positions!$AF$7:$AF$174</definedName>
    <definedName name="RL_Sensibilites">Positions!$M$7:$O$174</definedName>
    <definedName name="RL_Seuil_Cumul_40">Paramètres!$C$16</definedName>
    <definedName name="RL_Seuil_Emetteur_10">Paramètres!$C$15</definedName>
    <definedName name="RL_Seuil_Emetteur_5">Paramètres!$C$14</definedName>
    <definedName name="RL_Seuil_Ligne">Paramètres!$C$13</definedName>
    <definedName name="RL_Spread_Revue">Paramètres!$C$11</definedName>
    <definedName name="RL_Statut_VBA">Contrôles!$E$13</definedName>
    <definedName name="RL_Tableau_Positions">Positions!$B$6:$AC$174</definedName>
    <definedName name="RL_Valide">Paramètres!$C$20</definedName>
    <definedName name="RL_VaR_Apres">Comité!$D$9</definedName>
    <definedName name="RL_VaR_Initial">Comité!$C$9</definedName>
    <definedName name="RL_Variations">Historique!$D$7:$G$1006</definedName>
    <definedName name="RL_Zone_Comite">Comité!$B$2:$H$45</definedName>
    <definedName name="_xlnm.Print_Area" localSheetId="0">Comité!$B$2:$H$45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10" l="1"/>
  <c r="D151" i="10" s="1"/>
  <c r="C150" i="10"/>
  <c r="D150" i="10" s="1"/>
  <c r="C149" i="10"/>
  <c r="D149" i="10" s="1"/>
  <c r="C148" i="10"/>
  <c r="D148" i="10" s="1"/>
  <c r="G148" i="10" s="1"/>
  <c r="C147" i="10"/>
  <c r="D147" i="10" s="1"/>
  <c r="G147" i="10" s="1"/>
  <c r="C146" i="10"/>
  <c r="D146" i="10" s="1"/>
  <c r="G146" i="10" s="1"/>
  <c r="C145" i="10"/>
  <c r="D145" i="10" s="1"/>
  <c r="G145" i="10" s="1"/>
  <c r="C144" i="10"/>
  <c r="D144" i="10" s="1"/>
  <c r="G144" i="10" s="1"/>
  <c r="C143" i="10"/>
  <c r="D143" i="10" s="1"/>
  <c r="G143" i="10" s="1"/>
  <c r="C142" i="10"/>
  <c r="D142" i="10" s="1"/>
  <c r="G142" i="10" s="1"/>
  <c r="C141" i="10"/>
  <c r="D141" i="10" s="1"/>
  <c r="G141" i="10" s="1"/>
  <c r="C140" i="10"/>
  <c r="D140" i="10" s="1"/>
  <c r="G140" i="10" s="1"/>
  <c r="C139" i="10"/>
  <c r="D139" i="10" s="1"/>
  <c r="G139" i="10" s="1"/>
  <c r="C138" i="10"/>
  <c r="D138" i="10" s="1"/>
  <c r="G138" i="10" s="1"/>
  <c r="C137" i="10"/>
  <c r="D137" i="10" s="1"/>
  <c r="G137" i="10" s="1"/>
  <c r="C136" i="10"/>
  <c r="D136" i="10" s="1"/>
  <c r="G136" i="10" s="1"/>
  <c r="C135" i="10"/>
  <c r="D135" i="10" s="1"/>
  <c r="G135" i="10" s="1"/>
  <c r="C134" i="10"/>
  <c r="D134" i="10" s="1"/>
  <c r="G134" i="10" s="1"/>
  <c r="C133" i="10"/>
  <c r="D133" i="10" s="1"/>
  <c r="G133" i="10" s="1"/>
  <c r="C132" i="10"/>
  <c r="D132" i="10" s="1"/>
  <c r="G132" i="10" s="1"/>
  <c r="C131" i="10"/>
  <c r="D131" i="10" s="1"/>
  <c r="G131" i="10" s="1"/>
  <c r="C130" i="10"/>
  <c r="D130" i="10" s="1"/>
  <c r="G130" i="10" s="1"/>
  <c r="C129" i="10"/>
  <c r="D129" i="10" s="1"/>
  <c r="G129" i="10" s="1"/>
  <c r="C128" i="10"/>
  <c r="D128" i="10" s="1"/>
  <c r="G128" i="10" s="1"/>
  <c r="C127" i="10"/>
  <c r="D127" i="10" s="1"/>
  <c r="G127" i="10" s="1"/>
  <c r="C126" i="10"/>
  <c r="D126" i="10" s="1"/>
  <c r="G126" i="10" s="1"/>
  <c r="C125" i="10"/>
  <c r="D125" i="10" s="1"/>
  <c r="G125" i="10" s="1"/>
  <c r="C124" i="10"/>
  <c r="D124" i="10" s="1"/>
  <c r="G124" i="10" s="1"/>
  <c r="C123" i="10"/>
  <c r="D123" i="10" s="1"/>
  <c r="C122" i="10"/>
  <c r="D122" i="10" s="1"/>
  <c r="G122" i="10" s="1"/>
  <c r="C121" i="10"/>
  <c r="D121" i="10" s="1"/>
  <c r="G121" i="10" s="1"/>
  <c r="C120" i="10"/>
  <c r="D120" i="10" s="1"/>
  <c r="G120" i="10" s="1"/>
  <c r="C119" i="10"/>
  <c r="D119" i="10" s="1"/>
  <c r="G119" i="10" s="1"/>
  <c r="C118" i="10"/>
  <c r="D118" i="10" s="1"/>
  <c r="C117" i="10"/>
  <c r="D117" i="10" s="1"/>
  <c r="G117" i="10" s="1"/>
  <c r="C116" i="10"/>
  <c r="D116" i="10" s="1"/>
  <c r="C115" i="10"/>
  <c r="D115" i="10" s="1"/>
  <c r="G115" i="10" s="1"/>
  <c r="C114" i="10"/>
  <c r="D114" i="10" s="1"/>
  <c r="G114" i="10" s="1"/>
  <c r="C113" i="10"/>
  <c r="D113" i="10" s="1"/>
  <c r="C112" i="10"/>
  <c r="D112" i="10" s="1"/>
  <c r="C111" i="10"/>
  <c r="D111" i="10" s="1"/>
  <c r="C110" i="10"/>
  <c r="D110" i="10" s="1"/>
  <c r="G110" i="10" s="1"/>
  <c r="C109" i="10"/>
  <c r="D109" i="10" s="1"/>
  <c r="G109" i="10" s="1"/>
  <c r="C108" i="10"/>
  <c r="D108" i="10" s="1"/>
  <c r="C107" i="10"/>
  <c r="D107" i="10" s="1"/>
  <c r="C106" i="10"/>
  <c r="D106" i="10" s="1"/>
  <c r="C105" i="10"/>
  <c r="D105" i="10" s="1"/>
  <c r="G105" i="10" s="1"/>
  <c r="C104" i="10"/>
  <c r="D104" i="10" s="1"/>
  <c r="G104" i="10" s="1"/>
  <c r="C103" i="10"/>
  <c r="D103" i="10" s="1"/>
  <c r="C102" i="10"/>
  <c r="D102" i="10" s="1"/>
  <c r="C101" i="10"/>
  <c r="D101" i="10" s="1"/>
  <c r="C100" i="10"/>
  <c r="D100" i="10" s="1"/>
  <c r="G100" i="10" s="1"/>
  <c r="C99" i="10"/>
  <c r="D99" i="10" s="1"/>
  <c r="G99" i="10" s="1"/>
  <c r="C98" i="10"/>
  <c r="D98" i="10" s="1"/>
  <c r="C97" i="10"/>
  <c r="D97" i="10" s="1"/>
  <c r="C96" i="10"/>
  <c r="D96" i="10" s="1"/>
  <c r="C95" i="10"/>
  <c r="D95" i="10" s="1"/>
  <c r="G95" i="10" s="1"/>
  <c r="C94" i="10"/>
  <c r="D94" i="10" s="1"/>
  <c r="G94" i="10" s="1"/>
  <c r="C93" i="10"/>
  <c r="D93" i="10" s="1"/>
  <c r="C92" i="10"/>
  <c r="D92" i="10" s="1"/>
  <c r="C91" i="10"/>
  <c r="D91" i="10" s="1"/>
  <c r="C90" i="10"/>
  <c r="D90" i="10" s="1"/>
  <c r="G90" i="10" s="1"/>
  <c r="C89" i="10"/>
  <c r="D89" i="10" s="1"/>
  <c r="C88" i="10"/>
  <c r="D88" i="10" s="1"/>
  <c r="C87" i="10"/>
  <c r="D87" i="10" s="1"/>
  <c r="C86" i="10"/>
  <c r="D86" i="10" s="1"/>
  <c r="C85" i="10"/>
  <c r="D85" i="10" s="1"/>
  <c r="C84" i="10"/>
  <c r="D84" i="10" s="1"/>
  <c r="C83" i="10"/>
  <c r="D83" i="10" s="1"/>
  <c r="C82" i="10"/>
  <c r="D82" i="10" s="1"/>
  <c r="C81" i="10"/>
  <c r="D81" i="10" s="1"/>
  <c r="C80" i="10"/>
  <c r="D80" i="10" s="1"/>
  <c r="C79" i="10"/>
  <c r="D79" i="10" s="1"/>
  <c r="C78" i="10"/>
  <c r="D78" i="10" s="1"/>
  <c r="C77" i="10"/>
  <c r="D77" i="10" s="1"/>
  <c r="C76" i="10"/>
  <c r="D76" i="10" s="1"/>
  <c r="C75" i="10"/>
  <c r="D75" i="10" s="1"/>
  <c r="C74" i="10"/>
  <c r="D74" i="10" s="1"/>
  <c r="C73" i="10"/>
  <c r="D73" i="10" s="1"/>
  <c r="C72" i="10"/>
  <c r="D72" i="10" s="1"/>
  <c r="C71" i="10"/>
  <c r="D71" i="10" s="1"/>
  <c r="C70" i="10"/>
  <c r="D70" i="10" s="1"/>
  <c r="C69" i="10"/>
  <c r="D69" i="10" s="1"/>
  <c r="C68" i="10"/>
  <c r="D68" i="10" s="1"/>
  <c r="C67" i="10"/>
  <c r="D67" i="10" s="1"/>
  <c r="C66" i="10"/>
  <c r="D66" i="10" s="1"/>
  <c r="C65" i="10"/>
  <c r="D65" i="10" s="1"/>
  <c r="C64" i="10"/>
  <c r="D64" i="10" s="1"/>
  <c r="C63" i="10"/>
  <c r="D63" i="10" s="1"/>
  <c r="C62" i="10"/>
  <c r="D62" i="10" s="1"/>
  <c r="C61" i="10"/>
  <c r="D61" i="10" s="1"/>
  <c r="C60" i="10"/>
  <c r="D60" i="10" s="1"/>
  <c r="C59" i="10"/>
  <c r="D59" i="10" s="1"/>
  <c r="C58" i="10"/>
  <c r="D58" i="10" s="1"/>
  <c r="C57" i="10"/>
  <c r="D57" i="10" s="1"/>
  <c r="C56" i="10"/>
  <c r="D56" i="10" s="1"/>
  <c r="C55" i="10"/>
  <c r="D55" i="10" s="1"/>
  <c r="C54" i="10"/>
  <c r="D54" i="10" s="1"/>
  <c r="C53" i="10"/>
  <c r="D53" i="10" s="1"/>
  <c r="C52" i="10"/>
  <c r="D52" i="10" s="1"/>
  <c r="C51" i="10"/>
  <c r="D51" i="10" s="1"/>
  <c r="C50" i="10"/>
  <c r="D50" i="10" s="1"/>
  <c r="C49" i="10"/>
  <c r="D49" i="10" s="1"/>
  <c r="C48" i="10"/>
  <c r="D48" i="10" s="1"/>
  <c r="C47" i="10"/>
  <c r="D47" i="10" s="1"/>
  <c r="C46" i="10"/>
  <c r="D46" i="10" s="1"/>
  <c r="C45" i="10"/>
  <c r="D45" i="10" s="1"/>
  <c r="C44" i="10"/>
  <c r="D44" i="10" s="1"/>
  <c r="C43" i="10"/>
  <c r="D43" i="10" s="1"/>
  <c r="C42" i="10"/>
  <c r="D42" i="10" s="1"/>
  <c r="C41" i="10"/>
  <c r="D41" i="10" s="1"/>
  <c r="C40" i="10"/>
  <c r="D40" i="10" s="1"/>
  <c r="C39" i="10"/>
  <c r="D39" i="10" s="1"/>
  <c r="C38" i="10"/>
  <c r="D38" i="10" s="1"/>
  <c r="C37" i="10"/>
  <c r="D37" i="10" s="1"/>
  <c r="C36" i="10"/>
  <c r="D36" i="10" s="1"/>
  <c r="C35" i="10"/>
  <c r="D35" i="10" s="1"/>
  <c r="C34" i="10"/>
  <c r="D34" i="10" s="1"/>
  <c r="C33" i="10"/>
  <c r="D33" i="10" s="1"/>
  <c r="C32" i="10"/>
  <c r="D32" i="10" s="1"/>
  <c r="C31" i="10"/>
  <c r="D31" i="10" s="1"/>
  <c r="C30" i="10"/>
  <c r="D30" i="10" s="1"/>
  <c r="C29" i="10"/>
  <c r="D29" i="10" s="1"/>
  <c r="C28" i="10"/>
  <c r="D28" i="10" s="1"/>
  <c r="C27" i="10"/>
  <c r="D27" i="10" s="1"/>
  <c r="C26" i="10"/>
  <c r="D26" i="10" s="1"/>
  <c r="C25" i="10"/>
  <c r="D25" i="10" s="1"/>
  <c r="C24" i="10"/>
  <c r="D24" i="10" s="1"/>
  <c r="C23" i="10"/>
  <c r="D23" i="10" s="1"/>
  <c r="C22" i="10"/>
  <c r="D22" i="10" s="1"/>
  <c r="C21" i="10"/>
  <c r="D21" i="10" s="1"/>
  <c r="C20" i="10"/>
  <c r="D20" i="10" s="1"/>
  <c r="C19" i="10"/>
  <c r="D19" i="10" s="1"/>
  <c r="C18" i="10"/>
  <c r="D18" i="10" s="1"/>
  <c r="C17" i="10"/>
  <c r="D17" i="10" s="1"/>
  <c r="C16" i="10"/>
  <c r="D16" i="10" s="1"/>
  <c r="C15" i="10"/>
  <c r="D15" i="10" s="1"/>
  <c r="C14" i="10"/>
  <c r="D14" i="10" s="1"/>
  <c r="C13" i="10"/>
  <c r="D13" i="10" s="1"/>
  <c r="D12" i="10"/>
  <c r="C12" i="10"/>
  <c r="C11" i="10"/>
  <c r="D11" i="10" s="1"/>
  <c r="D10" i="10"/>
  <c r="C10" i="10"/>
  <c r="C9" i="10"/>
  <c r="D9" i="10" s="1"/>
  <c r="C8" i="10"/>
  <c r="D8" i="10" s="1"/>
  <c r="G7" i="10"/>
  <c r="F7" i="10"/>
  <c r="C7" i="10"/>
  <c r="D7" i="10" s="1"/>
  <c r="V175" i="9"/>
  <c r="T175" i="9"/>
  <c r="S175" i="9"/>
  <c r="R175" i="9"/>
  <c r="Q175" i="9"/>
  <c r="U175" i="9" s="1"/>
  <c r="V174" i="9"/>
  <c r="U174" i="9"/>
  <c r="T174" i="9"/>
  <c r="S174" i="9"/>
  <c r="R174" i="9"/>
  <c r="W174" i="9" s="1"/>
  <c r="X174" i="9" s="1"/>
  <c r="Q174" i="9"/>
  <c r="V173" i="9"/>
  <c r="U173" i="9"/>
  <c r="W173" i="9" s="1"/>
  <c r="X173" i="9" s="1"/>
  <c r="T173" i="9"/>
  <c r="S173" i="9"/>
  <c r="R173" i="9"/>
  <c r="Q173" i="9"/>
  <c r="V172" i="9"/>
  <c r="T172" i="9"/>
  <c r="S172" i="9"/>
  <c r="R172" i="9"/>
  <c r="Q172" i="9"/>
  <c r="U172" i="9" s="1"/>
  <c r="V171" i="9"/>
  <c r="W171" i="9" s="1"/>
  <c r="X171" i="9" s="1"/>
  <c r="U171" i="9"/>
  <c r="T171" i="9"/>
  <c r="S171" i="9"/>
  <c r="R171" i="9"/>
  <c r="Q171" i="9"/>
  <c r="V170" i="9"/>
  <c r="T170" i="9"/>
  <c r="S170" i="9"/>
  <c r="W170" i="9" s="1"/>
  <c r="X170" i="9" s="1"/>
  <c r="R170" i="9"/>
  <c r="Q170" i="9"/>
  <c r="U170" i="9" s="1"/>
  <c r="V169" i="9"/>
  <c r="T169" i="9"/>
  <c r="S169" i="9"/>
  <c r="R169" i="9"/>
  <c r="Q169" i="9"/>
  <c r="U169" i="9" s="1"/>
  <c r="V168" i="9"/>
  <c r="U168" i="9"/>
  <c r="T168" i="9"/>
  <c r="S168" i="9"/>
  <c r="W168" i="9" s="1"/>
  <c r="X168" i="9" s="1"/>
  <c r="R168" i="9"/>
  <c r="Q168" i="9"/>
  <c r="V167" i="9"/>
  <c r="T167" i="9"/>
  <c r="S167" i="9"/>
  <c r="R167" i="9"/>
  <c r="W167" i="9" s="1"/>
  <c r="X167" i="9" s="1"/>
  <c r="Q167" i="9"/>
  <c r="U167" i="9" s="1"/>
  <c r="V166" i="9"/>
  <c r="T166" i="9"/>
  <c r="S166" i="9"/>
  <c r="W166" i="9" s="1"/>
  <c r="X166" i="9" s="1"/>
  <c r="R166" i="9"/>
  <c r="Q166" i="9"/>
  <c r="U166" i="9" s="1"/>
  <c r="V165" i="9"/>
  <c r="T165" i="9"/>
  <c r="S165" i="9"/>
  <c r="R165" i="9"/>
  <c r="Q165" i="9"/>
  <c r="U165" i="9" s="1"/>
  <c r="W165" i="9" s="1"/>
  <c r="X165" i="9" s="1"/>
  <c r="V164" i="9"/>
  <c r="U164" i="9"/>
  <c r="T164" i="9"/>
  <c r="S164" i="9"/>
  <c r="R164" i="9"/>
  <c r="Q164" i="9"/>
  <c r="V163" i="9"/>
  <c r="T163" i="9"/>
  <c r="S163" i="9"/>
  <c r="W163" i="9" s="1"/>
  <c r="X163" i="9" s="1"/>
  <c r="R163" i="9"/>
  <c r="Q163" i="9"/>
  <c r="U163" i="9" s="1"/>
  <c r="V162" i="9"/>
  <c r="T162" i="9"/>
  <c r="S162" i="9"/>
  <c r="R162" i="9"/>
  <c r="Q162" i="9"/>
  <c r="U162" i="9" s="1"/>
  <c r="W162" i="9" s="1"/>
  <c r="X162" i="9" s="1"/>
  <c r="V161" i="9"/>
  <c r="W161" i="9" s="1"/>
  <c r="X161" i="9" s="1"/>
  <c r="U161" i="9"/>
  <c r="T161" i="9"/>
  <c r="S161" i="9"/>
  <c r="R161" i="9"/>
  <c r="Q161" i="9"/>
  <c r="V160" i="9"/>
  <c r="U160" i="9"/>
  <c r="T160" i="9"/>
  <c r="S160" i="9"/>
  <c r="W160" i="9" s="1"/>
  <c r="X160" i="9" s="1"/>
  <c r="R160" i="9"/>
  <c r="Q160" i="9"/>
  <c r="W159" i="9"/>
  <c r="X159" i="9" s="1"/>
  <c r="V159" i="9"/>
  <c r="T159" i="9"/>
  <c r="S159" i="9"/>
  <c r="R159" i="9"/>
  <c r="Q159" i="9"/>
  <c r="U159" i="9" s="1"/>
  <c r="V158" i="9"/>
  <c r="T158" i="9"/>
  <c r="W158" i="9" s="1"/>
  <c r="X158" i="9" s="1"/>
  <c r="S158" i="9"/>
  <c r="R158" i="9"/>
  <c r="Q158" i="9"/>
  <c r="U158" i="9" s="1"/>
  <c r="V157" i="9"/>
  <c r="U157" i="9"/>
  <c r="T157" i="9"/>
  <c r="S157" i="9"/>
  <c r="R157" i="9"/>
  <c r="W157" i="9" s="1"/>
  <c r="X157" i="9" s="1"/>
  <c r="Q157" i="9"/>
  <c r="W156" i="9"/>
  <c r="X156" i="9" s="1"/>
  <c r="V156" i="9"/>
  <c r="U156" i="9"/>
  <c r="T156" i="9"/>
  <c r="S156" i="9"/>
  <c r="R156" i="9"/>
  <c r="Q156" i="9"/>
  <c r="V155" i="9"/>
  <c r="U155" i="9"/>
  <c r="T155" i="9"/>
  <c r="S155" i="9"/>
  <c r="W155" i="9" s="1"/>
  <c r="X155" i="9" s="1"/>
  <c r="R155" i="9"/>
  <c r="Q155" i="9"/>
  <c r="V154" i="9"/>
  <c r="T154" i="9"/>
  <c r="S154" i="9"/>
  <c r="R154" i="9"/>
  <c r="Q154" i="9"/>
  <c r="U154" i="9" s="1"/>
  <c r="V153" i="9"/>
  <c r="U153" i="9"/>
  <c r="W153" i="9" s="1"/>
  <c r="X153" i="9" s="1"/>
  <c r="T153" i="9"/>
  <c r="S153" i="9"/>
  <c r="R153" i="9"/>
  <c r="Q153" i="9"/>
  <c r="V152" i="9"/>
  <c r="T152" i="9"/>
  <c r="S152" i="9"/>
  <c r="R152" i="9"/>
  <c r="Q152" i="9"/>
  <c r="U152" i="9" s="1"/>
  <c r="V151" i="9"/>
  <c r="T151" i="9"/>
  <c r="S151" i="9"/>
  <c r="R151" i="9"/>
  <c r="Q151" i="9"/>
  <c r="U151" i="9" s="1"/>
  <c r="X150" i="9"/>
  <c r="V150" i="9"/>
  <c r="T150" i="9"/>
  <c r="W150" i="9" s="1"/>
  <c r="S150" i="9"/>
  <c r="R150" i="9"/>
  <c r="Q150" i="9"/>
  <c r="U150" i="9" s="1"/>
  <c r="V149" i="9"/>
  <c r="T149" i="9"/>
  <c r="S149" i="9"/>
  <c r="W149" i="9" s="1"/>
  <c r="X149" i="9" s="1"/>
  <c r="R149" i="9"/>
  <c r="Q149" i="9"/>
  <c r="U149" i="9" s="1"/>
  <c r="V148" i="9"/>
  <c r="T148" i="9"/>
  <c r="S148" i="9"/>
  <c r="W148" i="9" s="1"/>
  <c r="X148" i="9" s="1"/>
  <c r="R148" i="9"/>
  <c r="Q148" i="9"/>
  <c r="U148" i="9" s="1"/>
  <c r="V147" i="9"/>
  <c r="T147" i="9"/>
  <c r="S147" i="9"/>
  <c r="R147" i="9"/>
  <c r="Q147" i="9"/>
  <c r="U147" i="9" s="1"/>
  <c r="V146" i="9"/>
  <c r="T146" i="9"/>
  <c r="S146" i="9"/>
  <c r="R146" i="9"/>
  <c r="Q146" i="9"/>
  <c r="U146" i="9" s="1"/>
  <c r="W146" i="9" s="1"/>
  <c r="X146" i="9" s="1"/>
  <c r="W145" i="9"/>
  <c r="X145" i="9" s="1"/>
  <c r="V145" i="9"/>
  <c r="U145" i="9"/>
  <c r="T145" i="9"/>
  <c r="S145" i="9"/>
  <c r="R145" i="9"/>
  <c r="Q145" i="9"/>
  <c r="V144" i="9"/>
  <c r="T144" i="9"/>
  <c r="S144" i="9"/>
  <c r="R144" i="9"/>
  <c r="W144" i="9" s="1"/>
  <c r="X144" i="9" s="1"/>
  <c r="Q144" i="9"/>
  <c r="U144" i="9" s="1"/>
  <c r="V143" i="9"/>
  <c r="T143" i="9"/>
  <c r="S143" i="9"/>
  <c r="R143" i="9"/>
  <c r="Q143" i="9"/>
  <c r="U143" i="9" s="1"/>
  <c r="V142" i="9"/>
  <c r="U142" i="9"/>
  <c r="W142" i="9" s="1"/>
  <c r="X142" i="9" s="1"/>
  <c r="T142" i="9"/>
  <c r="S142" i="9"/>
  <c r="R142" i="9"/>
  <c r="Q142" i="9"/>
  <c r="V141" i="9"/>
  <c r="U141" i="9"/>
  <c r="T141" i="9"/>
  <c r="S141" i="9"/>
  <c r="W141" i="9" s="1"/>
  <c r="R141" i="9"/>
  <c r="Q141" i="9"/>
  <c r="V140" i="9"/>
  <c r="T140" i="9"/>
  <c r="S140" i="9"/>
  <c r="R140" i="9"/>
  <c r="Q140" i="9"/>
  <c r="U140" i="9" s="1"/>
  <c r="V139" i="9"/>
  <c r="U139" i="9"/>
  <c r="W139" i="9" s="1"/>
  <c r="X139" i="9" s="1"/>
  <c r="T139" i="9"/>
  <c r="S139" i="9"/>
  <c r="R139" i="9"/>
  <c r="Q139" i="9"/>
  <c r="V138" i="9"/>
  <c r="U138" i="9"/>
  <c r="T138" i="9"/>
  <c r="S138" i="9"/>
  <c r="R138" i="9"/>
  <c r="Q138" i="9"/>
  <c r="X137" i="9"/>
  <c r="V137" i="9"/>
  <c r="U137" i="9"/>
  <c r="T137" i="9"/>
  <c r="S137" i="9"/>
  <c r="R137" i="9"/>
  <c r="W137" i="9" s="1"/>
  <c r="Q137" i="9"/>
  <c r="V136" i="9"/>
  <c r="U136" i="9"/>
  <c r="W136" i="9" s="1"/>
  <c r="X136" i="9" s="1"/>
  <c r="T136" i="9"/>
  <c r="S136" i="9"/>
  <c r="R136" i="9"/>
  <c r="Q136" i="9"/>
  <c r="V135" i="9"/>
  <c r="T135" i="9"/>
  <c r="S135" i="9"/>
  <c r="R135" i="9"/>
  <c r="Q135" i="9"/>
  <c r="U135" i="9" s="1"/>
  <c r="V134" i="9"/>
  <c r="U134" i="9"/>
  <c r="T134" i="9"/>
  <c r="S134" i="9"/>
  <c r="R134" i="9"/>
  <c r="Q134" i="9"/>
  <c r="V133" i="9"/>
  <c r="U133" i="9"/>
  <c r="W133" i="9" s="1"/>
  <c r="X133" i="9" s="1"/>
  <c r="T133" i="9"/>
  <c r="S133" i="9"/>
  <c r="R133" i="9"/>
  <c r="Q133" i="9"/>
  <c r="V132" i="9"/>
  <c r="T132" i="9"/>
  <c r="S132" i="9"/>
  <c r="R132" i="9"/>
  <c r="Q132" i="9"/>
  <c r="U132" i="9" s="1"/>
  <c r="V131" i="9"/>
  <c r="W131" i="9" s="1"/>
  <c r="X131" i="9" s="1"/>
  <c r="T131" i="9"/>
  <c r="S131" i="9"/>
  <c r="R131" i="9"/>
  <c r="Q131" i="9"/>
  <c r="U131" i="9" s="1"/>
  <c r="V130" i="9"/>
  <c r="U130" i="9"/>
  <c r="T130" i="9"/>
  <c r="S130" i="9"/>
  <c r="R130" i="9"/>
  <c r="Q130" i="9"/>
  <c r="V129" i="9"/>
  <c r="U129" i="9"/>
  <c r="T129" i="9"/>
  <c r="S129" i="9"/>
  <c r="R129" i="9"/>
  <c r="Q129" i="9"/>
  <c r="V128" i="9"/>
  <c r="U128" i="9"/>
  <c r="T128" i="9"/>
  <c r="S128" i="9"/>
  <c r="W128" i="9" s="1"/>
  <c r="X128" i="9" s="1"/>
  <c r="R128" i="9"/>
  <c r="Q128" i="9"/>
  <c r="X127" i="9"/>
  <c r="W127" i="9"/>
  <c r="V127" i="9"/>
  <c r="T127" i="9"/>
  <c r="S127" i="9"/>
  <c r="R127" i="9"/>
  <c r="Q127" i="9"/>
  <c r="U127" i="9" s="1"/>
  <c r="V126" i="9"/>
  <c r="U126" i="9"/>
  <c r="T126" i="9"/>
  <c r="S126" i="9"/>
  <c r="R126" i="9"/>
  <c r="Q126" i="9"/>
  <c r="V125" i="9"/>
  <c r="T125" i="9"/>
  <c r="S125" i="9"/>
  <c r="R125" i="9"/>
  <c r="Q125" i="9"/>
  <c r="U125" i="9" s="1"/>
  <c r="W125" i="9" s="1"/>
  <c r="X125" i="9" s="1"/>
  <c r="V124" i="9"/>
  <c r="T124" i="9"/>
  <c r="S124" i="9"/>
  <c r="R124" i="9"/>
  <c r="Q124" i="9"/>
  <c r="U124" i="9" s="1"/>
  <c r="V123" i="9"/>
  <c r="T123" i="9"/>
  <c r="S123" i="9"/>
  <c r="R123" i="9"/>
  <c r="Q123" i="9"/>
  <c r="U123" i="9" s="1"/>
  <c r="W122" i="9"/>
  <c r="X122" i="9" s="1"/>
  <c r="V122" i="9"/>
  <c r="U122" i="9"/>
  <c r="T122" i="9"/>
  <c r="S122" i="9"/>
  <c r="R122" i="9"/>
  <c r="Q122" i="9"/>
  <c r="V121" i="9"/>
  <c r="T121" i="9"/>
  <c r="S121" i="9"/>
  <c r="W121" i="9" s="1"/>
  <c r="X121" i="9" s="1"/>
  <c r="R121" i="9"/>
  <c r="Q121" i="9"/>
  <c r="U121" i="9" s="1"/>
  <c r="V120" i="9"/>
  <c r="T120" i="9"/>
  <c r="S120" i="9"/>
  <c r="R120" i="9"/>
  <c r="Q120" i="9"/>
  <c r="U120" i="9" s="1"/>
  <c r="V119" i="9"/>
  <c r="U119" i="9"/>
  <c r="T119" i="9"/>
  <c r="S119" i="9"/>
  <c r="R119" i="9"/>
  <c r="Q119" i="9"/>
  <c r="V118" i="9"/>
  <c r="U118" i="9"/>
  <c r="T118" i="9"/>
  <c r="S118" i="9"/>
  <c r="W118" i="9" s="1"/>
  <c r="X118" i="9" s="1"/>
  <c r="R118" i="9"/>
  <c r="Q118" i="9"/>
  <c r="V117" i="9"/>
  <c r="T117" i="9"/>
  <c r="S117" i="9"/>
  <c r="R117" i="9"/>
  <c r="Q117" i="9"/>
  <c r="U117" i="9" s="1"/>
  <c r="V116" i="9"/>
  <c r="U116" i="9"/>
  <c r="T116" i="9"/>
  <c r="S116" i="9"/>
  <c r="W116" i="9" s="1"/>
  <c r="X116" i="9" s="1"/>
  <c r="R116" i="9"/>
  <c r="Q116" i="9"/>
  <c r="V115" i="9"/>
  <c r="T115" i="9"/>
  <c r="S115" i="9"/>
  <c r="R115" i="9"/>
  <c r="Q115" i="9"/>
  <c r="U115" i="9" s="1"/>
  <c r="V114" i="9"/>
  <c r="U114" i="9"/>
  <c r="T114" i="9"/>
  <c r="S114" i="9"/>
  <c r="R114" i="9"/>
  <c r="Q114" i="9"/>
  <c r="V113" i="9"/>
  <c r="T113" i="9"/>
  <c r="S113" i="9"/>
  <c r="R113" i="9"/>
  <c r="Q113" i="9"/>
  <c r="U113" i="9" s="1"/>
  <c r="V112" i="9"/>
  <c r="T112" i="9"/>
  <c r="S112" i="9"/>
  <c r="W112" i="9" s="1"/>
  <c r="R112" i="9"/>
  <c r="Q112" i="9"/>
  <c r="U112" i="9" s="1"/>
  <c r="V111" i="9"/>
  <c r="W111" i="9" s="1"/>
  <c r="X111" i="9" s="1"/>
  <c r="U111" i="9"/>
  <c r="T111" i="9"/>
  <c r="S111" i="9"/>
  <c r="R111" i="9"/>
  <c r="Q111" i="9"/>
  <c r="V110" i="9"/>
  <c r="U110" i="9"/>
  <c r="T110" i="9"/>
  <c r="S110" i="9"/>
  <c r="W110" i="9" s="1"/>
  <c r="X110" i="9" s="1"/>
  <c r="R110" i="9"/>
  <c r="Q110" i="9"/>
  <c r="V109" i="9"/>
  <c r="T109" i="9"/>
  <c r="S109" i="9"/>
  <c r="R109" i="9"/>
  <c r="Q109" i="9"/>
  <c r="U109" i="9" s="1"/>
  <c r="W108" i="9"/>
  <c r="X108" i="9" s="1"/>
  <c r="V108" i="9"/>
  <c r="T108" i="9"/>
  <c r="S108" i="9"/>
  <c r="R108" i="9"/>
  <c r="Q108" i="9"/>
  <c r="U108" i="9" s="1"/>
  <c r="V107" i="9"/>
  <c r="U107" i="9"/>
  <c r="T107" i="9"/>
  <c r="S107" i="9"/>
  <c r="R107" i="9"/>
  <c r="Q107" i="9"/>
  <c r="V106" i="9"/>
  <c r="T106" i="9"/>
  <c r="S106" i="9"/>
  <c r="R106" i="9"/>
  <c r="Q106" i="9"/>
  <c r="U106" i="9" s="1"/>
  <c r="V105" i="9"/>
  <c r="U105" i="9"/>
  <c r="W105" i="9" s="1"/>
  <c r="X105" i="9" s="1"/>
  <c r="T105" i="9"/>
  <c r="S105" i="9"/>
  <c r="R105" i="9"/>
  <c r="Q105" i="9"/>
  <c r="V104" i="9"/>
  <c r="T104" i="9"/>
  <c r="S104" i="9"/>
  <c r="R104" i="9"/>
  <c r="Q104" i="9"/>
  <c r="U104" i="9" s="1"/>
  <c r="V103" i="9"/>
  <c r="U103" i="9"/>
  <c r="T103" i="9"/>
  <c r="S103" i="9"/>
  <c r="R103" i="9"/>
  <c r="Q103" i="9"/>
  <c r="V102" i="9"/>
  <c r="U102" i="9"/>
  <c r="T102" i="9"/>
  <c r="S102" i="9"/>
  <c r="W102" i="9" s="1"/>
  <c r="X102" i="9" s="1"/>
  <c r="R102" i="9"/>
  <c r="Q102" i="9"/>
  <c r="V101" i="9"/>
  <c r="T101" i="9"/>
  <c r="S101" i="9"/>
  <c r="R101" i="9"/>
  <c r="Q101" i="9"/>
  <c r="U101" i="9" s="1"/>
  <c r="V100" i="9"/>
  <c r="T100" i="9"/>
  <c r="W100" i="9" s="1"/>
  <c r="X100" i="9" s="1"/>
  <c r="S100" i="9"/>
  <c r="R100" i="9"/>
  <c r="Q100" i="9"/>
  <c r="U100" i="9" s="1"/>
  <c r="V99" i="9"/>
  <c r="T99" i="9"/>
  <c r="S99" i="9"/>
  <c r="R99" i="9"/>
  <c r="Q99" i="9"/>
  <c r="U99" i="9" s="1"/>
  <c r="W99" i="9" s="1"/>
  <c r="X99" i="9" s="1"/>
  <c r="V98" i="9"/>
  <c r="T98" i="9"/>
  <c r="S98" i="9"/>
  <c r="W98" i="9" s="1"/>
  <c r="X98" i="9" s="1"/>
  <c r="R98" i="9"/>
  <c r="Q98" i="9"/>
  <c r="U98" i="9" s="1"/>
  <c r="V97" i="9"/>
  <c r="T97" i="9"/>
  <c r="S97" i="9"/>
  <c r="R97" i="9"/>
  <c r="Q97" i="9"/>
  <c r="U97" i="9" s="1"/>
  <c r="V96" i="9"/>
  <c r="U96" i="9"/>
  <c r="T96" i="9"/>
  <c r="S96" i="9"/>
  <c r="W96" i="9" s="1"/>
  <c r="X96" i="9" s="1"/>
  <c r="R96" i="9"/>
  <c r="Q96" i="9"/>
  <c r="V95" i="9"/>
  <c r="U95" i="9"/>
  <c r="W95" i="9" s="1"/>
  <c r="X95" i="9" s="1"/>
  <c r="T95" i="9"/>
  <c r="S95" i="9"/>
  <c r="R95" i="9"/>
  <c r="Q95" i="9"/>
  <c r="V94" i="9"/>
  <c r="T94" i="9"/>
  <c r="S94" i="9"/>
  <c r="R94" i="9"/>
  <c r="Q94" i="9"/>
  <c r="U94" i="9" s="1"/>
  <c r="W93" i="9"/>
  <c r="X93" i="9" s="1"/>
  <c r="V93" i="9"/>
  <c r="T93" i="9"/>
  <c r="S93" i="9"/>
  <c r="R93" i="9"/>
  <c r="Q93" i="9"/>
  <c r="U93" i="9" s="1"/>
  <c r="V92" i="9"/>
  <c r="U92" i="9"/>
  <c r="T92" i="9"/>
  <c r="S92" i="9"/>
  <c r="W92" i="9" s="1"/>
  <c r="X92" i="9" s="1"/>
  <c r="R92" i="9"/>
  <c r="Q92" i="9"/>
  <c r="V91" i="9"/>
  <c r="U91" i="9"/>
  <c r="T91" i="9"/>
  <c r="S91" i="9"/>
  <c r="R91" i="9"/>
  <c r="Q91" i="9"/>
  <c r="X90" i="9"/>
  <c r="V90" i="9"/>
  <c r="T90" i="9"/>
  <c r="S90" i="9"/>
  <c r="W90" i="9" s="1"/>
  <c r="R90" i="9"/>
  <c r="Q90" i="9"/>
  <c r="U90" i="9" s="1"/>
  <c r="V89" i="9"/>
  <c r="U89" i="9"/>
  <c r="T89" i="9"/>
  <c r="S89" i="9"/>
  <c r="W89" i="9" s="1"/>
  <c r="X89" i="9" s="1"/>
  <c r="R89" i="9"/>
  <c r="Q89" i="9"/>
  <c r="V88" i="9"/>
  <c r="U88" i="9"/>
  <c r="T88" i="9"/>
  <c r="S88" i="9"/>
  <c r="R88" i="9"/>
  <c r="Q88" i="9"/>
  <c r="X87" i="9"/>
  <c r="V87" i="9"/>
  <c r="U87" i="9"/>
  <c r="T87" i="9"/>
  <c r="S87" i="9"/>
  <c r="R87" i="9"/>
  <c r="W87" i="9" s="1"/>
  <c r="Q87" i="9"/>
  <c r="V86" i="9"/>
  <c r="U86" i="9"/>
  <c r="T86" i="9"/>
  <c r="S86" i="9"/>
  <c r="W86" i="9" s="1"/>
  <c r="X86" i="9" s="1"/>
  <c r="R86" i="9"/>
  <c r="Q86" i="9"/>
  <c r="V85" i="9"/>
  <c r="U85" i="9"/>
  <c r="T85" i="9"/>
  <c r="S85" i="9"/>
  <c r="R85" i="9"/>
  <c r="Q85" i="9"/>
  <c r="V84" i="9"/>
  <c r="U84" i="9"/>
  <c r="T84" i="9"/>
  <c r="S84" i="9"/>
  <c r="R84" i="9"/>
  <c r="Q84" i="9"/>
  <c r="V83" i="9"/>
  <c r="U83" i="9"/>
  <c r="T83" i="9"/>
  <c r="S83" i="9"/>
  <c r="R83" i="9"/>
  <c r="Q83" i="9"/>
  <c r="V82" i="9"/>
  <c r="T82" i="9"/>
  <c r="S82" i="9"/>
  <c r="W82" i="9" s="1"/>
  <c r="X82" i="9" s="1"/>
  <c r="R82" i="9"/>
  <c r="Q82" i="9"/>
  <c r="U82" i="9" s="1"/>
  <c r="W81" i="9"/>
  <c r="X81" i="9" s="1"/>
  <c r="V81" i="9"/>
  <c r="T81" i="9"/>
  <c r="S81" i="9"/>
  <c r="R81" i="9"/>
  <c r="Q81" i="9"/>
  <c r="U81" i="9" s="1"/>
  <c r="V80" i="9"/>
  <c r="U80" i="9"/>
  <c r="T80" i="9"/>
  <c r="W80" i="9" s="1"/>
  <c r="X80" i="9" s="1"/>
  <c r="S80" i="9"/>
  <c r="R80" i="9"/>
  <c r="Q80" i="9"/>
  <c r="V79" i="9"/>
  <c r="T79" i="9"/>
  <c r="S79" i="9"/>
  <c r="R79" i="9"/>
  <c r="Q79" i="9"/>
  <c r="U79" i="9" s="1"/>
  <c r="V78" i="9"/>
  <c r="T78" i="9"/>
  <c r="S78" i="9"/>
  <c r="R78" i="9"/>
  <c r="Q78" i="9"/>
  <c r="U78" i="9" s="1"/>
  <c r="V77" i="9"/>
  <c r="T77" i="9"/>
  <c r="S77" i="9"/>
  <c r="R77" i="9"/>
  <c r="Q77" i="9"/>
  <c r="U77" i="9" s="1"/>
  <c r="W76" i="9"/>
  <c r="X76" i="9" s="1"/>
  <c r="V76" i="9"/>
  <c r="T76" i="9"/>
  <c r="S76" i="9"/>
  <c r="R76" i="9"/>
  <c r="Q76" i="9"/>
  <c r="U76" i="9" s="1"/>
  <c r="V75" i="9"/>
  <c r="U75" i="9"/>
  <c r="T75" i="9"/>
  <c r="S75" i="9"/>
  <c r="W75" i="9" s="1"/>
  <c r="X75" i="9" s="1"/>
  <c r="R75" i="9"/>
  <c r="Q75" i="9"/>
  <c r="V74" i="9"/>
  <c r="T74" i="9"/>
  <c r="S74" i="9"/>
  <c r="R74" i="9"/>
  <c r="Q74" i="9"/>
  <c r="U74" i="9" s="1"/>
  <c r="V73" i="9"/>
  <c r="U73" i="9"/>
  <c r="W73" i="9" s="1"/>
  <c r="X73" i="9" s="1"/>
  <c r="T73" i="9"/>
  <c r="S73" i="9"/>
  <c r="R73" i="9"/>
  <c r="Q73" i="9"/>
  <c r="V72" i="9"/>
  <c r="U72" i="9"/>
  <c r="T72" i="9"/>
  <c r="S72" i="9"/>
  <c r="W72" i="9" s="1"/>
  <c r="X72" i="9" s="1"/>
  <c r="R72" i="9"/>
  <c r="Q72" i="9"/>
  <c r="V71" i="9"/>
  <c r="T71" i="9"/>
  <c r="S71" i="9"/>
  <c r="R71" i="9"/>
  <c r="Q71" i="9"/>
  <c r="U71" i="9" s="1"/>
  <c r="V70" i="9"/>
  <c r="T70" i="9"/>
  <c r="S70" i="9"/>
  <c r="W70" i="9" s="1"/>
  <c r="X70" i="9" s="1"/>
  <c r="R70" i="9"/>
  <c r="Q70" i="9"/>
  <c r="U70" i="9" s="1"/>
  <c r="V69" i="9"/>
  <c r="T69" i="9"/>
  <c r="S69" i="9"/>
  <c r="W69" i="9" s="1"/>
  <c r="R69" i="9"/>
  <c r="Q69" i="9"/>
  <c r="U69" i="9" s="1"/>
  <c r="V68" i="9"/>
  <c r="U68" i="9"/>
  <c r="T68" i="9"/>
  <c r="S68" i="9"/>
  <c r="R68" i="9"/>
  <c r="Q68" i="9"/>
  <c r="V67" i="9"/>
  <c r="T67" i="9"/>
  <c r="S67" i="9"/>
  <c r="R67" i="9"/>
  <c r="Q67" i="9"/>
  <c r="U67" i="9" s="1"/>
  <c r="V66" i="9"/>
  <c r="T66" i="9"/>
  <c r="S66" i="9"/>
  <c r="R66" i="9"/>
  <c r="Q66" i="9"/>
  <c r="U66" i="9" s="1"/>
  <c r="W65" i="9"/>
  <c r="X65" i="9" s="1"/>
  <c r="V65" i="9"/>
  <c r="T65" i="9"/>
  <c r="S65" i="9"/>
  <c r="R65" i="9"/>
  <c r="Q65" i="9"/>
  <c r="U65" i="9" s="1"/>
  <c r="V64" i="9"/>
  <c r="U64" i="9"/>
  <c r="T64" i="9"/>
  <c r="S64" i="9"/>
  <c r="R64" i="9"/>
  <c r="W64" i="9" s="1"/>
  <c r="X64" i="9" s="1"/>
  <c r="Q64" i="9"/>
  <c r="V63" i="9"/>
  <c r="T63" i="9"/>
  <c r="S63" i="9"/>
  <c r="W63" i="9" s="1"/>
  <c r="X63" i="9" s="1"/>
  <c r="R63" i="9"/>
  <c r="Q63" i="9"/>
  <c r="U63" i="9" s="1"/>
  <c r="W62" i="9"/>
  <c r="X62" i="9" s="1"/>
  <c r="V62" i="9"/>
  <c r="T62" i="9"/>
  <c r="S62" i="9"/>
  <c r="R62" i="9"/>
  <c r="Q62" i="9"/>
  <c r="U62" i="9" s="1"/>
  <c r="V61" i="9"/>
  <c r="W61" i="9" s="1"/>
  <c r="X61" i="9" s="1"/>
  <c r="U61" i="9"/>
  <c r="T61" i="9"/>
  <c r="S61" i="9"/>
  <c r="R61" i="9"/>
  <c r="Q61" i="9"/>
  <c r="V60" i="9"/>
  <c r="U60" i="9"/>
  <c r="T60" i="9"/>
  <c r="S60" i="9"/>
  <c r="R60" i="9"/>
  <c r="Q60" i="9"/>
  <c r="V59" i="9"/>
  <c r="T59" i="9"/>
  <c r="S59" i="9"/>
  <c r="R59" i="9"/>
  <c r="Q59" i="9"/>
  <c r="U59" i="9" s="1"/>
  <c r="W59" i="9" s="1"/>
  <c r="X59" i="9" s="1"/>
  <c r="W58" i="9"/>
  <c r="X58" i="9" s="1"/>
  <c r="V58" i="9"/>
  <c r="T58" i="9"/>
  <c r="S58" i="9"/>
  <c r="R58" i="9"/>
  <c r="Q58" i="9"/>
  <c r="U58" i="9" s="1"/>
  <c r="V57" i="9"/>
  <c r="U57" i="9"/>
  <c r="T57" i="9"/>
  <c r="S57" i="9"/>
  <c r="R57" i="9"/>
  <c r="Q57" i="9"/>
  <c r="V56" i="9"/>
  <c r="T56" i="9"/>
  <c r="S56" i="9"/>
  <c r="R56" i="9"/>
  <c r="Q56" i="9"/>
  <c r="U56" i="9" s="1"/>
  <c r="W55" i="9"/>
  <c r="X55" i="9" s="1"/>
  <c r="V55" i="9"/>
  <c r="U55" i="9"/>
  <c r="T55" i="9"/>
  <c r="S55" i="9"/>
  <c r="R55" i="9"/>
  <c r="Q55" i="9"/>
  <c r="V54" i="9"/>
  <c r="T54" i="9"/>
  <c r="S54" i="9"/>
  <c r="R54" i="9"/>
  <c r="Q54" i="9"/>
  <c r="U54" i="9" s="1"/>
  <c r="V53" i="9"/>
  <c r="U53" i="9"/>
  <c r="T53" i="9"/>
  <c r="S53" i="9"/>
  <c r="R53" i="9"/>
  <c r="Q53" i="9"/>
  <c r="V52" i="9"/>
  <c r="U52" i="9"/>
  <c r="T52" i="9"/>
  <c r="S52" i="9"/>
  <c r="R52" i="9"/>
  <c r="Q52" i="9"/>
  <c r="V51" i="9"/>
  <c r="T51" i="9"/>
  <c r="S51" i="9"/>
  <c r="R51" i="9"/>
  <c r="Q51" i="9"/>
  <c r="U51" i="9" s="1"/>
  <c r="V50" i="9"/>
  <c r="T50" i="9"/>
  <c r="W50" i="9" s="1"/>
  <c r="X50" i="9" s="1"/>
  <c r="S50" i="9"/>
  <c r="R50" i="9"/>
  <c r="Q50" i="9"/>
  <c r="U50" i="9" s="1"/>
  <c r="V49" i="9"/>
  <c r="T49" i="9"/>
  <c r="S49" i="9"/>
  <c r="R49" i="9"/>
  <c r="Q49" i="9"/>
  <c r="U49" i="9" s="1"/>
  <c r="W49" i="9" s="1"/>
  <c r="X49" i="9" s="1"/>
  <c r="V48" i="9"/>
  <c r="T48" i="9"/>
  <c r="S48" i="9"/>
  <c r="R48" i="9"/>
  <c r="Q48" i="9"/>
  <c r="U48" i="9" s="1"/>
  <c r="V47" i="9"/>
  <c r="T47" i="9"/>
  <c r="S47" i="9"/>
  <c r="R47" i="9"/>
  <c r="W47" i="9" s="1"/>
  <c r="X47" i="9" s="1"/>
  <c r="Q47" i="9"/>
  <c r="U47" i="9" s="1"/>
  <c r="V46" i="9"/>
  <c r="T46" i="9"/>
  <c r="W46" i="9" s="1"/>
  <c r="X46" i="9" s="1"/>
  <c r="S46" i="9"/>
  <c r="R46" i="9"/>
  <c r="Q46" i="9"/>
  <c r="U46" i="9" s="1"/>
  <c r="V45" i="9"/>
  <c r="U45" i="9"/>
  <c r="T45" i="9"/>
  <c r="S45" i="9"/>
  <c r="R45" i="9"/>
  <c r="W45" i="9" s="1"/>
  <c r="X45" i="9" s="1"/>
  <c r="Q45" i="9"/>
  <c r="V44" i="9"/>
  <c r="U44" i="9"/>
  <c r="W44" i="9" s="1"/>
  <c r="X44" i="9" s="1"/>
  <c r="T44" i="9"/>
  <c r="S44" i="9"/>
  <c r="R44" i="9"/>
  <c r="Q44" i="9"/>
  <c r="V43" i="9"/>
  <c r="U43" i="9"/>
  <c r="W43" i="9" s="1"/>
  <c r="X43" i="9" s="1"/>
  <c r="T43" i="9"/>
  <c r="S43" i="9"/>
  <c r="R43" i="9"/>
  <c r="Q43" i="9"/>
  <c r="V42" i="9"/>
  <c r="T42" i="9"/>
  <c r="S42" i="9"/>
  <c r="R42" i="9"/>
  <c r="Q42" i="9"/>
  <c r="U42" i="9" s="1"/>
  <c r="X41" i="9"/>
  <c r="V41" i="9"/>
  <c r="T41" i="9"/>
  <c r="S41" i="9"/>
  <c r="R41" i="9"/>
  <c r="Q41" i="9"/>
  <c r="U41" i="9" s="1"/>
  <c r="W41" i="9" s="1"/>
  <c r="V40" i="9"/>
  <c r="U40" i="9"/>
  <c r="T40" i="9"/>
  <c r="W40" i="9" s="1"/>
  <c r="X40" i="9" s="1"/>
  <c r="S40" i="9"/>
  <c r="R40" i="9"/>
  <c r="Q40" i="9"/>
  <c r="V39" i="9"/>
  <c r="U39" i="9"/>
  <c r="T39" i="9"/>
  <c r="S39" i="9"/>
  <c r="R39" i="9"/>
  <c r="Q39" i="9"/>
  <c r="V38" i="9"/>
  <c r="T38" i="9"/>
  <c r="S38" i="9"/>
  <c r="R38" i="9"/>
  <c r="W38" i="9" s="1"/>
  <c r="X38" i="9" s="1"/>
  <c r="Q38" i="9"/>
  <c r="U38" i="9" s="1"/>
  <c r="V37" i="9"/>
  <c r="U37" i="9"/>
  <c r="T37" i="9"/>
  <c r="S37" i="9"/>
  <c r="R37" i="9"/>
  <c r="Q37" i="9"/>
  <c r="V36" i="9"/>
  <c r="T36" i="9"/>
  <c r="S36" i="9"/>
  <c r="W36" i="9" s="1"/>
  <c r="X36" i="9" s="1"/>
  <c r="R36" i="9"/>
  <c r="Q36" i="9"/>
  <c r="U36" i="9" s="1"/>
  <c r="V35" i="9"/>
  <c r="U35" i="9"/>
  <c r="T35" i="9"/>
  <c r="S35" i="9"/>
  <c r="R35" i="9"/>
  <c r="W35" i="9" s="1"/>
  <c r="Q35" i="9"/>
  <c r="V34" i="9"/>
  <c r="U34" i="9"/>
  <c r="T34" i="9"/>
  <c r="S34" i="9"/>
  <c r="R34" i="9"/>
  <c r="Q34" i="9"/>
  <c r="V33" i="9"/>
  <c r="T33" i="9"/>
  <c r="S33" i="9"/>
  <c r="R33" i="9"/>
  <c r="Q33" i="9"/>
  <c r="U33" i="9" s="1"/>
  <c r="W33" i="9" s="1"/>
  <c r="X33" i="9" s="1"/>
  <c r="V32" i="9"/>
  <c r="U32" i="9"/>
  <c r="T32" i="9"/>
  <c r="S32" i="9"/>
  <c r="R32" i="9"/>
  <c r="Q32" i="9"/>
  <c r="V31" i="9"/>
  <c r="T31" i="9"/>
  <c r="S31" i="9"/>
  <c r="R31" i="9"/>
  <c r="Q31" i="9"/>
  <c r="U31" i="9" s="1"/>
  <c r="V30" i="9"/>
  <c r="T30" i="9"/>
  <c r="S30" i="9"/>
  <c r="R30" i="9"/>
  <c r="Q30" i="9"/>
  <c r="U30" i="9" s="1"/>
  <c r="V29" i="9"/>
  <c r="W29" i="9" s="1"/>
  <c r="X29" i="9" s="1"/>
  <c r="U29" i="9"/>
  <c r="T29" i="9"/>
  <c r="S29" i="9"/>
  <c r="R29" i="9"/>
  <c r="Q29" i="9"/>
  <c r="V28" i="9"/>
  <c r="U28" i="9"/>
  <c r="T28" i="9"/>
  <c r="W28" i="9" s="1"/>
  <c r="X28" i="9" s="1"/>
  <c r="S28" i="9"/>
  <c r="R28" i="9"/>
  <c r="Q28" i="9"/>
  <c r="V27" i="9"/>
  <c r="T27" i="9"/>
  <c r="S27" i="9"/>
  <c r="R27" i="9"/>
  <c r="Q27" i="9"/>
  <c r="U27" i="9" s="1"/>
  <c r="V26" i="9"/>
  <c r="T26" i="9"/>
  <c r="S26" i="9"/>
  <c r="R26" i="9"/>
  <c r="Q26" i="9"/>
  <c r="U26" i="9" s="1"/>
  <c r="V25" i="9"/>
  <c r="U25" i="9"/>
  <c r="T25" i="9"/>
  <c r="S25" i="9"/>
  <c r="R25" i="9"/>
  <c r="Q25" i="9"/>
  <c r="V24" i="9"/>
  <c r="U24" i="9"/>
  <c r="T24" i="9"/>
  <c r="S24" i="9"/>
  <c r="R24" i="9"/>
  <c r="Q24" i="9"/>
  <c r="V23" i="9"/>
  <c r="T23" i="9"/>
  <c r="S23" i="9"/>
  <c r="R23" i="9"/>
  <c r="Q23" i="9"/>
  <c r="U23" i="9" s="1"/>
  <c r="V22" i="9"/>
  <c r="T22" i="9"/>
  <c r="S22" i="9"/>
  <c r="R22" i="9"/>
  <c r="Q22" i="9"/>
  <c r="U22" i="9" s="1"/>
  <c r="V21" i="9"/>
  <c r="T21" i="9"/>
  <c r="S21" i="9"/>
  <c r="W21" i="9" s="1"/>
  <c r="X21" i="9" s="1"/>
  <c r="R21" i="9"/>
  <c r="Q21" i="9"/>
  <c r="U21" i="9" s="1"/>
  <c r="V20" i="9"/>
  <c r="U20" i="9"/>
  <c r="T20" i="9"/>
  <c r="S20" i="9"/>
  <c r="R20" i="9"/>
  <c r="Q20" i="9"/>
  <c r="V19" i="9"/>
  <c r="U19" i="9"/>
  <c r="T19" i="9"/>
  <c r="S19" i="9"/>
  <c r="R19" i="9"/>
  <c r="Q19" i="9"/>
  <c r="V18" i="9"/>
  <c r="T18" i="9"/>
  <c r="S18" i="9"/>
  <c r="R18" i="9"/>
  <c r="Q18" i="9"/>
  <c r="U18" i="9" s="1"/>
  <c r="W18" i="9" s="1"/>
  <c r="X18" i="9" s="1"/>
  <c r="V17" i="9"/>
  <c r="U17" i="9"/>
  <c r="T17" i="9"/>
  <c r="S17" i="9"/>
  <c r="R17" i="9"/>
  <c r="Q17" i="9"/>
  <c r="V16" i="9"/>
  <c r="T16" i="9"/>
  <c r="S16" i="9"/>
  <c r="R16" i="9"/>
  <c r="Q16" i="9"/>
  <c r="U16" i="9" s="1"/>
  <c r="W15" i="9"/>
  <c r="X15" i="9" s="1"/>
  <c r="V15" i="9"/>
  <c r="T15" i="9"/>
  <c r="S15" i="9"/>
  <c r="R15" i="9"/>
  <c r="Q15" i="9"/>
  <c r="U15" i="9" s="1"/>
  <c r="V14" i="9"/>
  <c r="U14" i="9"/>
  <c r="W14" i="9" s="1"/>
  <c r="X14" i="9" s="1"/>
  <c r="T14" i="9"/>
  <c r="S14" i="9"/>
  <c r="R14" i="9"/>
  <c r="Q14" i="9"/>
  <c r="V13" i="9"/>
  <c r="U13" i="9"/>
  <c r="T13" i="9"/>
  <c r="S13" i="9"/>
  <c r="W13" i="9" s="1"/>
  <c r="X13" i="9" s="1"/>
  <c r="R13" i="9"/>
  <c r="Q13" i="9"/>
  <c r="V12" i="9"/>
  <c r="U12" i="9"/>
  <c r="T12" i="9"/>
  <c r="S12" i="9"/>
  <c r="R12" i="9"/>
  <c r="Q12" i="9"/>
  <c r="V11" i="9"/>
  <c r="T11" i="9"/>
  <c r="S11" i="9"/>
  <c r="R11" i="9"/>
  <c r="Q11" i="9"/>
  <c r="U11" i="9" s="1"/>
  <c r="V10" i="9"/>
  <c r="U10" i="9"/>
  <c r="W10" i="9" s="1"/>
  <c r="X10" i="9" s="1"/>
  <c r="T10" i="9"/>
  <c r="S10" i="9"/>
  <c r="R10" i="9"/>
  <c r="Q10" i="9"/>
  <c r="V9" i="9"/>
  <c r="U9" i="9"/>
  <c r="T9" i="9"/>
  <c r="S9" i="9"/>
  <c r="W9" i="9" s="1"/>
  <c r="X9" i="9" s="1"/>
  <c r="R9" i="9"/>
  <c r="Q9" i="9"/>
  <c r="V8" i="9"/>
  <c r="T8" i="9"/>
  <c r="S8" i="9"/>
  <c r="R8" i="9"/>
  <c r="Q8" i="9"/>
  <c r="U8" i="9" s="1"/>
  <c r="V7" i="9"/>
  <c r="T7" i="9"/>
  <c r="S7" i="9"/>
  <c r="R7" i="9"/>
  <c r="Q7" i="9"/>
  <c r="U7" i="9" s="1"/>
  <c r="C6" i="8"/>
  <c r="E6" i="8" s="1"/>
  <c r="B247" i="7"/>
  <c r="B243" i="7"/>
  <c r="B236" i="7"/>
  <c r="B233" i="7"/>
  <c r="B222" i="7"/>
  <c r="B206" i="7"/>
  <c r="B175" i="7"/>
  <c r="B171" i="7"/>
  <c r="B164" i="7"/>
  <c r="B158" i="7"/>
  <c r="B149" i="7"/>
  <c r="B134" i="7"/>
  <c r="B133" i="7"/>
  <c r="B128" i="7"/>
  <c r="B125" i="7"/>
  <c r="B113" i="7"/>
  <c r="B108" i="7"/>
  <c r="B98" i="7"/>
  <c r="B95" i="7"/>
  <c r="B88" i="7"/>
  <c r="B82" i="7"/>
  <c r="B78" i="7"/>
  <c r="B74" i="7"/>
  <c r="B68" i="7"/>
  <c r="B63" i="7"/>
  <c r="B58" i="7"/>
  <c r="B55" i="7"/>
  <c r="B52" i="7"/>
  <c r="B48" i="7"/>
  <c r="B38" i="7"/>
  <c r="B35" i="7"/>
  <c r="B32" i="7"/>
  <c r="B29" i="7"/>
  <c r="B11" i="7"/>
  <c r="B9" i="7"/>
  <c r="B7" i="7"/>
  <c r="B1006" i="4"/>
  <c r="B256" i="7" s="1"/>
  <c r="B1005" i="4"/>
  <c r="B255" i="7" s="1"/>
  <c r="B1004" i="4"/>
  <c r="B254" i="7" s="1"/>
  <c r="B1003" i="4"/>
  <c r="B253" i="7" s="1"/>
  <c r="B1002" i="4"/>
  <c r="B252" i="7" s="1"/>
  <c r="B1001" i="4"/>
  <c r="B251" i="7" s="1"/>
  <c r="B1000" i="4"/>
  <c r="B250" i="7" s="1"/>
  <c r="B999" i="4"/>
  <c r="B249" i="7" s="1"/>
  <c r="B998" i="4"/>
  <c r="B248" i="7" s="1"/>
  <c r="B997" i="4"/>
  <c r="B996" i="4"/>
  <c r="B246" i="7" s="1"/>
  <c r="B995" i="4"/>
  <c r="B245" i="7" s="1"/>
  <c r="B994" i="4"/>
  <c r="B244" i="7" s="1"/>
  <c r="B993" i="4"/>
  <c r="B992" i="4"/>
  <c r="B242" i="7" s="1"/>
  <c r="B991" i="4"/>
  <c r="B241" i="7" s="1"/>
  <c r="B990" i="4"/>
  <c r="B240" i="7" s="1"/>
  <c r="B989" i="4"/>
  <c r="B239" i="7" s="1"/>
  <c r="B988" i="4"/>
  <c r="B238" i="7" s="1"/>
  <c r="B987" i="4"/>
  <c r="B237" i="7" s="1"/>
  <c r="B986" i="4"/>
  <c r="B985" i="4"/>
  <c r="B235" i="7" s="1"/>
  <c r="B984" i="4"/>
  <c r="B234" i="7" s="1"/>
  <c r="B983" i="4"/>
  <c r="B982" i="4"/>
  <c r="B232" i="7" s="1"/>
  <c r="B981" i="4"/>
  <c r="B231" i="7" s="1"/>
  <c r="B980" i="4"/>
  <c r="B230" i="7" s="1"/>
  <c r="B979" i="4"/>
  <c r="B229" i="7" s="1"/>
  <c r="B978" i="4"/>
  <c r="B228" i="7" s="1"/>
  <c r="B977" i="4"/>
  <c r="B227" i="7" s="1"/>
  <c r="B976" i="4"/>
  <c r="B226" i="7" s="1"/>
  <c r="B975" i="4"/>
  <c r="B225" i="7" s="1"/>
  <c r="B974" i="4"/>
  <c r="B224" i="7" s="1"/>
  <c r="B973" i="4"/>
  <c r="B223" i="7" s="1"/>
  <c r="B972" i="4"/>
  <c r="B971" i="4"/>
  <c r="B221" i="7" s="1"/>
  <c r="B970" i="4"/>
  <c r="B220" i="7" s="1"/>
  <c r="B969" i="4"/>
  <c r="B219" i="7" s="1"/>
  <c r="B968" i="4"/>
  <c r="B218" i="7" s="1"/>
  <c r="B967" i="4"/>
  <c r="B217" i="7" s="1"/>
  <c r="B966" i="4"/>
  <c r="B216" i="7" s="1"/>
  <c r="B965" i="4"/>
  <c r="B215" i="7" s="1"/>
  <c r="B964" i="4"/>
  <c r="B214" i="7" s="1"/>
  <c r="B963" i="4"/>
  <c r="B213" i="7" s="1"/>
  <c r="B962" i="4"/>
  <c r="B212" i="7" s="1"/>
  <c r="B961" i="4"/>
  <c r="B211" i="7" s="1"/>
  <c r="B960" i="4"/>
  <c r="B210" i="7" s="1"/>
  <c r="B959" i="4"/>
  <c r="B209" i="7" s="1"/>
  <c r="B958" i="4"/>
  <c r="B208" i="7" s="1"/>
  <c r="B957" i="4"/>
  <c r="B207" i="7" s="1"/>
  <c r="B956" i="4"/>
  <c r="B955" i="4"/>
  <c r="B205" i="7" s="1"/>
  <c r="B954" i="4"/>
  <c r="B204" i="7" s="1"/>
  <c r="B953" i="4"/>
  <c r="B203" i="7" s="1"/>
  <c r="B952" i="4"/>
  <c r="B202" i="7" s="1"/>
  <c r="B951" i="4"/>
  <c r="B201" i="7" s="1"/>
  <c r="B950" i="4"/>
  <c r="B200" i="7" s="1"/>
  <c r="B949" i="4"/>
  <c r="B199" i="7" s="1"/>
  <c r="B948" i="4"/>
  <c r="B198" i="7" s="1"/>
  <c r="B947" i="4"/>
  <c r="B197" i="7" s="1"/>
  <c r="B946" i="4"/>
  <c r="B196" i="7" s="1"/>
  <c r="B945" i="4"/>
  <c r="B195" i="7" s="1"/>
  <c r="B944" i="4"/>
  <c r="B194" i="7" s="1"/>
  <c r="B943" i="4"/>
  <c r="B193" i="7" s="1"/>
  <c r="B942" i="4"/>
  <c r="B192" i="7" s="1"/>
  <c r="B941" i="4"/>
  <c r="B191" i="7" s="1"/>
  <c r="B940" i="4"/>
  <c r="B190" i="7" s="1"/>
  <c r="B939" i="4"/>
  <c r="B189" i="7" s="1"/>
  <c r="B938" i="4"/>
  <c r="B188" i="7" s="1"/>
  <c r="B937" i="4"/>
  <c r="B187" i="7" s="1"/>
  <c r="B936" i="4"/>
  <c r="B186" i="7" s="1"/>
  <c r="B935" i="4"/>
  <c r="B185" i="7" s="1"/>
  <c r="B934" i="4"/>
  <c r="B184" i="7" s="1"/>
  <c r="B933" i="4"/>
  <c r="B183" i="7" s="1"/>
  <c r="B932" i="4"/>
  <c r="B182" i="7" s="1"/>
  <c r="B931" i="4"/>
  <c r="B181" i="7" s="1"/>
  <c r="B930" i="4"/>
  <c r="B180" i="7" s="1"/>
  <c r="B929" i="4"/>
  <c r="B179" i="7" s="1"/>
  <c r="B928" i="4"/>
  <c r="B178" i="7" s="1"/>
  <c r="B927" i="4"/>
  <c r="B177" i="7" s="1"/>
  <c r="B926" i="4"/>
  <c r="B176" i="7" s="1"/>
  <c r="B925" i="4"/>
  <c r="B924" i="4"/>
  <c r="B174" i="7" s="1"/>
  <c r="B923" i="4"/>
  <c r="B173" i="7" s="1"/>
  <c r="B922" i="4"/>
  <c r="B172" i="7" s="1"/>
  <c r="B921" i="4"/>
  <c r="B920" i="4"/>
  <c r="B170" i="7" s="1"/>
  <c r="B919" i="4"/>
  <c r="B169" i="7" s="1"/>
  <c r="B918" i="4"/>
  <c r="B168" i="7" s="1"/>
  <c r="B917" i="4"/>
  <c r="B167" i="7" s="1"/>
  <c r="B916" i="4"/>
  <c r="B166" i="7" s="1"/>
  <c r="B915" i="4"/>
  <c r="B165" i="7" s="1"/>
  <c r="B914" i="4"/>
  <c r="B913" i="4"/>
  <c r="B163" i="7" s="1"/>
  <c r="B912" i="4"/>
  <c r="B162" i="7" s="1"/>
  <c r="B911" i="4"/>
  <c r="B161" i="7" s="1"/>
  <c r="B910" i="4"/>
  <c r="B160" i="7" s="1"/>
  <c r="B909" i="4"/>
  <c r="B159" i="7" s="1"/>
  <c r="B908" i="4"/>
  <c r="B907" i="4"/>
  <c r="B157" i="7" s="1"/>
  <c r="B906" i="4"/>
  <c r="B156" i="7" s="1"/>
  <c r="B905" i="4"/>
  <c r="B155" i="7" s="1"/>
  <c r="B904" i="4"/>
  <c r="B154" i="7" s="1"/>
  <c r="B903" i="4"/>
  <c r="B153" i="7" s="1"/>
  <c r="B902" i="4"/>
  <c r="B152" i="7" s="1"/>
  <c r="B901" i="4"/>
  <c r="B151" i="7" s="1"/>
  <c r="B900" i="4"/>
  <c r="B150" i="7" s="1"/>
  <c r="B899" i="4"/>
  <c r="B898" i="4"/>
  <c r="B148" i="7" s="1"/>
  <c r="B897" i="4"/>
  <c r="B147" i="7" s="1"/>
  <c r="B896" i="4"/>
  <c r="B146" i="7" s="1"/>
  <c r="B895" i="4"/>
  <c r="B145" i="7" s="1"/>
  <c r="B894" i="4"/>
  <c r="B144" i="7" s="1"/>
  <c r="B893" i="4"/>
  <c r="B143" i="7" s="1"/>
  <c r="B892" i="4"/>
  <c r="B142" i="7" s="1"/>
  <c r="B891" i="4"/>
  <c r="B141" i="7" s="1"/>
  <c r="B890" i="4"/>
  <c r="B140" i="7" s="1"/>
  <c r="B889" i="4"/>
  <c r="B139" i="7" s="1"/>
  <c r="B888" i="4"/>
  <c r="B138" i="7" s="1"/>
  <c r="B887" i="4"/>
  <c r="B137" i="7" s="1"/>
  <c r="B886" i="4"/>
  <c r="B136" i="7" s="1"/>
  <c r="B885" i="4"/>
  <c r="B135" i="7" s="1"/>
  <c r="B884" i="4"/>
  <c r="B883" i="4"/>
  <c r="B882" i="4"/>
  <c r="B132" i="7" s="1"/>
  <c r="B881" i="4"/>
  <c r="B131" i="7" s="1"/>
  <c r="B880" i="4"/>
  <c r="B130" i="7" s="1"/>
  <c r="B879" i="4"/>
  <c r="B129" i="7" s="1"/>
  <c r="B878" i="4"/>
  <c r="B877" i="4"/>
  <c r="B127" i="7" s="1"/>
  <c r="B876" i="4"/>
  <c r="B126" i="7" s="1"/>
  <c r="B875" i="4"/>
  <c r="B874" i="4"/>
  <c r="B124" i="7" s="1"/>
  <c r="B873" i="4"/>
  <c r="B123" i="7" s="1"/>
  <c r="B872" i="4"/>
  <c r="B122" i="7" s="1"/>
  <c r="B871" i="4"/>
  <c r="B121" i="7" s="1"/>
  <c r="B870" i="4"/>
  <c r="B120" i="7" s="1"/>
  <c r="B869" i="4"/>
  <c r="B119" i="7" s="1"/>
  <c r="B868" i="4"/>
  <c r="B118" i="7" s="1"/>
  <c r="B867" i="4"/>
  <c r="B117" i="7" s="1"/>
  <c r="B866" i="4"/>
  <c r="B116" i="7" s="1"/>
  <c r="B865" i="4"/>
  <c r="B115" i="7" s="1"/>
  <c r="B864" i="4"/>
  <c r="B114" i="7" s="1"/>
  <c r="B863" i="4"/>
  <c r="B862" i="4"/>
  <c r="B112" i="7" s="1"/>
  <c r="B861" i="4"/>
  <c r="B111" i="7" s="1"/>
  <c r="B860" i="4"/>
  <c r="B110" i="7" s="1"/>
  <c r="B859" i="4"/>
  <c r="B109" i="7" s="1"/>
  <c r="B858" i="4"/>
  <c r="B857" i="4"/>
  <c r="B107" i="7" s="1"/>
  <c r="B856" i="4"/>
  <c r="B106" i="7" s="1"/>
  <c r="B855" i="4"/>
  <c r="B105" i="7" s="1"/>
  <c r="B854" i="4"/>
  <c r="B104" i="7" s="1"/>
  <c r="B853" i="4"/>
  <c r="B103" i="7" s="1"/>
  <c r="B852" i="4"/>
  <c r="B102" i="7" s="1"/>
  <c r="B851" i="4"/>
  <c r="B101" i="7" s="1"/>
  <c r="B850" i="4"/>
  <c r="B100" i="7" s="1"/>
  <c r="B849" i="4"/>
  <c r="B99" i="7" s="1"/>
  <c r="B848" i="4"/>
  <c r="B847" i="4"/>
  <c r="B97" i="7" s="1"/>
  <c r="B846" i="4"/>
  <c r="B96" i="7" s="1"/>
  <c r="B845" i="4"/>
  <c r="B844" i="4"/>
  <c r="B94" i="7" s="1"/>
  <c r="B843" i="4"/>
  <c r="B93" i="7" s="1"/>
  <c r="B842" i="4"/>
  <c r="B92" i="7" s="1"/>
  <c r="B841" i="4"/>
  <c r="B91" i="7" s="1"/>
  <c r="B840" i="4"/>
  <c r="B90" i="7" s="1"/>
  <c r="B839" i="4"/>
  <c r="B89" i="7" s="1"/>
  <c r="B838" i="4"/>
  <c r="B837" i="4"/>
  <c r="B87" i="7" s="1"/>
  <c r="B836" i="4"/>
  <c r="B86" i="7" s="1"/>
  <c r="B835" i="4"/>
  <c r="B85" i="7" s="1"/>
  <c r="B834" i="4"/>
  <c r="B84" i="7" s="1"/>
  <c r="B833" i="4"/>
  <c r="B83" i="7" s="1"/>
  <c r="B832" i="4"/>
  <c r="B831" i="4"/>
  <c r="B81" i="7" s="1"/>
  <c r="B830" i="4"/>
  <c r="B80" i="7" s="1"/>
  <c r="B829" i="4"/>
  <c r="B79" i="7" s="1"/>
  <c r="B828" i="4"/>
  <c r="B827" i="4"/>
  <c r="B77" i="7" s="1"/>
  <c r="B826" i="4"/>
  <c r="B76" i="7" s="1"/>
  <c r="B825" i="4"/>
  <c r="B75" i="7" s="1"/>
  <c r="B824" i="4"/>
  <c r="B823" i="4"/>
  <c r="B73" i="7" s="1"/>
  <c r="B822" i="4"/>
  <c r="B72" i="7" s="1"/>
  <c r="B821" i="4"/>
  <c r="B71" i="7" s="1"/>
  <c r="B820" i="4"/>
  <c r="B70" i="7" s="1"/>
  <c r="B819" i="4"/>
  <c r="B69" i="7" s="1"/>
  <c r="B818" i="4"/>
  <c r="B817" i="4"/>
  <c r="B67" i="7" s="1"/>
  <c r="B816" i="4"/>
  <c r="B66" i="7" s="1"/>
  <c r="B815" i="4"/>
  <c r="B65" i="7" s="1"/>
  <c r="B814" i="4"/>
  <c r="B64" i="7" s="1"/>
  <c r="B813" i="4"/>
  <c r="B812" i="4"/>
  <c r="B62" i="7" s="1"/>
  <c r="B811" i="4"/>
  <c r="B61" i="7" s="1"/>
  <c r="B810" i="4"/>
  <c r="B60" i="7" s="1"/>
  <c r="B809" i="4"/>
  <c r="B59" i="7" s="1"/>
  <c r="B808" i="4"/>
  <c r="B807" i="4"/>
  <c r="B57" i="7" s="1"/>
  <c r="B806" i="4"/>
  <c r="B56" i="7" s="1"/>
  <c r="B805" i="4"/>
  <c r="B804" i="4"/>
  <c r="B54" i="7" s="1"/>
  <c r="B803" i="4"/>
  <c r="B53" i="7" s="1"/>
  <c r="B802" i="4"/>
  <c r="B801" i="4"/>
  <c r="B51" i="7" s="1"/>
  <c r="B800" i="4"/>
  <c r="B50" i="7" s="1"/>
  <c r="B799" i="4"/>
  <c r="B49" i="7" s="1"/>
  <c r="B798" i="4"/>
  <c r="B797" i="4"/>
  <c r="B47" i="7" s="1"/>
  <c r="B796" i="4"/>
  <c r="B46" i="7" s="1"/>
  <c r="B795" i="4"/>
  <c r="B45" i="7" s="1"/>
  <c r="B794" i="4"/>
  <c r="B44" i="7" s="1"/>
  <c r="B793" i="4"/>
  <c r="B43" i="7" s="1"/>
  <c r="B792" i="4"/>
  <c r="B42" i="7" s="1"/>
  <c r="B791" i="4"/>
  <c r="B41" i="7" s="1"/>
  <c r="B790" i="4"/>
  <c r="B40" i="7" s="1"/>
  <c r="B789" i="4"/>
  <c r="B39" i="7" s="1"/>
  <c r="B788" i="4"/>
  <c r="B787" i="4"/>
  <c r="B37" i="7" s="1"/>
  <c r="B786" i="4"/>
  <c r="B36" i="7" s="1"/>
  <c r="B785" i="4"/>
  <c r="B784" i="4"/>
  <c r="B34" i="7" s="1"/>
  <c r="B783" i="4"/>
  <c r="B33" i="7" s="1"/>
  <c r="B782" i="4"/>
  <c r="B781" i="4"/>
  <c r="B31" i="7" s="1"/>
  <c r="B780" i="4"/>
  <c r="B30" i="7" s="1"/>
  <c r="B779" i="4"/>
  <c r="B778" i="4"/>
  <c r="B28" i="7" s="1"/>
  <c r="B777" i="4"/>
  <c r="B27" i="7" s="1"/>
  <c r="B776" i="4"/>
  <c r="B26" i="7" s="1"/>
  <c r="B775" i="4"/>
  <c r="B25" i="7" s="1"/>
  <c r="B774" i="4"/>
  <c r="B24" i="7" s="1"/>
  <c r="B773" i="4"/>
  <c r="B23" i="7" s="1"/>
  <c r="B772" i="4"/>
  <c r="B22" i="7" s="1"/>
  <c r="B771" i="4"/>
  <c r="B21" i="7" s="1"/>
  <c r="B770" i="4"/>
  <c r="B20" i="7" s="1"/>
  <c r="B769" i="4"/>
  <c r="B19" i="7" s="1"/>
  <c r="B768" i="4"/>
  <c r="B18" i="7" s="1"/>
  <c r="B767" i="4"/>
  <c r="B17" i="7" s="1"/>
  <c r="B766" i="4"/>
  <c r="B16" i="7" s="1"/>
  <c r="B765" i="4"/>
  <c r="B15" i="7" s="1"/>
  <c r="B764" i="4"/>
  <c r="B14" i="7" s="1"/>
  <c r="B763" i="4"/>
  <c r="B13" i="7" s="1"/>
  <c r="B762" i="4"/>
  <c r="B12" i="7" s="1"/>
  <c r="B761" i="4"/>
  <c r="B760" i="4"/>
  <c r="B10" i="7" s="1"/>
  <c r="B759" i="4"/>
  <c r="B758" i="4"/>
  <c r="B8" i="7" s="1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J8" i="4"/>
  <c r="I8" i="4"/>
  <c r="B8" i="4"/>
  <c r="J7" i="4"/>
  <c r="I7" i="4"/>
  <c r="B7" i="4"/>
  <c r="J175" i="3"/>
  <c r="U174" i="3"/>
  <c r="S174" i="3"/>
  <c r="T173" i="3"/>
  <c r="S173" i="3"/>
  <c r="Q173" i="3"/>
  <c r="AF173" i="3" s="1"/>
  <c r="P173" i="3"/>
  <c r="K173" i="3"/>
  <c r="AD173" i="3" s="1"/>
  <c r="AF172" i="3"/>
  <c r="U172" i="3"/>
  <c r="T172" i="3"/>
  <c r="Y172" i="3" s="1"/>
  <c r="S172" i="3"/>
  <c r="Q172" i="3"/>
  <c r="P172" i="3"/>
  <c r="K172" i="3"/>
  <c r="AD172" i="3" s="1"/>
  <c r="AB171" i="3"/>
  <c r="Z171" i="3"/>
  <c r="U171" i="3"/>
  <c r="AC171" i="3" s="1"/>
  <c r="S171" i="3"/>
  <c r="Q171" i="3"/>
  <c r="AF171" i="3" s="1"/>
  <c r="P171" i="3"/>
  <c r="K171" i="3"/>
  <c r="AD171" i="3" s="1"/>
  <c r="S170" i="3"/>
  <c r="P170" i="3"/>
  <c r="Q170" i="3" s="1"/>
  <c r="AF170" i="3" s="1"/>
  <c r="K170" i="3"/>
  <c r="AD170" i="3" s="1"/>
  <c r="AD169" i="3"/>
  <c r="T169" i="3"/>
  <c r="S169" i="3"/>
  <c r="Q169" i="3"/>
  <c r="AF169" i="3" s="1"/>
  <c r="P169" i="3"/>
  <c r="K169" i="3"/>
  <c r="AD168" i="3"/>
  <c r="T168" i="3"/>
  <c r="S168" i="3"/>
  <c r="U168" i="3" s="1"/>
  <c r="P168" i="3"/>
  <c r="Q168" i="3" s="1"/>
  <c r="AF168" i="3" s="1"/>
  <c r="K168" i="3"/>
  <c r="AF167" i="3"/>
  <c r="AD167" i="3"/>
  <c r="U167" i="3"/>
  <c r="AC167" i="3" s="1"/>
  <c r="T167" i="3"/>
  <c r="Y167" i="3" s="1"/>
  <c r="S167" i="3"/>
  <c r="Q167" i="3"/>
  <c r="P167" i="3"/>
  <c r="K167" i="3"/>
  <c r="AC166" i="3"/>
  <c r="AB166" i="3"/>
  <c r="Z166" i="3"/>
  <c r="U166" i="3"/>
  <c r="T166" i="3"/>
  <c r="AA166" i="3" s="1"/>
  <c r="S166" i="3"/>
  <c r="P166" i="3"/>
  <c r="Q166" i="3" s="1"/>
  <c r="AF166" i="3" s="1"/>
  <c r="K166" i="3"/>
  <c r="AD166" i="3" s="1"/>
  <c r="S165" i="3"/>
  <c r="P165" i="3"/>
  <c r="Q165" i="3" s="1"/>
  <c r="AF165" i="3" s="1"/>
  <c r="K165" i="3"/>
  <c r="AD165" i="3" s="1"/>
  <c r="AD164" i="3"/>
  <c r="U164" i="3"/>
  <c r="T164" i="3"/>
  <c r="S164" i="3"/>
  <c r="Q164" i="3"/>
  <c r="AF164" i="3" s="1"/>
  <c r="P164" i="3"/>
  <c r="K164" i="3"/>
  <c r="AC163" i="3"/>
  <c r="Y163" i="3"/>
  <c r="T163" i="3"/>
  <c r="S163" i="3"/>
  <c r="U163" i="3" s="1"/>
  <c r="Z163" i="3" s="1"/>
  <c r="P163" i="3"/>
  <c r="Q163" i="3" s="1"/>
  <c r="AF163" i="3" s="1"/>
  <c r="K163" i="3"/>
  <c r="AD163" i="3" s="1"/>
  <c r="AF162" i="3"/>
  <c r="Y162" i="3"/>
  <c r="T162" i="3"/>
  <c r="S162" i="3"/>
  <c r="Q162" i="3"/>
  <c r="P162" i="3"/>
  <c r="K162" i="3"/>
  <c r="AD162" i="3" s="1"/>
  <c r="AD161" i="3"/>
  <c r="T161" i="3"/>
  <c r="S161" i="3"/>
  <c r="P161" i="3"/>
  <c r="Q161" i="3" s="1"/>
  <c r="AF161" i="3" s="1"/>
  <c r="K161" i="3"/>
  <c r="S160" i="3"/>
  <c r="P160" i="3"/>
  <c r="Q160" i="3" s="1"/>
  <c r="AF160" i="3" s="1"/>
  <c r="K160" i="3"/>
  <c r="AD160" i="3" s="1"/>
  <c r="AD159" i="3"/>
  <c r="U159" i="3"/>
  <c r="T159" i="3"/>
  <c r="S159" i="3"/>
  <c r="Q159" i="3"/>
  <c r="AF159" i="3" s="1"/>
  <c r="P159" i="3"/>
  <c r="K159" i="3"/>
  <c r="Z158" i="3"/>
  <c r="S158" i="3"/>
  <c r="U158" i="3" s="1"/>
  <c r="AC158" i="3" s="1"/>
  <c r="Q158" i="3"/>
  <c r="AF158" i="3" s="1"/>
  <c r="P158" i="3"/>
  <c r="K158" i="3"/>
  <c r="AD158" i="3" s="1"/>
  <c r="AF157" i="3"/>
  <c r="U157" i="3"/>
  <c r="S157" i="3"/>
  <c r="Q157" i="3"/>
  <c r="P157" i="3"/>
  <c r="K157" i="3"/>
  <c r="AD157" i="3" s="1"/>
  <c r="AD156" i="3"/>
  <c r="T156" i="3"/>
  <c r="S156" i="3"/>
  <c r="P156" i="3"/>
  <c r="Q156" i="3" s="1"/>
  <c r="AF156" i="3" s="1"/>
  <c r="K156" i="3"/>
  <c r="S155" i="3"/>
  <c r="Q155" i="3"/>
  <c r="AF155" i="3" s="1"/>
  <c r="P155" i="3"/>
  <c r="K155" i="3"/>
  <c r="AD155" i="3" s="1"/>
  <c r="AD154" i="3"/>
  <c r="U154" i="3"/>
  <c r="AC154" i="3" s="1"/>
  <c r="S154" i="3"/>
  <c r="Q154" i="3"/>
  <c r="AF154" i="3" s="1"/>
  <c r="P154" i="3"/>
  <c r="K154" i="3"/>
  <c r="T153" i="3"/>
  <c r="AA153" i="3" s="1"/>
  <c r="S153" i="3"/>
  <c r="P153" i="3"/>
  <c r="Q153" i="3" s="1"/>
  <c r="AF153" i="3" s="1"/>
  <c r="K153" i="3"/>
  <c r="AD153" i="3" s="1"/>
  <c r="AF152" i="3"/>
  <c r="Z152" i="3"/>
  <c r="U152" i="3"/>
  <c r="AC152" i="3" s="1"/>
  <c r="T152" i="3"/>
  <c r="S152" i="3"/>
  <c r="Q152" i="3"/>
  <c r="P152" i="3"/>
  <c r="K152" i="3"/>
  <c r="AD152" i="3" s="1"/>
  <c r="U151" i="3"/>
  <c r="T151" i="3"/>
  <c r="S151" i="3"/>
  <c r="P151" i="3"/>
  <c r="Q151" i="3" s="1"/>
  <c r="AF151" i="3" s="1"/>
  <c r="K151" i="3"/>
  <c r="AD151" i="3" s="1"/>
  <c r="S150" i="3"/>
  <c r="Q150" i="3"/>
  <c r="AF150" i="3" s="1"/>
  <c r="P150" i="3"/>
  <c r="K150" i="3"/>
  <c r="AD150" i="3" s="1"/>
  <c r="AD149" i="3"/>
  <c r="U149" i="3"/>
  <c r="T149" i="3"/>
  <c r="S149" i="3"/>
  <c r="Q149" i="3"/>
  <c r="AF149" i="3" s="1"/>
  <c r="P149" i="3"/>
  <c r="K149" i="3"/>
  <c r="AC148" i="3"/>
  <c r="AB148" i="3"/>
  <c r="Y148" i="3"/>
  <c r="T148" i="3"/>
  <c r="S148" i="3"/>
  <c r="U148" i="3" s="1"/>
  <c r="Q148" i="3"/>
  <c r="AF148" i="3" s="1"/>
  <c r="P148" i="3"/>
  <c r="K148" i="3"/>
  <c r="AD148" i="3" s="1"/>
  <c r="AF147" i="3"/>
  <c r="Z147" i="3"/>
  <c r="Y147" i="3"/>
  <c r="U147" i="3"/>
  <c r="T147" i="3"/>
  <c r="S147" i="3"/>
  <c r="Q147" i="3"/>
  <c r="P147" i="3"/>
  <c r="K147" i="3"/>
  <c r="AD147" i="3" s="1"/>
  <c r="AD146" i="3"/>
  <c r="U146" i="3"/>
  <c r="AC146" i="3" s="1"/>
  <c r="S146" i="3"/>
  <c r="P146" i="3"/>
  <c r="Q146" i="3" s="1"/>
  <c r="AF146" i="3" s="1"/>
  <c r="K146" i="3"/>
  <c r="S145" i="3"/>
  <c r="Q145" i="3"/>
  <c r="AF145" i="3" s="1"/>
  <c r="P145" i="3"/>
  <c r="K145" i="3"/>
  <c r="AD145" i="3" s="1"/>
  <c r="AD144" i="3"/>
  <c r="U144" i="3"/>
  <c r="AC144" i="3" s="1"/>
  <c r="T144" i="3"/>
  <c r="S144" i="3"/>
  <c r="Q144" i="3"/>
  <c r="AF144" i="3" s="1"/>
  <c r="P144" i="3"/>
  <c r="K144" i="3"/>
  <c r="AD143" i="3"/>
  <c r="T143" i="3"/>
  <c r="AA143" i="3" s="1"/>
  <c r="S143" i="3"/>
  <c r="U143" i="3" s="1"/>
  <c r="AC143" i="3" s="1"/>
  <c r="Q143" i="3"/>
  <c r="AF143" i="3" s="1"/>
  <c r="P143" i="3"/>
  <c r="Z143" i="3" s="1"/>
  <c r="K143" i="3"/>
  <c r="AF142" i="3"/>
  <c r="U142" i="3"/>
  <c r="AC142" i="3" s="1"/>
  <c r="T142" i="3"/>
  <c r="Y142" i="3" s="1"/>
  <c r="S142" i="3"/>
  <c r="Q142" i="3"/>
  <c r="P142" i="3"/>
  <c r="K142" i="3"/>
  <c r="AD142" i="3" s="1"/>
  <c r="T141" i="3"/>
  <c r="AA141" i="3" s="1"/>
  <c r="S141" i="3"/>
  <c r="P141" i="3"/>
  <c r="Q141" i="3" s="1"/>
  <c r="AF141" i="3" s="1"/>
  <c r="K141" i="3"/>
  <c r="AD141" i="3" s="1"/>
  <c r="S140" i="3"/>
  <c r="Q140" i="3"/>
  <c r="AF140" i="3" s="1"/>
  <c r="P140" i="3"/>
  <c r="K140" i="3"/>
  <c r="AD140" i="3" s="1"/>
  <c r="AD139" i="3"/>
  <c r="T139" i="3"/>
  <c r="S139" i="3"/>
  <c r="Q139" i="3"/>
  <c r="AF139" i="3" s="1"/>
  <c r="P139" i="3"/>
  <c r="K139" i="3"/>
  <c r="AD138" i="3"/>
  <c r="AC138" i="3"/>
  <c r="T138" i="3"/>
  <c r="S138" i="3"/>
  <c r="U138" i="3" s="1"/>
  <c r="AB138" i="3" s="1"/>
  <c r="P138" i="3"/>
  <c r="Q138" i="3" s="1"/>
  <c r="AF138" i="3" s="1"/>
  <c r="K138" i="3"/>
  <c r="AF137" i="3"/>
  <c r="T137" i="3"/>
  <c r="S137" i="3"/>
  <c r="Q137" i="3"/>
  <c r="P137" i="3"/>
  <c r="K137" i="3"/>
  <c r="AD137" i="3" s="1"/>
  <c r="AB136" i="3"/>
  <c r="U136" i="3"/>
  <c r="AC136" i="3" s="1"/>
  <c r="T136" i="3"/>
  <c r="S136" i="3"/>
  <c r="Q136" i="3"/>
  <c r="AF136" i="3" s="1"/>
  <c r="P136" i="3"/>
  <c r="K136" i="3"/>
  <c r="AD136" i="3" s="1"/>
  <c r="S135" i="3"/>
  <c r="P135" i="3"/>
  <c r="Q135" i="3" s="1"/>
  <c r="AF135" i="3" s="1"/>
  <c r="K135" i="3"/>
  <c r="AD135" i="3" s="1"/>
  <c r="AD134" i="3"/>
  <c r="AB134" i="3"/>
  <c r="U134" i="3"/>
  <c r="AC134" i="3" s="1"/>
  <c r="T134" i="3"/>
  <c r="S134" i="3"/>
  <c r="Q134" i="3"/>
  <c r="AF134" i="3" s="1"/>
  <c r="P134" i="3"/>
  <c r="K134" i="3"/>
  <c r="AD133" i="3"/>
  <c r="AB133" i="3"/>
  <c r="Z133" i="3"/>
  <c r="S133" i="3"/>
  <c r="U133" i="3" s="1"/>
  <c r="AC133" i="3" s="1"/>
  <c r="Q133" i="3"/>
  <c r="AF133" i="3" s="1"/>
  <c r="P133" i="3"/>
  <c r="K133" i="3"/>
  <c r="AF132" i="3"/>
  <c r="Z132" i="3"/>
  <c r="Y132" i="3"/>
  <c r="U132" i="3"/>
  <c r="AC132" i="3" s="1"/>
  <c r="T132" i="3"/>
  <c r="S132" i="3"/>
  <c r="Q132" i="3"/>
  <c r="P132" i="3"/>
  <c r="K132" i="3"/>
  <c r="AD132" i="3" s="1"/>
  <c r="AD131" i="3"/>
  <c r="U131" i="3"/>
  <c r="AC131" i="3" s="1"/>
  <c r="T131" i="3"/>
  <c r="AA131" i="3" s="1"/>
  <c r="S131" i="3"/>
  <c r="P131" i="3"/>
  <c r="Q131" i="3" s="1"/>
  <c r="AF131" i="3" s="1"/>
  <c r="K131" i="3"/>
  <c r="S130" i="3"/>
  <c r="Q130" i="3"/>
  <c r="AF130" i="3" s="1"/>
  <c r="P130" i="3"/>
  <c r="K130" i="3"/>
  <c r="AD130" i="3" s="1"/>
  <c r="AF129" i="3"/>
  <c r="AD129" i="3"/>
  <c r="S129" i="3"/>
  <c r="U129" i="3" s="1"/>
  <c r="Q129" i="3"/>
  <c r="P129" i="3"/>
  <c r="K129" i="3"/>
  <c r="T128" i="3"/>
  <c r="S128" i="3"/>
  <c r="U128" i="3" s="1"/>
  <c r="Z128" i="3" s="1"/>
  <c r="P128" i="3"/>
  <c r="Q128" i="3" s="1"/>
  <c r="AF128" i="3" s="1"/>
  <c r="K128" i="3"/>
  <c r="AD128" i="3" s="1"/>
  <c r="AF127" i="3"/>
  <c r="Z127" i="3"/>
  <c r="U127" i="3"/>
  <c r="AC127" i="3" s="1"/>
  <c r="T127" i="3"/>
  <c r="S127" i="3"/>
  <c r="Q127" i="3"/>
  <c r="P127" i="3"/>
  <c r="K127" i="3"/>
  <c r="AD127" i="3" s="1"/>
  <c r="T126" i="3"/>
  <c r="AA126" i="3" s="1"/>
  <c r="S126" i="3"/>
  <c r="P126" i="3"/>
  <c r="Q126" i="3" s="1"/>
  <c r="AF126" i="3" s="1"/>
  <c r="K126" i="3"/>
  <c r="AD126" i="3" s="1"/>
  <c r="S125" i="3"/>
  <c r="Q125" i="3"/>
  <c r="AF125" i="3" s="1"/>
  <c r="P125" i="3"/>
  <c r="K125" i="3"/>
  <c r="AD125" i="3" s="1"/>
  <c r="AD124" i="3"/>
  <c r="T124" i="3"/>
  <c r="S124" i="3"/>
  <c r="Q124" i="3"/>
  <c r="AF124" i="3" s="1"/>
  <c r="P124" i="3"/>
  <c r="K124" i="3"/>
  <c r="Y123" i="3"/>
  <c r="T123" i="3"/>
  <c r="S123" i="3"/>
  <c r="U123" i="3" s="1"/>
  <c r="AC123" i="3" s="1"/>
  <c r="Q123" i="3"/>
  <c r="AF123" i="3" s="1"/>
  <c r="P123" i="3"/>
  <c r="K123" i="3"/>
  <c r="AD123" i="3" s="1"/>
  <c r="AF122" i="3"/>
  <c r="U122" i="3"/>
  <c r="T122" i="3"/>
  <c r="Y122" i="3" s="1"/>
  <c r="S122" i="3"/>
  <c r="Q122" i="3"/>
  <c r="P122" i="3"/>
  <c r="K122" i="3"/>
  <c r="AD122" i="3" s="1"/>
  <c r="AD121" i="3"/>
  <c r="AB121" i="3"/>
  <c r="Z121" i="3"/>
  <c r="U121" i="3"/>
  <c r="AC121" i="3" s="1"/>
  <c r="S121" i="3"/>
  <c r="Q121" i="3"/>
  <c r="AF121" i="3" s="1"/>
  <c r="P121" i="3"/>
  <c r="K121" i="3"/>
  <c r="S120" i="3"/>
  <c r="Q120" i="3"/>
  <c r="AF120" i="3" s="1"/>
  <c r="P120" i="3"/>
  <c r="K120" i="3"/>
  <c r="AD120" i="3" s="1"/>
  <c r="AF119" i="3"/>
  <c r="AD119" i="3"/>
  <c r="AC119" i="3"/>
  <c r="AB119" i="3"/>
  <c r="T119" i="3"/>
  <c r="S119" i="3"/>
  <c r="U119" i="3" s="1"/>
  <c r="Q119" i="3"/>
  <c r="P119" i="3"/>
  <c r="K119" i="3"/>
  <c r="AD118" i="3"/>
  <c r="T118" i="3"/>
  <c r="S118" i="3"/>
  <c r="U118" i="3" s="1"/>
  <c r="AC118" i="3" s="1"/>
  <c r="P118" i="3"/>
  <c r="Q118" i="3" s="1"/>
  <c r="K118" i="3"/>
  <c r="AF117" i="3"/>
  <c r="AD117" i="3"/>
  <c r="U117" i="3"/>
  <c r="AC117" i="3" s="1"/>
  <c r="T117" i="3"/>
  <c r="Y117" i="3" s="1"/>
  <c r="S117" i="3"/>
  <c r="Q117" i="3"/>
  <c r="P117" i="3"/>
  <c r="K117" i="3"/>
  <c r="T116" i="3"/>
  <c r="S116" i="3"/>
  <c r="P116" i="3"/>
  <c r="Q116" i="3" s="1"/>
  <c r="K116" i="3"/>
  <c r="AD116" i="3" s="1"/>
  <c r="S115" i="3"/>
  <c r="P115" i="3"/>
  <c r="Q115" i="3" s="1"/>
  <c r="AF115" i="3" s="1"/>
  <c r="K115" i="3"/>
  <c r="AD115" i="3" s="1"/>
  <c r="AD114" i="3"/>
  <c r="T114" i="3"/>
  <c r="S114" i="3"/>
  <c r="U114" i="3" s="1"/>
  <c r="Q114" i="3"/>
  <c r="AF114" i="3" s="1"/>
  <c r="P114" i="3"/>
  <c r="K114" i="3"/>
  <c r="AD113" i="3"/>
  <c r="T113" i="3"/>
  <c r="S113" i="3"/>
  <c r="P113" i="3"/>
  <c r="Q113" i="3" s="1"/>
  <c r="AF113" i="3" s="1"/>
  <c r="K113" i="3"/>
  <c r="AF112" i="3"/>
  <c r="T112" i="3"/>
  <c r="S112" i="3"/>
  <c r="Q112" i="3"/>
  <c r="P112" i="3"/>
  <c r="K112" i="3"/>
  <c r="AD112" i="3" s="1"/>
  <c r="U111" i="3"/>
  <c r="T111" i="3"/>
  <c r="S111" i="3"/>
  <c r="Q111" i="3"/>
  <c r="AF111" i="3" s="1"/>
  <c r="P111" i="3"/>
  <c r="K111" i="3"/>
  <c r="AD111" i="3" s="1"/>
  <c r="S110" i="3"/>
  <c r="P110" i="3"/>
  <c r="Q110" i="3" s="1"/>
  <c r="AF110" i="3" s="1"/>
  <c r="K110" i="3"/>
  <c r="AD110" i="3" s="1"/>
  <c r="AD109" i="3"/>
  <c r="U109" i="3"/>
  <c r="T109" i="3"/>
  <c r="S109" i="3"/>
  <c r="Q109" i="3"/>
  <c r="AF109" i="3" s="1"/>
  <c r="P109" i="3"/>
  <c r="K109" i="3"/>
  <c r="AD108" i="3"/>
  <c r="S108" i="3"/>
  <c r="U108" i="3" s="1"/>
  <c r="AC108" i="3" s="1"/>
  <c r="Q108" i="3"/>
  <c r="P108" i="3"/>
  <c r="K108" i="3"/>
  <c r="AF107" i="3"/>
  <c r="U107" i="3"/>
  <c r="AC107" i="3" s="1"/>
  <c r="T107" i="3"/>
  <c r="Y107" i="3" s="1"/>
  <c r="S107" i="3"/>
  <c r="Q107" i="3"/>
  <c r="P107" i="3"/>
  <c r="K107" i="3"/>
  <c r="AD107" i="3" s="1"/>
  <c r="AD106" i="3"/>
  <c r="AA106" i="3"/>
  <c r="U106" i="3"/>
  <c r="T106" i="3"/>
  <c r="S106" i="3"/>
  <c r="Q106" i="3"/>
  <c r="AF106" i="3" s="1"/>
  <c r="P106" i="3"/>
  <c r="K106" i="3"/>
  <c r="S105" i="3"/>
  <c r="Q105" i="3"/>
  <c r="AF105" i="3" s="1"/>
  <c r="P105" i="3"/>
  <c r="K105" i="3"/>
  <c r="AD105" i="3" s="1"/>
  <c r="AF104" i="3"/>
  <c r="AD104" i="3"/>
  <c r="AB104" i="3"/>
  <c r="U104" i="3"/>
  <c r="AC104" i="3" s="1"/>
  <c r="S104" i="3"/>
  <c r="Q104" i="3"/>
  <c r="P104" i="3"/>
  <c r="K104" i="3"/>
  <c r="AD103" i="3"/>
  <c r="AC103" i="3"/>
  <c r="T103" i="3"/>
  <c r="S103" i="3"/>
  <c r="U103" i="3" s="1"/>
  <c r="Z103" i="3" s="1"/>
  <c r="P103" i="3"/>
  <c r="Q103" i="3" s="1"/>
  <c r="AF103" i="3" s="1"/>
  <c r="K103" i="3"/>
  <c r="AB103" i="3" s="1"/>
  <c r="AF102" i="3"/>
  <c r="AD102" i="3"/>
  <c r="Z102" i="3"/>
  <c r="U102" i="3"/>
  <c r="AC102" i="3" s="1"/>
  <c r="T102" i="3"/>
  <c r="S102" i="3"/>
  <c r="Q102" i="3"/>
  <c r="P102" i="3"/>
  <c r="K102" i="3"/>
  <c r="T101" i="3"/>
  <c r="S101" i="3"/>
  <c r="P101" i="3"/>
  <c r="Q101" i="3" s="1"/>
  <c r="AF101" i="3" s="1"/>
  <c r="K101" i="3"/>
  <c r="AD101" i="3" s="1"/>
  <c r="T100" i="3"/>
  <c r="S100" i="3"/>
  <c r="Q100" i="3"/>
  <c r="AA100" i="3" s="1"/>
  <c r="P100" i="3"/>
  <c r="K100" i="3"/>
  <c r="AD100" i="3" s="1"/>
  <c r="AF99" i="3"/>
  <c r="T99" i="3"/>
  <c r="S99" i="3"/>
  <c r="Q99" i="3"/>
  <c r="P99" i="3"/>
  <c r="K99" i="3"/>
  <c r="AD99" i="3" s="1"/>
  <c r="AC98" i="3"/>
  <c r="T98" i="3"/>
  <c r="S98" i="3"/>
  <c r="U98" i="3" s="1"/>
  <c r="P98" i="3"/>
  <c r="Q98" i="3" s="1"/>
  <c r="K98" i="3"/>
  <c r="AD98" i="3" s="1"/>
  <c r="AF97" i="3"/>
  <c r="U97" i="3"/>
  <c r="T97" i="3"/>
  <c r="Y97" i="3" s="1"/>
  <c r="S97" i="3"/>
  <c r="Q97" i="3"/>
  <c r="P97" i="3"/>
  <c r="K97" i="3"/>
  <c r="AD97" i="3" s="1"/>
  <c r="AD96" i="3"/>
  <c r="AA96" i="3"/>
  <c r="U96" i="3"/>
  <c r="Z96" i="3" s="1"/>
  <c r="T96" i="3"/>
  <c r="S96" i="3"/>
  <c r="Q96" i="3"/>
  <c r="AF96" i="3" s="1"/>
  <c r="P96" i="3"/>
  <c r="K96" i="3"/>
  <c r="AA95" i="3"/>
  <c r="T95" i="3"/>
  <c r="S95" i="3"/>
  <c r="P95" i="3"/>
  <c r="Q95" i="3" s="1"/>
  <c r="AF95" i="3" s="1"/>
  <c r="K95" i="3"/>
  <c r="AD95" i="3" s="1"/>
  <c r="AD94" i="3"/>
  <c r="AC94" i="3"/>
  <c r="AB94" i="3"/>
  <c r="U94" i="3"/>
  <c r="T94" i="3"/>
  <c r="S94" i="3"/>
  <c r="Q94" i="3"/>
  <c r="AF94" i="3" s="1"/>
  <c r="P94" i="3"/>
  <c r="K94" i="3"/>
  <c r="AD93" i="3"/>
  <c r="T93" i="3"/>
  <c r="S93" i="3"/>
  <c r="Q93" i="3"/>
  <c r="AF93" i="3" s="1"/>
  <c r="P93" i="3"/>
  <c r="K93" i="3"/>
  <c r="AD92" i="3"/>
  <c r="U92" i="3"/>
  <c r="S92" i="3"/>
  <c r="Q92" i="3"/>
  <c r="AF92" i="3" s="1"/>
  <c r="P92" i="3"/>
  <c r="K92" i="3"/>
  <c r="AA91" i="3"/>
  <c r="U91" i="3"/>
  <c r="AC91" i="3" s="1"/>
  <c r="T91" i="3"/>
  <c r="S91" i="3"/>
  <c r="Q91" i="3"/>
  <c r="AF91" i="3" s="1"/>
  <c r="P91" i="3"/>
  <c r="K91" i="3"/>
  <c r="AD91" i="3" s="1"/>
  <c r="AD90" i="3"/>
  <c r="T90" i="3"/>
  <c r="Y90" i="3" s="1"/>
  <c r="S90" i="3"/>
  <c r="Q90" i="3"/>
  <c r="AF90" i="3" s="1"/>
  <c r="P90" i="3"/>
  <c r="K90" i="3"/>
  <c r="AA90" i="3" s="1"/>
  <c r="AF89" i="3"/>
  <c r="AD89" i="3"/>
  <c r="T89" i="3"/>
  <c r="S89" i="3"/>
  <c r="U89" i="3" s="1"/>
  <c r="AC89" i="3" s="1"/>
  <c r="Q89" i="3"/>
  <c r="Z89" i="3" s="1"/>
  <c r="P89" i="3"/>
  <c r="K89" i="3"/>
  <c r="T88" i="3"/>
  <c r="S88" i="3"/>
  <c r="Q88" i="3"/>
  <c r="AF88" i="3" s="1"/>
  <c r="P88" i="3"/>
  <c r="K88" i="3"/>
  <c r="AD88" i="3" s="1"/>
  <c r="AD87" i="3"/>
  <c r="U87" i="3"/>
  <c r="S87" i="3"/>
  <c r="Q87" i="3"/>
  <c r="AF87" i="3" s="1"/>
  <c r="P87" i="3"/>
  <c r="K87" i="3"/>
  <c r="AB86" i="3"/>
  <c r="AA86" i="3"/>
  <c r="Y86" i="3"/>
  <c r="T86" i="3"/>
  <c r="S86" i="3"/>
  <c r="U86" i="3" s="1"/>
  <c r="AC86" i="3" s="1"/>
  <c r="Q86" i="3"/>
  <c r="AF86" i="3" s="1"/>
  <c r="P86" i="3"/>
  <c r="K86" i="3"/>
  <c r="AD86" i="3" s="1"/>
  <c r="AD85" i="3"/>
  <c r="U85" i="3"/>
  <c r="S85" i="3"/>
  <c r="P85" i="3"/>
  <c r="Q85" i="3" s="1"/>
  <c r="AF85" i="3" s="1"/>
  <c r="K85" i="3"/>
  <c r="T84" i="3"/>
  <c r="S84" i="3"/>
  <c r="Q84" i="3"/>
  <c r="AF84" i="3" s="1"/>
  <c r="P84" i="3"/>
  <c r="K84" i="3"/>
  <c r="AD84" i="3" s="1"/>
  <c r="T83" i="3"/>
  <c r="S83" i="3"/>
  <c r="Q83" i="3"/>
  <c r="AF83" i="3" s="1"/>
  <c r="P83" i="3"/>
  <c r="K83" i="3"/>
  <c r="AD83" i="3" s="1"/>
  <c r="AD82" i="3"/>
  <c r="Y82" i="3"/>
  <c r="U82" i="3"/>
  <c r="T82" i="3"/>
  <c r="S82" i="3"/>
  <c r="Q82" i="3"/>
  <c r="AF82" i="3" s="1"/>
  <c r="P82" i="3"/>
  <c r="K82" i="3"/>
  <c r="AC81" i="3"/>
  <c r="U81" i="3"/>
  <c r="T81" i="3"/>
  <c r="S81" i="3"/>
  <c r="P81" i="3"/>
  <c r="Q81" i="3" s="1"/>
  <c r="K81" i="3"/>
  <c r="AD81" i="3" s="1"/>
  <c r="AD80" i="3"/>
  <c r="U80" i="3"/>
  <c r="T80" i="3"/>
  <c r="S80" i="3"/>
  <c r="P80" i="3"/>
  <c r="K80" i="3"/>
  <c r="U79" i="3"/>
  <c r="Z79" i="3" s="1"/>
  <c r="T79" i="3"/>
  <c r="AA79" i="3" s="1"/>
  <c r="S79" i="3"/>
  <c r="Q79" i="3"/>
  <c r="AF79" i="3" s="1"/>
  <c r="P79" i="3"/>
  <c r="K79" i="3"/>
  <c r="AD79" i="3" s="1"/>
  <c r="AC78" i="3"/>
  <c r="AB78" i="3"/>
  <c r="AA78" i="3"/>
  <c r="T78" i="3"/>
  <c r="S78" i="3"/>
  <c r="U78" i="3" s="1"/>
  <c r="P78" i="3"/>
  <c r="Q78" i="3" s="1"/>
  <c r="Z78" i="3" s="1"/>
  <c r="K78" i="3"/>
  <c r="AD78" i="3" s="1"/>
  <c r="AF77" i="3"/>
  <c r="AD77" i="3"/>
  <c r="T77" i="3"/>
  <c r="Y77" i="3" s="1"/>
  <c r="S77" i="3"/>
  <c r="Q77" i="3"/>
  <c r="P77" i="3"/>
  <c r="K77" i="3"/>
  <c r="U76" i="3"/>
  <c r="T76" i="3"/>
  <c r="S76" i="3"/>
  <c r="Q76" i="3"/>
  <c r="AF76" i="3" s="1"/>
  <c r="P76" i="3"/>
  <c r="K76" i="3"/>
  <c r="AD76" i="3" s="1"/>
  <c r="Y75" i="3"/>
  <c r="U75" i="3"/>
  <c r="AC75" i="3" s="1"/>
  <c r="T75" i="3"/>
  <c r="S75" i="3"/>
  <c r="P75" i="3"/>
  <c r="Q75" i="3" s="1"/>
  <c r="AF75" i="3" s="1"/>
  <c r="K75" i="3"/>
  <c r="AD75" i="3" s="1"/>
  <c r="AC74" i="3"/>
  <c r="AB74" i="3"/>
  <c r="U74" i="3"/>
  <c r="Z74" i="3" s="1"/>
  <c r="T74" i="3"/>
  <c r="S74" i="3"/>
  <c r="P74" i="3"/>
  <c r="Q74" i="3" s="1"/>
  <c r="AF74" i="3" s="1"/>
  <c r="K74" i="3"/>
  <c r="AD74" i="3" s="1"/>
  <c r="AD73" i="3"/>
  <c r="AA73" i="3"/>
  <c r="T73" i="3"/>
  <c r="S73" i="3"/>
  <c r="Q73" i="3"/>
  <c r="P73" i="3"/>
  <c r="K73" i="3"/>
  <c r="AF72" i="3"/>
  <c r="U72" i="3"/>
  <c r="T72" i="3"/>
  <c r="Y72" i="3" s="1"/>
  <c r="S72" i="3"/>
  <c r="Q72" i="3"/>
  <c r="P72" i="3"/>
  <c r="K72" i="3"/>
  <c r="AD72" i="3" s="1"/>
  <c r="AA71" i="3"/>
  <c r="Z71" i="3"/>
  <c r="Y71" i="3"/>
  <c r="U71" i="3"/>
  <c r="AC71" i="3" s="1"/>
  <c r="T71" i="3"/>
  <c r="S71" i="3"/>
  <c r="Q71" i="3"/>
  <c r="AF71" i="3" s="1"/>
  <c r="P71" i="3"/>
  <c r="K71" i="3"/>
  <c r="AD71" i="3" s="1"/>
  <c r="U70" i="3"/>
  <c r="T70" i="3"/>
  <c r="S70" i="3"/>
  <c r="P70" i="3"/>
  <c r="K70" i="3"/>
  <c r="AD70" i="3" s="1"/>
  <c r="T69" i="3"/>
  <c r="S69" i="3"/>
  <c r="Q69" i="3"/>
  <c r="AF69" i="3" s="1"/>
  <c r="P69" i="3"/>
  <c r="K69" i="3"/>
  <c r="AD69" i="3" s="1"/>
  <c r="AC68" i="3"/>
  <c r="T68" i="3"/>
  <c r="S68" i="3"/>
  <c r="U68" i="3" s="1"/>
  <c r="Q68" i="3"/>
  <c r="AF68" i="3" s="1"/>
  <c r="P68" i="3"/>
  <c r="K68" i="3"/>
  <c r="AD68" i="3" s="1"/>
  <c r="AD67" i="3"/>
  <c r="Y67" i="3"/>
  <c r="U67" i="3"/>
  <c r="T67" i="3"/>
  <c r="S67" i="3"/>
  <c r="Q67" i="3"/>
  <c r="AF67" i="3" s="1"/>
  <c r="P67" i="3"/>
  <c r="K67" i="3"/>
  <c r="AD66" i="3"/>
  <c r="AC66" i="3"/>
  <c r="Z66" i="3"/>
  <c r="T66" i="3"/>
  <c r="Y66" i="3" s="1"/>
  <c r="S66" i="3"/>
  <c r="U66" i="3" s="1"/>
  <c r="Q66" i="3"/>
  <c r="AF66" i="3" s="1"/>
  <c r="P66" i="3"/>
  <c r="K66" i="3"/>
  <c r="AD65" i="3"/>
  <c r="U65" i="3"/>
  <c r="T65" i="3"/>
  <c r="S65" i="3"/>
  <c r="P65" i="3"/>
  <c r="Q65" i="3" s="1"/>
  <c r="AF65" i="3" s="1"/>
  <c r="K65" i="3"/>
  <c r="AD64" i="3"/>
  <c r="AC64" i="3"/>
  <c r="Z64" i="3"/>
  <c r="T64" i="3"/>
  <c r="S64" i="3"/>
  <c r="U64" i="3" s="1"/>
  <c r="Q64" i="3"/>
  <c r="AF64" i="3" s="1"/>
  <c r="P64" i="3"/>
  <c r="K64" i="3"/>
  <c r="AC63" i="3"/>
  <c r="T63" i="3"/>
  <c r="S63" i="3"/>
  <c r="U63" i="3" s="1"/>
  <c r="P63" i="3"/>
  <c r="Q63" i="3" s="1"/>
  <c r="K63" i="3"/>
  <c r="AD63" i="3" s="1"/>
  <c r="AD62" i="3"/>
  <c r="AC62" i="3"/>
  <c r="S62" i="3"/>
  <c r="U62" i="3" s="1"/>
  <c r="Q62" i="3"/>
  <c r="AF62" i="3" s="1"/>
  <c r="P62" i="3"/>
  <c r="K62" i="3"/>
  <c r="AD61" i="3"/>
  <c r="T61" i="3"/>
  <c r="S61" i="3"/>
  <c r="P61" i="3"/>
  <c r="Q61" i="3" s="1"/>
  <c r="AF61" i="3" s="1"/>
  <c r="K61" i="3"/>
  <c r="AD60" i="3"/>
  <c r="U60" i="3"/>
  <c r="S60" i="3"/>
  <c r="P60" i="3"/>
  <c r="Q60" i="3" s="1"/>
  <c r="AF60" i="3" s="1"/>
  <c r="K60" i="3"/>
  <c r="AC59" i="3"/>
  <c r="T59" i="3"/>
  <c r="S59" i="3"/>
  <c r="U59" i="3" s="1"/>
  <c r="P59" i="3"/>
  <c r="Q59" i="3" s="1"/>
  <c r="AF59" i="3" s="1"/>
  <c r="K59" i="3"/>
  <c r="AD59" i="3" s="1"/>
  <c r="T58" i="3"/>
  <c r="S58" i="3"/>
  <c r="P58" i="3"/>
  <c r="K58" i="3"/>
  <c r="AD58" i="3" s="1"/>
  <c r="AD57" i="3"/>
  <c r="T57" i="3"/>
  <c r="S57" i="3"/>
  <c r="Q57" i="3"/>
  <c r="P57" i="3"/>
  <c r="K57" i="3"/>
  <c r="AF56" i="3"/>
  <c r="U56" i="3"/>
  <c r="T56" i="3"/>
  <c r="S56" i="3"/>
  <c r="Q56" i="3"/>
  <c r="Y56" i="3" s="1"/>
  <c r="P56" i="3"/>
  <c r="K56" i="3"/>
  <c r="AD56" i="3" s="1"/>
  <c r="AB55" i="3"/>
  <c r="Z55" i="3"/>
  <c r="Y55" i="3"/>
  <c r="U55" i="3"/>
  <c r="AC55" i="3" s="1"/>
  <c r="T55" i="3"/>
  <c r="S55" i="3"/>
  <c r="P55" i="3"/>
  <c r="Q55" i="3" s="1"/>
  <c r="AF55" i="3" s="1"/>
  <c r="K55" i="3"/>
  <c r="AD55" i="3" s="1"/>
  <c r="AF54" i="3"/>
  <c r="AC54" i="3"/>
  <c r="AB54" i="3"/>
  <c r="U54" i="3"/>
  <c r="T54" i="3"/>
  <c r="S54" i="3"/>
  <c r="Q54" i="3"/>
  <c r="P54" i="3"/>
  <c r="K54" i="3"/>
  <c r="AD54" i="3" s="1"/>
  <c r="AC53" i="3"/>
  <c r="AB53" i="3"/>
  <c r="T53" i="3"/>
  <c r="S53" i="3"/>
  <c r="U53" i="3" s="1"/>
  <c r="Q53" i="3"/>
  <c r="P53" i="3"/>
  <c r="K53" i="3"/>
  <c r="AD53" i="3" s="1"/>
  <c r="AF52" i="3"/>
  <c r="Y52" i="3"/>
  <c r="T52" i="3"/>
  <c r="S52" i="3"/>
  <c r="Q52" i="3"/>
  <c r="P52" i="3"/>
  <c r="K52" i="3"/>
  <c r="AD52" i="3" s="1"/>
  <c r="AC51" i="3"/>
  <c r="U51" i="3"/>
  <c r="T51" i="3"/>
  <c r="S51" i="3"/>
  <c r="P51" i="3"/>
  <c r="K51" i="3"/>
  <c r="AD51" i="3" s="1"/>
  <c r="AF50" i="3"/>
  <c r="U50" i="3"/>
  <c r="T50" i="3"/>
  <c r="S50" i="3"/>
  <c r="P50" i="3"/>
  <c r="Q50" i="3" s="1"/>
  <c r="K50" i="3"/>
  <c r="AD50" i="3" s="1"/>
  <c r="AC49" i="3"/>
  <c r="U49" i="3"/>
  <c r="T49" i="3"/>
  <c r="S49" i="3"/>
  <c r="P49" i="3"/>
  <c r="Q49" i="3" s="1"/>
  <c r="AF49" i="3" s="1"/>
  <c r="K49" i="3"/>
  <c r="AD49" i="3" s="1"/>
  <c r="AA48" i="3"/>
  <c r="Y48" i="3"/>
  <c r="T48" i="3"/>
  <c r="S48" i="3"/>
  <c r="Q48" i="3"/>
  <c r="AF48" i="3" s="1"/>
  <c r="P48" i="3"/>
  <c r="K48" i="3"/>
  <c r="AD48" i="3" s="1"/>
  <c r="AF47" i="3"/>
  <c r="AB47" i="3"/>
  <c r="Z47" i="3"/>
  <c r="Y47" i="3"/>
  <c r="U47" i="3"/>
  <c r="AC47" i="3" s="1"/>
  <c r="T47" i="3"/>
  <c r="S47" i="3"/>
  <c r="Q47" i="3"/>
  <c r="P47" i="3"/>
  <c r="K47" i="3"/>
  <c r="AD47" i="3" s="1"/>
  <c r="AF46" i="3"/>
  <c r="AD46" i="3"/>
  <c r="AA46" i="3"/>
  <c r="T46" i="3"/>
  <c r="S46" i="3"/>
  <c r="Q46" i="3"/>
  <c r="P46" i="3"/>
  <c r="K46" i="3"/>
  <c r="AF45" i="3"/>
  <c r="Y45" i="3"/>
  <c r="U45" i="3"/>
  <c r="T45" i="3"/>
  <c r="S45" i="3"/>
  <c r="P45" i="3"/>
  <c r="Q45" i="3" s="1"/>
  <c r="K45" i="3"/>
  <c r="AD45" i="3" s="1"/>
  <c r="AC44" i="3"/>
  <c r="AA44" i="3"/>
  <c r="Z44" i="3"/>
  <c r="T44" i="3"/>
  <c r="S44" i="3"/>
  <c r="U44" i="3" s="1"/>
  <c r="Q44" i="3"/>
  <c r="AF44" i="3" s="1"/>
  <c r="P44" i="3"/>
  <c r="K44" i="3"/>
  <c r="AD44" i="3" s="1"/>
  <c r="AD43" i="3"/>
  <c r="AC43" i="3"/>
  <c r="AA43" i="3"/>
  <c r="Z43" i="3"/>
  <c r="T43" i="3"/>
  <c r="S43" i="3"/>
  <c r="U43" i="3" s="1"/>
  <c r="Q43" i="3"/>
  <c r="AF43" i="3" s="1"/>
  <c r="P43" i="3"/>
  <c r="K43" i="3"/>
  <c r="AF42" i="3"/>
  <c r="AD42" i="3"/>
  <c r="AB42" i="3"/>
  <c r="U42" i="3"/>
  <c r="T42" i="3"/>
  <c r="S42" i="3"/>
  <c r="Q42" i="3"/>
  <c r="P42" i="3"/>
  <c r="K42" i="3"/>
  <c r="AF41" i="3"/>
  <c r="AD41" i="3"/>
  <c r="AC41" i="3"/>
  <c r="Z41" i="3"/>
  <c r="Y41" i="3"/>
  <c r="T41" i="3"/>
  <c r="S41" i="3"/>
  <c r="U41" i="3" s="1"/>
  <c r="Q41" i="3"/>
  <c r="P41" i="3"/>
  <c r="K41" i="3"/>
  <c r="AD40" i="3"/>
  <c r="AB40" i="3"/>
  <c r="AA40" i="3"/>
  <c r="Y40" i="3"/>
  <c r="U40" i="3"/>
  <c r="T40" i="3"/>
  <c r="S40" i="3"/>
  <c r="P40" i="3"/>
  <c r="Q40" i="3" s="1"/>
  <c r="AF40" i="3" s="1"/>
  <c r="K40" i="3"/>
  <c r="AF39" i="3"/>
  <c r="AD39" i="3"/>
  <c r="T39" i="3"/>
  <c r="S39" i="3"/>
  <c r="Q39" i="3"/>
  <c r="P39" i="3"/>
  <c r="K39" i="3"/>
  <c r="T38" i="3"/>
  <c r="S38" i="3"/>
  <c r="U38" i="3" s="1"/>
  <c r="AB38" i="3" s="1"/>
  <c r="Q38" i="3"/>
  <c r="AF38" i="3" s="1"/>
  <c r="P38" i="3"/>
  <c r="K38" i="3"/>
  <c r="AD38" i="3" s="1"/>
  <c r="AD37" i="3"/>
  <c r="U37" i="3"/>
  <c r="S37" i="3"/>
  <c r="Q37" i="3"/>
  <c r="AF37" i="3" s="1"/>
  <c r="P37" i="3"/>
  <c r="K37" i="3"/>
  <c r="AD36" i="3"/>
  <c r="AC36" i="3"/>
  <c r="AB36" i="3"/>
  <c r="T36" i="3"/>
  <c r="AA36" i="3" s="1"/>
  <c r="S36" i="3"/>
  <c r="U36" i="3" s="1"/>
  <c r="P36" i="3"/>
  <c r="Q36" i="3" s="1"/>
  <c r="AF36" i="3" s="1"/>
  <c r="K36" i="3"/>
  <c r="AD35" i="3"/>
  <c r="U35" i="3"/>
  <c r="S35" i="3"/>
  <c r="P35" i="3"/>
  <c r="Q35" i="3" s="1"/>
  <c r="K35" i="3"/>
  <c r="AF34" i="3"/>
  <c r="T34" i="3"/>
  <c r="AA34" i="3" s="1"/>
  <c r="S34" i="3"/>
  <c r="Q34" i="3"/>
  <c r="P34" i="3"/>
  <c r="K34" i="3"/>
  <c r="AD34" i="3" s="1"/>
  <c r="T33" i="3"/>
  <c r="S33" i="3"/>
  <c r="P33" i="3"/>
  <c r="Q33" i="3" s="1"/>
  <c r="AF33" i="3" s="1"/>
  <c r="K33" i="3"/>
  <c r="AD33" i="3" s="1"/>
  <c r="Y32" i="3"/>
  <c r="U32" i="3"/>
  <c r="AC32" i="3" s="1"/>
  <c r="T32" i="3"/>
  <c r="S32" i="3"/>
  <c r="Q32" i="3"/>
  <c r="AF32" i="3" s="1"/>
  <c r="P32" i="3"/>
  <c r="K32" i="3"/>
  <c r="AD32" i="3" s="1"/>
  <c r="AC31" i="3"/>
  <c r="U31" i="3"/>
  <c r="T31" i="3"/>
  <c r="S31" i="3"/>
  <c r="P31" i="3"/>
  <c r="Q31" i="3" s="1"/>
  <c r="K31" i="3"/>
  <c r="AD31" i="3" s="1"/>
  <c r="U30" i="3"/>
  <c r="T30" i="3"/>
  <c r="S30" i="3"/>
  <c r="P30" i="3"/>
  <c r="K30" i="3"/>
  <c r="AD30" i="3" s="1"/>
  <c r="AC29" i="3"/>
  <c r="AB29" i="3"/>
  <c r="AA29" i="3"/>
  <c r="U29" i="3"/>
  <c r="T29" i="3"/>
  <c r="S29" i="3"/>
  <c r="P29" i="3"/>
  <c r="Q29" i="3" s="1"/>
  <c r="AF29" i="3" s="1"/>
  <c r="K29" i="3"/>
  <c r="AD29" i="3" s="1"/>
  <c r="AC28" i="3"/>
  <c r="T28" i="3"/>
  <c r="S28" i="3"/>
  <c r="U28" i="3" s="1"/>
  <c r="P28" i="3"/>
  <c r="Q28" i="3" s="1"/>
  <c r="K28" i="3"/>
  <c r="AD28" i="3" s="1"/>
  <c r="AF27" i="3"/>
  <c r="AD27" i="3"/>
  <c r="Y27" i="3"/>
  <c r="T27" i="3"/>
  <c r="S27" i="3"/>
  <c r="Q27" i="3"/>
  <c r="P27" i="3"/>
  <c r="K27" i="3"/>
  <c r="AC26" i="3"/>
  <c r="U26" i="3"/>
  <c r="T26" i="3"/>
  <c r="S26" i="3"/>
  <c r="P26" i="3"/>
  <c r="Q26" i="3" s="1"/>
  <c r="K26" i="3"/>
  <c r="AD26" i="3" s="1"/>
  <c r="AD25" i="3"/>
  <c r="U25" i="3"/>
  <c r="T25" i="3"/>
  <c r="S25" i="3"/>
  <c r="P25" i="3"/>
  <c r="Q25" i="3" s="1"/>
  <c r="K25" i="3"/>
  <c r="AD24" i="3"/>
  <c r="T24" i="3"/>
  <c r="AA24" i="3" s="1"/>
  <c r="S24" i="3"/>
  <c r="Q24" i="3"/>
  <c r="AF24" i="3" s="1"/>
  <c r="P24" i="3"/>
  <c r="K24" i="3"/>
  <c r="AD23" i="3"/>
  <c r="AC23" i="3"/>
  <c r="T23" i="3"/>
  <c r="S23" i="3"/>
  <c r="U23" i="3" s="1"/>
  <c r="Q23" i="3"/>
  <c r="P23" i="3"/>
  <c r="K23" i="3"/>
  <c r="U22" i="3"/>
  <c r="AC22" i="3" s="1"/>
  <c r="T22" i="3"/>
  <c r="S22" i="3"/>
  <c r="Q22" i="3"/>
  <c r="AF22" i="3" s="1"/>
  <c r="P22" i="3"/>
  <c r="K22" i="3"/>
  <c r="AD22" i="3" s="1"/>
  <c r="AF21" i="3"/>
  <c r="AD21" i="3"/>
  <c r="U21" i="3"/>
  <c r="Z21" i="3" s="1"/>
  <c r="T21" i="3"/>
  <c r="Y21" i="3" s="1"/>
  <c r="S21" i="3"/>
  <c r="Q21" i="3"/>
  <c r="P21" i="3"/>
  <c r="K21" i="3"/>
  <c r="AF20" i="3"/>
  <c r="AA20" i="3"/>
  <c r="Z20" i="3"/>
  <c r="U20" i="3"/>
  <c r="AC20" i="3" s="1"/>
  <c r="T20" i="3"/>
  <c r="Y20" i="3" s="1"/>
  <c r="S20" i="3"/>
  <c r="Q20" i="3"/>
  <c r="P20" i="3"/>
  <c r="K20" i="3"/>
  <c r="AD20" i="3" s="1"/>
  <c r="AC19" i="3"/>
  <c r="T19" i="3"/>
  <c r="S19" i="3"/>
  <c r="U19" i="3" s="1"/>
  <c r="P19" i="3"/>
  <c r="Q19" i="3" s="1"/>
  <c r="K19" i="3"/>
  <c r="AD19" i="3" s="1"/>
  <c r="AD18" i="3"/>
  <c r="T18" i="3"/>
  <c r="S18" i="3"/>
  <c r="Q18" i="3"/>
  <c r="AF18" i="3" s="1"/>
  <c r="P18" i="3"/>
  <c r="K18" i="3"/>
  <c r="AF17" i="3"/>
  <c r="AB17" i="3"/>
  <c r="Z17" i="3"/>
  <c r="Y17" i="3"/>
  <c r="T17" i="3"/>
  <c r="S17" i="3"/>
  <c r="U17" i="3" s="1"/>
  <c r="Q17" i="3"/>
  <c r="P17" i="3"/>
  <c r="K17" i="3"/>
  <c r="AD17" i="3" s="1"/>
  <c r="U16" i="3"/>
  <c r="AC16" i="3" s="1"/>
  <c r="T16" i="3"/>
  <c r="S16" i="3"/>
  <c r="P16" i="3"/>
  <c r="Q16" i="3" s="1"/>
  <c r="K16" i="3"/>
  <c r="AD16" i="3" s="1"/>
  <c r="AD15" i="3"/>
  <c r="U15" i="3"/>
  <c r="T15" i="3"/>
  <c r="S15" i="3"/>
  <c r="Q15" i="3"/>
  <c r="AF15" i="3" s="1"/>
  <c r="P15" i="3"/>
  <c r="K15" i="3"/>
  <c r="AC14" i="3"/>
  <c r="T14" i="3"/>
  <c r="AA14" i="3" s="1"/>
  <c r="S14" i="3"/>
  <c r="U14" i="3" s="1"/>
  <c r="P14" i="3"/>
  <c r="Q14" i="3" s="1"/>
  <c r="AF14" i="3" s="1"/>
  <c r="K14" i="3"/>
  <c r="AD14" i="3" s="1"/>
  <c r="T13" i="3"/>
  <c r="S13" i="3"/>
  <c r="U13" i="3" s="1"/>
  <c r="AB13" i="3" s="1"/>
  <c r="Q13" i="3"/>
  <c r="AF13" i="3" s="1"/>
  <c r="P13" i="3"/>
  <c r="K13" i="3"/>
  <c r="AD13" i="3" s="1"/>
  <c r="AD12" i="3"/>
  <c r="U12" i="3"/>
  <c r="T12" i="3"/>
  <c r="Y12" i="3" s="1"/>
  <c r="S12" i="3"/>
  <c r="Q12" i="3"/>
  <c r="AF12" i="3" s="1"/>
  <c r="P12" i="3"/>
  <c r="K12" i="3"/>
  <c r="U11" i="3"/>
  <c r="AC11" i="3" s="1"/>
  <c r="T11" i="3"/>
  <c r="S11" i="3"/>
  <c r="P11" i="3"/>
  <c r="Q11" i="3" s="1"/>
  <c r="K11" i="3"/>
  <c r="AD11" i="3" s="1"/>
  <c r="AF10" i="3"/>
  <c r="AD10" i="3"/>
  <c r="U10" i="3"/>
  <c r="T10" i="3"/>
  <c r="Y10" i="3" s="1"/>
  <c r="S10" i="3"/>
  <c r="Q10" i="3"/>
  <c r="P10" i="3"/>
  <c r="K10" i="3"/>
  <c r="AD9" i="3"/>
  <c r="AA9" i="3"/>
  <c r="Z9" i="3"/>
  <c r="T9" i="3"/>
  <c r="S9" i="3"/>
  <c r="U9" i="3" s="1"/>
  <c r="Q9" i="3"/>
  <c r="AF9" i="3" s="1"/>
  <c r="P9" i="3"/>
  <c r="K9" i="3"/>
  <c r="AC8" i="3"/>
  <c r="AB8" i="3"/>
  <c r="Z8" i="3"/>
  <c r="Y8" i="3"/>
  <c r="T8" i="3"/>
  <c r="S8" i="3"/>
  <c r="U8" i="3" s="1"/>
  <c r="Q8" i="3"/>
  <c r="AF8" i="3" s="1"/>
  <c r="P8" i="3"/>
  <c r="K8" i="3"/>
  <c r="AD8" i="3" s="1"/>
  <c r="AF7" i="3"/>
  <c r="T7" i="3"/>
  <c r="S7" i="3"/>
  <c r="U7" i="3" s="1"/>
  <c r="Q7" i="3"/>
  <c r="P7" i="3"/>
  <c r="K7" i="3"/>
  <c r="AD7" i="3" s="1"/>
  <c r="C20" i="2"/>
  <c r="C21" i="1"/>
  <c r="C20" i="1"/>
  <c r="C17" i="1"/>
  <c r="E15" i="1"/>
  <c r="D15" i="1"/>
  <c r="C15" i="1"/>
  <c r="D8" i="1"/>
  <c r="C8" i="1"/>
  <c r="D7" i="1"/>
  <c r="E7" i="1" s="1"/>
  <c r="C7" i="1"/>
  <c r="D6" i="1"/>
  <c r="E6" i="1" s="1"/>
  <c r="C6" i="1"/>
  <c r="AA81" i="3" l="1"/>
  <c r="AB81" i="3"/>
  <c r="AF81" i="3"/>
  <c r="AF26" i="3"/>
  <c r="Y26" i="3"/>
  <c r="Z26" i="3"/>
  <c r="AF16" i="3"/>
  <c r="AB16" i="3"/>
  <c r="AF19" i="3"/>
  <c r="AB19" i="3"/>
  <c r="AA19" i="3"/>
  <c r="C11" i="8"/>
  <c r="E11" i="8" s="1"/>
  <c r="AF31" i="3"/>
  <c r="AB31" i="3"/>
  <c r="Y31" i="3"/>
  <c r="AF11" i="3"/>
  <c r="AA11" i="3"/>
  <c r="Y11" i="3"/>
  <c r="Y58" i="3"/>
  <c r="AF25" i="3"/>
  <c r="AA25" i="3"/>
  <c r="AB25" i="3"/>
  <c r="AF28" i="3"/>
  <c r="AB28" i="3"/>
  <c r="AA28" i="3"/>
  <c r="Z28" i="3"/>
  <c r="AC7" i="3"/>
  <c r="Z7" i="3"/>
  <c r="AB7" i="3"/>
  <c r="AF35" i="3"/>
  <c r="AB35" i="3"/>
  <c r="AC149" i="3"/>
  <c r="AB149" i="3"/>
  <c r="AC122" i="3"/>
  <c r="Z122" i="3"/>
  <c r="AC10" i="3"/>
  <c r="AB10" i="3"/>
  <c r="AA33" i="3"/>
  <c r="Z37" i="3"/>
  <c r="AC37" i="3"/>
  <c r="AB37" i="3"/>
  <c r="AA38" i="3"/>
  <c r="Y38" i="3"/>
  <c r="AC42" i="3"/>
  <c r="AA55" i="3"/>
  <c r="U61" i="3"/>
  <c r="Q70" i="3"/>
  <c r="Z70" i="3"/>
  <c r="U77" i="3"/>
  <c r="U84" i="3"/>
  <c r="AB85" i="3"/>
  <c r="AB91" i="3"/>
  <c r="Z94" i="3"/>
  <c r="AC96" i="3"/>
  <c r="AA103" i="3"/>
  <c r="AF108" i="3"/>
  <c r="Z108" i="3"/>
  <c r="AC109" i="3"/>
  <c r="AB109" i="3"/>
  <c r="U113" i="3"/>
  <c r="AC151" i="3"/>
  <c r="AB151" i="3"/>
  <c r="Z151" i="3"/>
  <c r="U99" i="3"/>
  <c r="AC111" i="3"/>
  <c r="AB111" i="3"/>
  <c r="Z111" i="3"/>
  <c r="U126" i="3"/>
  <c r="U153" i="3"/>
  <c r="Q58" i="3"/>
  <c r="AC60" i="3"/>
  <c r="Z60" i="3"/>
  <c r="AB60" i="3"/>
  <c r="AA64" i="3"/>
  <c r="AC65" i="3"/>
  <c r="AB65" i="3"/>
  <c r="AA76" i="3"/>
  <c r="Y76" i="3"/>
  <c r="Y88" i="3"/>
  <c r="AA88" i="3"/>
  <c r="Y93" i="3"/>
  <c r="AA93" i="3"/>
  <c r="U101" i="3"/>
  <c r="AF116" i="3"/>
  <c r="AA116" i="3"/>
  <c r="Y137" i="3"/>
  <c r="U141" i="3"/>
  <c r="AC67" i="3"/>
  <c r="AC157" i="3"/>
  <c r="Z157" i="3"/>
  <c r="E8" i="1"/>
  <c r="AA23" i="3"/>
  <c r="U24" i="3"/>
  <c r="U139" i="3"/>
  <c r="AB146" i="3"/>
  <c r="Y42" i="3"/>
  <c r="AA10" i="3"/>
  <c r="AB12" i="3"/>
  <c r="Z12" i="3"/>
  <c r="AA13" i="3"/>
  <c r="Y15" i="3"/>
  <c r="AA15" i="3"/>
  <c r="U156" i="3"/>
  <c r="AC159" i="3"/>
  <c r="AC30" i="3"/>
  <c r="U34" i="3"/>
  <c r="AC21" i="3"/>
  <c r="AB21" i="3"/>
  <c r="Y36" i="3"/>
  <c r="Q51" i="3"/>
  <c r="AF63" i="3"/>
  <c r="Y63" i="3"/>
  <c r="Y65" i="3"/>
  <c r="AA65" i="3"/>
  <c r="AC72" i="3"/>
  <c r="Z72" i="3"/>
  <c r="AB72" i="3"/>
  <c r="U88" i="3"/>
  <c r="AC38" i="3"/>
  <c r="Z11" i="3"/>
  <c r="AC15" i="3"/>
  <c r="Z15" i="3"/>
  <c r="Z76" i="3"/>
  <c r="AC76" i="3"/>
  <c r="AB76" i="3"/>
  <c r="Y80" i="3"/>
  <c r="Q80" i="3"/>
  <c r="AA83" i="3"/>
  <c r="Y83" i="3"/>
  <c r="Z22" i="3"/>
  <c r="AC25" i="3"/>
  <c r="Y50" i="3"/>
  <c r="AA50" i="3"/>
  <c r="AF53" i="3"/>
  <c r="Z53" i="3"/>
  <c r="U69" i="3"/>
  <c r="AC82" i="3"/>
  <c r="AB82" i="3"/>
  <c r="Z87" i="3"/>
  <c r="AB87" i="3"/>
  <c r="AC87" i="3"/>
  <c r="AC92" i="3"/>
  <c r="Z92" i="3"/>
  <c r="AB92" i="3"/>
  <c r="AC106" i="3"/>
  <c r="Z106" i="3"/>
  <c r="AF118" i="3"/>
  <c r="Z118" i="3"/>
  <c r="AB11" i="3"/>
  <c r="U18" i="3"/>
  <c r="Z19" i="3"/>
  <c r="AB20" i="3"/>
  <c r="AB22" i="3"/>
  <c r="AA26" i="3"/>
  <c r="Q30" i="3"/>
  <c r="AB30" i="3" s="1"/>
  <c r="AC50" i="3"/>
  <c r="AA54" i="3"/>
  <c r="AA56" i="3"/>
  <c r="AA63" i="3"/>
  <c r="AA69" i="3"/>
  <c r="AC114" i="3"/>
  <c r="AB114" i="3"/>
  <c r="AF23" i="3"/>
  <c r="AB23" i="3"/>
  <c r="Z23" i="3"/>
  <c r="AA61" i="3"/>
  <c r="Y61" i="3"/>
  <c r="AB67" i="3"/>
  <c r="Z32" i="3"/>
  <c r="S175" i="3"/>
  <c r="AB32" i="3"/>
  <c r="Y33" i="3"/>
  <c r="Y51" i="3"/>
  <c r="AF57" i="3"/>
  <c r="Y57" i="3"/>
  <c r="AA98" i="3"/>
  <c r="Y98" i="3"/>
  <c r="Y7" i="3"/>
  <c r="Y13" i="3"/>
  <c r="AF78" i="3"/>
  <c r="Y78" i="3"/>
  <c r="Y81" i="3"/>
  <c r="AB14" i="3"/>
  <c r="Y16" i="3"/>
  <c r="AA18" i="3"/>
  <c r="Y18" i="3"/>
  <c r="Y23" i="3"/>
  <c r="AB26" i="3"/>
  <c r="Y28" i="3"/>
  <c r="U39" i="3"/>
  <c r="AC40" i="3"/>
  <c r="AA41" i="3"/>
  <c r="AA45" i="3"/>
  <c r="Y46" i="3"/>
  <c r="U48" i="3"/>
  <c r="AA49" i="3"/>
  <c r="Z50" i="3"/>
  <c r="U52" i="3"/>
  <c r="AA53" i="3"/>
  <c r="Y53" i="3"/>
  <c r="Z56" i="3"/>
  <c r="AC56" i="3"/>
  <c r="AB56" i="3"/>
  <c r="U57" i="3"/>
  <c r="AA59" i="3"/>
  <c r="Z62" i="3"/>
  <c r="AB62" i="3"/>
  <c r="AB63" i="3"/>
  <c r="AA66" i="3"/>
  <c r="AF73" i="3"/>
  <c r="Y73" i="3"/>
  <c r="AC80" i="3"/>
  <c r="Z80" i="3"/>
  <c r="AB89" i="3"/>
  <c r="Y95" i="3"/>
  <c r="AC97" i="3"/>
  <c r="AB97" i="3"/>
  <c r="Z97" i="3"/>
  <c r="AF100" i="3"/>
  <c r="Y100" i="3"/>
  <c r="AB106" i="3"/>
  <c r="AA84" i="3"/>
  <c r="Z10" i="3"/>
  <c r="Z13" i="3"/>
  <c r="U93" i="3"/>
  <c r="AF98" i="3"/>
  <c r="AB98" i="3"/>
  <c r="U124" i="3"/>
  <c r="AA21" i="3"/>
  <c r="Y22" i="3"/>
  <c r="Z14" i="3"/>
  <c r="AC17" i="3"/>
  <c r="AC9" i="3"/>
  <c r="AB9" i="3"/>
  <c r="AC12" i="3"/>
  <c r="AC13" i="3"/>
  <c r="AB15" i="3"/>
  <c r="AA16" i="3"/>
  <c r="Z25" i="3"/>
  <c r="U27" i="3"/>
  <c r="AA31" i="3"/>
  <c r="AA39" i="3"/>
  <c r="Y43" i="3"/>
  <c r="AC45" i="3"/>
  <c r="AB45" i="3"/>
  <c r="Z45" i="3"/>
  <c r="U46" i="3"/>
  <c r="AB49" i="3"/>
  <c r="Z49" i="3"/>
  <c r="AB59" i="3"/>
  <c r="AA68" i="3"/>
  <c r="Y68" i="3"/>
  <c r="U73" i="3"/>
  <c r="AA74" i="3"/>
  <c r="Z75" i="3"/>
  <c r="AB80" i="3"/>
  <c r="Z82" i="3"/>
  <c r="AB118" i="3"/>
  <c r="AC129" i="3"/>
  <c r="AB129" i="3"/>
  <c r="AA138" i="3"/>
  <c r="Y138" i="3"/>
  <c r="AA163" i="3"/>
  <c r="AC164" i="3"/>
  <c r="AB164" i="3"/>
  <c r="Y112" i="3"/>
  <c r="Y118" i="3"/>
  <c r="AA128" i="3"/>
  <c r="AB154" i="3"/>
  <c r="Z16" i="3"/>
  <c r="Z29" i="3"/>
  <c r="AB41" i="3"/>
  <c r="AB64" i="3"/>
  <c r="AB128" i="3"/>
  <c r="Z131" i="3"/>
  <c r="Z142" i="3"/>
  <c r="AC172" i="3"/>
  <c r="Z172" i="3"/>
  <c r="AC128" i="3"/>
  <c r="AB143" i="3"/>
  <c r="AB144" i="3"/>
  <c r="Z146" i="3"/>
  <c r="AC147" i="3"/>
  <c r="AB68" i="3"/>
  <c r="Z98" i="3"/>
  <c r="Z117" i="3"/>
  <c r="AA118" i="3"/>
  <c r="AB131" i="3"/>
  <c r="AA151" i="3"/>
  <c r="U169" i="3"/>
  <c r="Z136" i="3"/>
  <c r="Z148" i="3"/>
  <c r="Y173" i="3"/>
  <c r="AC168" i="3"/>
  <c r="AB168" i="3"/>
  <c r="AA113" i="3"/>
  <c r="Z31" i="3"/>
  <c r="AC35" i="3"/>
  <c r="Z35" i="3"/>
  <c r="AB43" i="3"/>
  <c r="Z54" i="3"/>
  <c r="AB66" i="3"/>
  <c r="AA75" i="3"/>
  <c r="AA101" i="3"/>
  <c r="Z107" i="3"/>
  <c r="Z123" i="3"/>
  <c r="Z138" i="3"/>
  <c r="AA156" i="3"/>
  <c r="AA168" i="3"/>
  <c r="Y168" i="3"/>
  <c r="U173" i="3"/>
  <c r="AA8" i="3"/>
  <c r="Y25" i="3"/>
  <c r="Z68" i="3"/>
  <c r="AB79" i="3"/>
  <c r="AB108" i="3"/>
  <c r="Y113" i="3"/>
  <c r="U116" i="3"/>
  <c r="AB123" i="3"/>
  <c r="Y143" i="3"/>
  <c r="AB158" i="3"/>
  <c r="AC70" i="3"/>
  <c r="AB70" i="3"/>
  <c r="AC79" i="3"/>
  <c r="Z81" i="3"/>
  <c r="AC85" i="3"/>
  <c r="Z85" i="3"/>
  <c r="U161" i="3"/>
  <c r="AA7" i="3"/>
  <c r="Y9" i="3"/>
  <c r="AA12" i="3"/>
  <c r="Y14" i="3"/>
  <c r="AA17" i="3"/>
  <c r="Y19" i="3"/>
  <c r="AA22" i="3"/>
  <c r="Y24" i="3"/>
  <c r="U33" i="3"/>
  <c r="Z34" i="3"/>
  <c r="T35" i="3"/>
  <c r="Z36" i="3"/>
  <c r="T37" i="3"/>
  <c r="Z38" i="3"/>
  <c r="Z40" i="3"/>
  <c r="Z42" i="3"/>
  <c r="AB44" i="3"/>
  <c r="AB46" i="3"/>
  <c r="AB48" i="3"/>
  <c r="AB50" i="3"/>
  <c r="U58" i="3"/>
  <c r="Z59" i="3"/>
  <c r="T60" i="3"/>
  <c r="Z61" i="3"/>
  <c r="T62" i="3"/>
  <c r="Z63" i="3"/>
  <c r="Z65" i="3"/>
  <c r="Z67" i="3"/>
  <c r="AB69" i="3"/>
  <c r="AB71" i="3"/>
  <c r="AB73" i="3"/>
  <c r="AB75" i="3"/>
  <c r="U83" i="3"/>
  <c r="Z84" i="3"/>
  <c r="T85" i="3"/>
  <c r="Z86" i="3"/>
  <c r="T87" i="3"/>
  <c r="Z88" i="3"/>
  <c r="AB90" i="3"/>
  <c r="Z91" i="3"/>
  <c r="T92" i="3"/>
  <c r="AB93" i="3"/>
  <c r="AB96" i="3"/>
  <c r="Z99" i="3"/>
  <c r="Y102" i="3"/>
  <c r="Y103" i="3"/>
  <c r="T104" i="3"/>
  <c r="T108" i="3"/>
  <c r="AA110" i="3"/>
  <c r="AA111" i="3"/>
  <c r="U112" i="3"/>
  <c r="T121" i="3"/>
  <c r="AA123" i="3"/>
  <c r="Y127" i="3"/>
  <c r="Y128" i="3"/>
  <c r="T129" i="3"/>
  <c r="T133" i="3"/>
  <c r="AA136" i="3"/>
  <c r="U137" i="3"/>
  <c r="T146" i="3"/>
  <c r="AA148" i="3"/>
  <c r="Y152" i="3"/>
  <c r="Y153" i="3"/>
  <c r="T154" i="3"/>
  <c r="T158" i="3"/>
  <c r="AA160" i="3"/>
  <c r="AA161" i="3"/>
  <c r="U162" i="3"/>
  <c r="Y165" i="3"/>
  <c r="T171" i="3"/>
  <c r="AA173" i="3"/>
  <c r="J10" i="10"/>
  <c r="F8" i="10"/>
  <c r="J11" i="10"/>
  <c r="G8" i="10"/>
  <c r="J9" i="10"/>
  <c r="G16" i="10"/>
  <c r="F16" i="10"/>
  <c r="G26" i="10"/>
  <c r="F26" i="10"/>
  <c r="G9" i="10"/>
  <c r="F9" i="10"/>
  <c r="T174" i="3"/>
  <c r="Y171" i="3"/>
  <c r="U170" i="3"/>
  <c r="AA169" i="3"/>
  <c r="Y166" i="3"/>
  <c r="U165" i="3"/>
  <c r="AA164" i="3"/>
  <c r="Y161" i="3"/>
  <c r="U160" i="3"/>
  <c r="AA159" i="3"/>
  <c r="Y156" i="3"/>
  <c r="U155" i="3"/>
  <c r="AA154" i="3"/>
  <c r="Y151" i="3"/>
  <c r="U150" i="3"/>
  <c r="AA149" i="3"/>
  <c r="Y146" i="3"/>
  <c r="U145" i="3"/>
  <c r="AA144" i="3"/>
  <c r="Y141" i="3"/>
  <c r="U140" i="3"/>
  <c r="AA139" i="3"/>
  <c r="Y136" i="3"/>
  <c r="U135" i="3"/>
  <c r="AA134" i="3"/>
  <c r="Y131" i="3"/>
  <c r="U130" i="3"/>
  <c r="Y126" i="3"/>
  <c r="U125" i="3"/>
  <c r="AA124" i="3"/>
  <c r="Y121" i="3"/>
  <c r="U120" i="3"/>
  <c r="AA119" i="3"/>
  <c r="Y116" i="3"/>
  <c r="U115" i="3"/>
  <c r="AA114" i="3"/>
  <c r="Y111" i="3"/>
  <c r="U110" i="3"/>
  <c r="AA109" i="3"/>
  <c r="Y106" i="3"/>
  <c r="U105" i="3"/>
  <c r="Y101" i="3"/>
  <c r="U100" i="3"/>
  <c r="AA99" i="3"/>
  <c r="Y96" i="3"/>
  <c r="U95" i="3"/>
  <c r="AA94" i="3"/>
  <c r="Y91" i="3"/>
  <c r="U90" i="3"/>
  <c r="AA89" i="3"/>
  <c r="AB172" i="3"/>
  <c r="T170" i="3"/>
  <c r="AB167" i="3"/>
  <c r="T165" i="3"/>
  <c r="AA165" i="3" s="1"/>
  <c r="Z164" i="3"/>
  <c r="AB162" i="3"/>
  <c r="T160" i="3"/>
  <c r="Z159" i="3"/>
  <c r="AB157" i="3"/>
  <c r="T155" i="3"/>
  <c r="Z154" i="3"/>
  <c r="AB152" i="3"/>
  <c r="T150" i="3"/>
  <c r="Z149" i="3"/>
  <c r="AB147" i="3"/>
  <c r="T145" i="3"/>
  <c r="Z144" i="3"/>
  <c r="AB142" i="3"/>
  <c r="T140" i="3"/>
  <c r="Z139" i="3"/>
  <c r="AB137" i="3"/>
  <c r="T135" i="3"/>
  <c r="Z134" i="3"/>
  <c r="AB132" i="3"/>
  <c r="T130" i="3"/>
  <c r="Z129" i="3"/>
  <c r="AB127" i="3"/>
  <c r="T125" i="3"/>
  <c r="Z124" i="3"/>
  <c r="AB122" i="3"/>
  <c r="T120" i="3"/>
  <c r="Z119" i="3"/>
  <c r="AB117" i="3"/>
  <c r="T115" i="3"/>
  <c r="Y115" i="3" s="1"/>
  <c r="Z114" i="3"/>
  <c r="AB112" i="3"/>
  <c r="T110" i="3"/>
  <c r="Z109" i="3"/>
  <c r="AB107" i="3"/>
  <c r="T105" i="3"/>
  <c r="Z104" i="3"/>
  <c r="AB102" i="3"/>
  <c r="AA172" i="3"/>
  <c r="Y169" i="3"/>
  <c r="AA167" i="3"/>
  <c r="Y164" i="3"/>
  <c r="AA162" i="3"/>
  <c r="Y159" i="3"/>
  <c r="AA157" i="3"/>
  <c r="Y154" i="3"/>
  <c r="AA152" i="3"/>
  <c r="Y149" i="3"/>
  <c r="AA147" i="3"/>
  <c r="Y144" i="3"/>
  <c r="AA142" i="3"/>
  <c r="Y139" i="3"/>
  <c r="AA137" i="3"/>
  <c r="Y134" i="3"/>
  <c r="AA132" i="3"/>
  <c r="Y129" i="3"/>
  <c r="AA127" i="3"/>
  <c r="Y124" i="3"/>
  <c r="AA122" i="3"/>
  <c r="Y119" i="3"/>
  <c r="AA117" i="3"/>
  <c r="Y114" i="3"/>
  <c r="AA112" i="3"/>
  <c r="Y109" i="3"/>
  <c r="AA107" i="3"/>
  <c r="AA102" i="3"/>
  <c r="Y99" i="3"/>
  <c r="AA97" i="3"/>
  <c r="Y94" i="3"/>
  <c r="AA92" i="3"/>
  <c r="Y89" i="3"/>
  <c r="AA87" i="3"/>
  <c r="Y84" i="3"/>
  <c r="AA82" i="3"/>
  <c r="Y79" i="3"/>
  <c r="AA77" i="3"/>
  <c r="Y74" i="3"/>
  <c r="AA72" i="3"/>
  <c r="Y69" i="3"/>
  <c r="AA67" i="3"/>
  <c r="Y64" i="3"/>
  <c r="AA62" i="3"/>
  <c r="Y59" i="3"/>
  <c r="AA57" i="3"/>
  <c r="Y54" i="3"/>
  <c r="AA52" i="3"/>
  <c r="Y49" i="3"/>
  <c r="AA47" i="3"/>
  <c r="Y44" i="3"/>
  <c r="AA42" i="3"/>
  <c r="Y39" i="3"/>
  <c r="Y34" i="3"/>
  <c r="AA32" i="3"/>
  <c r="Y29" i="3"/>
  <c r="AA27" i="3"/>
  <c r="Z155" i="3"/>
  <c r="Z156" i="3"/>
  <c r="T157" i="3"/>
  <c r="AB159" i="3"/>
  <c r="AB163" i="3"/>
  <c r="Z167" i="3"/>
  <c r="Z168" i="3"/>
  <c r="G36" i="10"/>
  <c r="F36" i="10"/>
  <c r="W119" i="9"/>
  <c r="X119" i="9" s="1"/>
  <c r="W16" i="9"/>
  <c r="X16" i="9" s="1"/>
  <c r="G17" i="10"/>
  <c r="F17" i="10"/>
  <c r="G27" i="10"/>
  <c r="F27" i="10"/>
  <c r="W54" i="9"/>
  <c r="X54" i="9" s="1"/>
  <c r="G18" i="10"/>
  <c r="F18" i="10"/>
  <c r="G14" i="10"/>
  <c r="F14" i="10"/>
  <c r="G24" i="10"/>
  <c r="F24" i="10"/>
  <c r="G46" i="10"/>
  <c r="F46" i="10"/>
  <c r="G56" i="10"/>
  <c r="F56" i="10"/>
  <c r="G37" i="10"/>
  <c r="F37" i="10"/>
  <c r="G47" i="10"/>
  <c r="F47" i="10"/>
  <c r="G28" i="10"/>
  <c r="F28" i="10"/>
  <c r="G38" i="10"/>
  <c r="F38" i="10"/>
  <c r="W31" i="9"/>
  <c r="X31" i="9" s="1"/>
  <c r="G13" i="10"/>
  <c r="F13" i="10"/>
  <c r="G34" i="10"/>
  <c r="F34" i="10"/>
  <c r="G66" i="10"/>
  <c r="F66" i="10"/>
  <c r="G57" i="10"/>
  <c r="F57" i="10"/>
  <c r="G48" i="10"/>
  <c r="F48" i="10"/>
  <c r="G23" i="10"/>
  <c r="F23" i="10"/>
  <c r="G33" i="10"/>
  <c r="F33" i="10"/>
  <c r="G43" i="10"/>
  <c r="F43" i="10"/>
  <c r="G53" i="10"/>
  <c r="F53" i="10"/>
  <c r="G63" i="10"/>
  <c r="F63" i="10"/>
  <c r="W104" i="9"/>
  <c r="X104" i="9" s="1"/>
  <c r="W175" i="9"/>
  <c r="X175" i="9" s="1"/>
  <c r="W12" i="9"/>
  <c r="X12" i="9" s="1"/>
  <c r="W27" i="9"/>
  <c r="X27" i="9" s="1"/>
  <c r="G15" i="10"/>
  <c r="F15" i="10"/>
  <c r="G25" i="10"/>
  <c r="F25" i="10"/>
  <c r="G67" i="10"/>
  <c r="F67" i="10"/>
  <c r="G58" i="10"/>
  <c r="F58" i="10"/>
  <c r="W7" i="9"/>
  <c r="W25" i="9"/>
  <c r="X25" i="9" s="1"/>
  <c r="W97" i="9"/>
  <c r="X97" i="9" s="1"/>
  <c r="W57" i="9"/>
  <c r="X57" i="9" s="1"/>
  <c r="W113" i="9"/>
  <c r="X113" i="9" s="1"/>
  <c r="W52" i="9"/>
  <c r="X52" i="9" s="1"/>
  <c r="W94" i="9"/>
  <c r="X94" i="9" s="1"/>
  <c r="W107" i="9"/>
  <c r="X107" i="9" s="1"/>
  <c r="W42" i="9"/>
  <c r="X42" i="9" s="1"/>
  <c r="W77" i="9"/>
  <c r="X77" i="9" s="1"/>
  <c r="W79" i="9"/>
  <c r="X79" i="9" s="1"/>
  <c r="W24" i="9"/>
  <c r="X24" i="9" s="1"/>
  <c r="W39" i="9"/>
  <c r="X39" i="9" s="1"/>
  <c r="W19" i="9"/>
  <c r="X19" i="9" s="1"/>
  <c r="W34" i="9"/>
  <c r="X34" i="9" s="1"/>
  <c r="W60" i="9"/>
  <c r="X60" i="9" s="1"/>
  <c r="W67" i="9"/>
  <c r="X67" i="9" s="1"/>
  <c r="W74" i="9"/>
  <c r="X74" i="9" s="1"/>
  <c r="W126" i="9"/>
  <c r="X126" i="9" s="1"/>
  <c r="W66" i="9"/>
  <c r="X66" i="9" s="1"/>
  <c r="W78" i="9"/>
  <c r="X78" i="9" s="1"/>
  <c r="W124" i="9"/>
  <c r="X124" i="9" s="1"/>
  <c r="G73" i="10"/>
  <c r="F73" i="10"/>
  <c r="G44" i="10"/>
  <c r="F44" i="10"/>
  <c r="G35" i="10"/>
  <c r="F35" i="10"/>
  <c r="G76" i="10"/>
  <c r="F76" i="10"/>
  <c r="G77" i="10"/>
  <c r="F77" i="10"/>
  <c r="G68" i="10"/>
  <c r="F68" i="10"/>
  <c r="W23" i="9"/>
  <c r="X23" i="9" s="1"/>
  <c r="W30" i="9"/>
  <c r="X30" i="9" s="1"/>
  <c r="W83" i="9"/>
  <c r="X83" i="9" s="1"/>
  <c r="W130" i="9"/>
  <c r="X130" i="9" s="1"/>
  <c r="W135" i="9"/>
  <c r="X135" i="9" s="1"/>
  <c r="W8" i="9"/>
  <c r="X8" i="9" s="1"/>
  <c r="W20" i="9"/>
  <c r="X20" i="9" s="1"/>
  <c r="W115" i="9"/>
  <c r="X115" i="9" s="1"/>
  <c r="W132" i="9"/>
  <c r="X132" i="9" s="1"/>
  <c r="W143" i="9"/>
  <c r="X143" i="9" s="1"/>
  <c r="W172" i="9"/>
  <c r="X172" i="9" s="1"/>
  <c r="W11" i="9"/>
  <c r="X11" i="9" s="1"/>
  <c r="W26" i="9"/>
  <c r="X26" i="9" s="1"/>
  <c r="W85" i="9"/>
  <c r="X85" i="9" s="1"/>
  <c r="W129" i="9"/>
  <c r="X129" i="9" s="1"/>
  <c r="W17" i="9"/>
  <c r="X17" i="9" s="1"/>
  <c r="W147" i="9"/>
  <c r="X147" i="9" s="1"/>
  <c r="G83" i="10"/>
  <c r="F83" i="10"/>
  <c r="G54" i="10"/>
  <c r="F54" i="10"/>
  <c r="G45" i="10"/>
  <c r="F45" i="10"/>
  <c r="G86" i="10"/>
  <c r="F86" i="10"/>
  <c r="G87" i="10"/>
  <c r="F87" i="10"/>
  <c r="G78" i="10"/>
  <c r="F78" i="10"/>
  <c r="G88" i="10"/>
  <c r="F88" i="10"/>
  <c r="W22" i="9"/>
  <c r="X22" i="9" s="1"/>
  <c r="W37" i="9"/>
  <c r="X37" i="9" s="1"/>
  <c r="W51" i="9"/>
  <c r="X51" i="9" s="1"/>
  <c r="W71" i="9"/>
  <c r="X71" i="9" s="1"/>
  <c r="W84" i="9"/>
  <c r="X84" i="9" s="1"/>
  <c r="W88" i="9"/>
  <c r="X88" i="9" s="1"/>
  <c r="W101" i="9"/>
  <c r="X101" i="9" s="1"/>
  <c r="W109" i="9"/>
  <c r="X109" i="9" s="1"/>
  <c r="W123" i="9"/>
  <c r="X123" i="9" s="1"/>
  <c r="W152" i="9"/>
  <c r="X152" i="9" s="1"/>
  <c r="F10" i="10"/>
  <c r="G10" i="10"/>
  <c r="W48" i="9"/>
  <c r="X48" i="9" s="1"/>
  <c r="W56" i="9"/>
  <c r="X56" i="9" s="1"/>
  <c r="W106" i="9"/>
  <c r="X106" i="9" s="1"/>
  <c r="W164" i="9"/>
  <c r="X164" i="9" s="1"/>
  <c r="W169" i="9"/>
  <c r="X169" i="9" s="1"/>
  <c r="W32" i="9"/>
  <c r="X32" i="9" s="1"/>
  <c r="W53" i="9"/>
  <c r="X53" i="9" s="1"/>
  <c r="W103" i="9"/>
  <c r="W154" i="9"/>
  <c r="X154" i="9" s="1"/>
  <c r="F12" i="10"/>
  <c r="G12" i="10"/>
  <c r="G22" i="10"/>
  <c r="F22" i="10"/>
  <c r="G32" i="10"/>
  <c r="F32" i="10"/>
  <c r="G42" i="10"/>
  <c r="F42" i="10"/>
  <c r="G52" i="10"/>
  <c r="F52" i="10"/>
  <c r="G62" i="10"/>
  <c r="F62" i="10"/>
  <c r="G72" i="10"/>
  <c r="F72" i="10"/>
  <c r="G82" i="10"/>
  <c r="F82" i="10"/>
  <c r="G92" i="10"/>
  <c r="F92" i="10"/>
  <c r="G102" i="10"/>
  <c r="F102" i="10"/>
  <c r="G112" i="10"/>
  <c r="F112" i="10"/>
  <c r="G93" i="10"/>
  <c r="F93" i="10"/>
  <c r="G103" i="10"/>
  <c r="F103" i="10"/>
  <c r="G113" i="10"/>
  <c r="F113" i="10"/>
  <c r="G123" i="10"/>
  <c r="F123" i="10"/>
  <c r="G64" i="10"/>
  <c r="F64" i="10"/>
  <c r="G74" i="10"/>
  <c r="F74" i="10"/>
  <c r="G84" i="10"/>
  <c r="F84" i="10"/>
  <c r="G55" i="10"/>
  <c r="F55" i="10"/>
  <c r="G65" i="10"/>
  <c r="F65" i="10"/>
  <c r="G75" i="10"/>
  <c r="F75" i="10"/>
  <c r="G85" i="10"/>
  <c r="F85" i="10"/>
  <c r="G96" i="10"/>
  <c r="F96" i="10"/>
  <c r="G106" i="10"/>
  <c r="F106" i="10"/>
  <c r="G116" i="10"/>
  <c r="F116" i="10"/>
  <c r="G97" i="10"/>
  <c r="F97" i="10"/>
  <c r="G107" i="10"/>
  <c r="F107" i="10"/>
  <c r="G98" i="10"/>
  <c r="F98" i="10"/>
  <c r="G108" i="10"/>
  <c r="F108" i="10"/>
  <c r="G118" i="10"/>
  <c r="F118" i="10"/>
  <c r="W68" i="9"/>
  <c r="X68" i="9" s="1"/>
  <c r="W91" i="9"/>
  <c r="X91" i="9" s="1"/>
  <c r="W114" i="9"/>
  <c r="X114" i="9" s="1"/>
  <c r="W117" i="9"/>
  <c r="X117" i="9" s="1"/>
  <c r="W120" i="9"/>
  <c r="X120" i="9" s="1"/>
  <c r="W134" i="9"/>
  <c r="X134" i="9" s="1"/>
  <c r="W138" i="9"/>
  <c r="X138" i="9" s="1"/>
  <c r="G11" i="10"/>
  <c r="F11" i="10"/>
  <c r="G19" i="10"/>
  <c r="F19" i="10"/>
  <c r="G29" i="10"/>
  <c r="F29" i="10"/>
  <c r="G39" i="10"/>
  <c r="F39" i="10"/>
  <c r="G49" i="10"/>
  <c r="F49" i="10"/>
  <c r="G59" i="10"/>
  <c r="F59" i="10"/>
  <c r="G69" i="10"/>
  <c r="F69" i="10"/>
  <c r="G79" i="10"/>
  <c r="F79" i="10"/>
  <c r="G89" i="10"/>
  <c r="F89" i="10"/>
  <c r="W151" i="9"/>
  <c r="G20" i="10"/>
  <c r="F20" i="10"/>
  <c r="G30" i="10"/>
  <c r="F30" i="10"/>
  <c r="G40" i="10"/>
  <c r="F40" i="10"/>
  <c r="G50" i="10"/>
  <c r="F50" i="10"/>
  <c r="G60" i="10"/>
  <c r="F60" i="10"/>
  <c r="G70" i="10"/>
  <c r="F70" i="10"/>
  <c r="G80" i="10"/>
  <c r="F80" i="10"/>
  <c r="W140" i="9"/>
  <c r="X140" i="9" s="1"/>
  <c r="G21" i="10"/>
  <c r="F21" i="10"/>
  <c r="G31" i="10"/>
  <c r="F31" i="10"/>
  <c r="G41" i="10"/>
  <c r="F41" i="10"/>
  <c r="G51" i="10"/>
  <c r="F51" i="10"/>
  <c r="G61" i="10"/>
  <c r="F61" i="10"/>
  <c r="G71" i="10"/>
  <c r="F71" i="10"/>
  <c r="G81" i="10"/>
  <c r="F81" i="10"/>
  <c r="G91" i="10"/>
  <c r="F91" i="10"/>
  <c r="G101" i="10"/>
  <c r="F101" i="10"/>
  <c r="G111" i="10"/>
  <c r="F111" i="10"/>
  <c r="F90" i="10"/>
  <c r="F95" i="10"/>
  <c r="F100" i="10"/>
  <c r="F105" i="10"/>
  <c r="F110" i="10"/>
  <c r="F115" i="10"/>
  <c r="F120" i="10"/>
  <c r="F125" i="10"/>
  <c r="F130" i="10"/>
  <c r="F135" i="10"/>
  <c r="F140" i="10"/>
  <c r="F145" i="10"/>
  <c r="F121" i="10"/>
  <c r="F126" i="10"/>
  <c r="F131" i="10"/>
  <c r="F136" i="10"/>
  <c r="F141" i="10"/>
  <c r="F146" i="10"/>
  <c r="F117" i="10"/>
  <c r="F122" i="10"/>
  <c r="F127" i="10"/>
  <c r="F132" i="10"/>
  <c r="F137" i="10"/>
  <c r="F142" i="10"/>
  <c r="F147" i="10"/>
  <c r="F128" i="10"/>
  <c r="F133" i="10"/>
  <c r="F138" i="10"/>
  <c r="F143" i="10"/>
  <c r="F148" i="10"/>
  <c r="G149" i="10"/>
  <c r="F149" i="10"/>
  <c r="F94" i="10"/>
  <c r="F99" i="10"/>
  <c r="F104" i="10"/>
  <c r="F109" i="10"/>
  <c r="F114" i="10"/>
  <c r="F119" i="10"/>
  <c r="F124" i="10"/>
  <c r="F129" i="10"/>
  <c r="F134" i="10"/>
  <c r="F139" i="10"/>
  <c r="F144" i="10"/>
  <c r="G150" i="10"/>
  <c r="F150" i="10"/>
  <c r="G151" i="10"/>
  <c r="F151" i="10"/>
  <c r="X7" i="9" l="1"/>
  <c r="H21" i="1"/>
  <c r="H20" i="1"/>
  <c r="X35" i="9"/>
  <c r="X141" i="9"/>
  <c r="Y135" i="3"/>
  <c r="AA135" i="3"/>
  <c r="AC160" i="3"/>
  <c r="Z160" i="3"/>
  <c r="AB160" i="3"/>
  <c r="Y92" i="3"/>
  <c r="J12" i="4"/>
  <c r="AA150" i="3"/>
  <c r="Y150" i="3"/>
  <c r="AA108" i="3"/>
  <c r="Y108" i="3"/>
  <c r="AA129" i="3"/>
  <c r="Y37" i="3"/>
  <c r="AA37" i="3"/>
  <c r="X103" i="9"/>
  <c r="Y157" i="3"/>
  <c r="Y110" i="3"/>
  <c r="AC120" i="3"/>
  <c r="AB120" i="3"/>
  <c r="Z120" i="3"/>
  <c r="AC135" i="3"/>
  <c r="Z135" i="3"/>
  <c r="AB135" i="3"/>
  <c r="AA125" i="3"/>
  <c r="Y125" i="3"/>
  <c r="Y35" i="3"/>
  <c r="AA35" i="3"/>
  <c r="I11" i="4"/>
  <c r="I12" i="4"/>
  <c r="I10" i="4"/>
  <c r="T175" i="3"/>
  <c r="AC170" i="3"/>
  <c r="AB170" i="3"/>
  <c r="Z170" i="3"/>
  <c r="AA146" i="3"/>
  <c r="X112" i="9"/>
  <c r="X69" i="9"/>
  <c r="Y160" i="3"/>
  <c r="AC95" i="3"/>
  <c r="Z95" i="3"/>
  <c r="AB95" i="3"/>
  <c r="AC110" i="3"/>
  <c r="AB110" i="3"/>
  <c r="Z110" i="3"/>
  <c r="AC162" i="3"/>
  <c r="Z162" i="3"/>
  <c r="Z83" i="3"/>
  <c r="AC83" i="3"/>
  <c r="AB83" i="3"/>
  <c r="AC145" i="3"/>
  <c r="AB145" i="3"/>
  <c r="Z145" i="3"/>
  <c r="Y62" i="3"/>
  <c r="Y104" i="3"/>
  <c r="AA120" i="3"/>
  <c r="Y120" i="3"/>
  <c r="Y145" i="3"/>
  <c r="AA145" i="3"/>
  <c r="AA170" i="3"/>
  <c r="Y170" i="3"/>
  <c r="AA104" i="3"/>
  <c r="AA133" i="3"/>
  <c r="Y133" i="3"/>
  <c r="Z58" i="3"/>
  <c r="AB58" i="3"/>
  <c r="AC58" i="3"/>
  <c r="Z93" i="3"/>
  <c r="AC93" i="3"/>
  <c r="AF80" i="3"/>
  <c r="AA80" i="3"/>
  <c r="AF58" i="3"/>
  <c r="AA58" i="3"/>
  <c r="AB99" i="3"/>
  <c r="AC99" i="3"/>
  <c r="AC105" i="3"/>
  <c r="Z105" i="3"/>
  <c r="AB105" i="3"/>
  <c r="AC130" i="3"/>
  <c r="Z130" i="3"/>
  <c r="AB130" i="3"/>
  <c r="AC155" i="3"/>
  <c r="AB155" i="3"/>
  <c r="AC112" i="3"/>
  <c r="Z112" i="3"/>
  <c r="Y85" i="3"/>
  <c r="AA85" i="3"/>
  <c r="AB57" i="3"/>
  <c r="Z57" i="3"/>
  <c r="AC57" i="3"/>
  <c r="AB39" i="3"/>
  <c r="Z39" i="3"/>
  <c r="AC39" i="3"/>
  <c r="AC34" i="3"/>
  <c r="AB34" i="3"/>
  <c r="AC139" i="3"/>
  <c r="AB139" i="3"/>
  <c r="AB101" i="3"/>
  <c r="Z101" i="3"/>
  <c r="AC101" i="3"/>
  <c r="AC48" i="3"/>
  <c r="Z48" i="3"/>
  <c r="AA51" i="3"/>
  <c r="AF51" i="3"/>
  <c r="AB51" i="3"/>
  <c r="Z30" i="3"/>
  <c r="AF70" i="3"/>
  <c r="AA70" i="3"/>
  <c r="Y70" i="3"/>
  <c r="Z69" i="3"/>
  <c r="AC69" i="3"/>
  <c r="AB88" i="3"/>
  <c r="AC88" i="3"/>
  <c r="AB153" i="3"/>
  <c r="Z153" i="3"/>
  <c r="AC153" i="3"/>
  <c r="J11" i="4"/>
  <c r="Z161" i="3"/>
  <c r="AC161" i="3"/>
  <c r="AB161" i="3"/>
  <c r="Z46" i="3"/>
  <c r="AC46" i="3"/>
  <c r="AB141" i="3"/>
  <c r="Z141" i="3"/>
  <c r="AC141" i="3"/>
  <c r="AB126" i="3"/>
  <c r="Z126" i="3"/>
  <c r="AC126" i="3"/>
  <c r="AC61" i="3"/>
  <c r="AB61" i="3"/>
  <c r="AC27" i="3"/>
  <c r="AB27" i="3"/>
  <c r="Z27" i="3"/>
  <c r="AB124" i="3"/>
  <c r="AC124" i="3"/>
  <c r="AC18" i="3"/>
  <c r="AB18" i="3"/>
  <c r="AB175" i="3" s="1"/>
  <c r="D14" i="1" s="1"/>
  <c r="Z18" i="3"/>
  <c r="AB24" i="3"/>
  <c r="AC24" i="3"/>
  <c r="Z24" i="3"/>
  <c r="Z113" i="3"/>
  <c r="Z175" i="3" s="1"/>
  <c r="D13" i="1" s="1"/>
  <c r="AC113" i="3"/>
  <c r="AB113" i="3"/>
  <c r="U175" i="3"/>
  <c r="C7" i="8" s="1"/>
  <c r="E7" i="8" s="1"/>
  <c r="AC156" i="3"/>
  <c r="AB156" i="3"/>
  <c r="AC169" i="3"/>
  <c r="AB169" i="3"/>
  <c r="Z33" i="3"/>
  <c r="AB33" i="3"/>
  <c r="AC33" i="3"/>
  <c r="H22" i="1" s="1"/>
  <c r="AC73" i="3"/>
  <c r="Z73" i="3"/>
  <c r="AF30" i="3"/>
  <c r="I21" i="4" s="1"/>
  <c r="AA30" i="3"/>
  <c r="AB84" i="3"/>
  <c r="AC84" i="3"/>
  <c r="J21" i="4"/>
  <c r="Z51" i="3"/>
  <c r="Z116" i="3"/>
  <c r="AC116" i="3"/>
  <c r="AB116" i="3"/>
  <c r="Z173" i="3"/>
  <c r="AB173" i="3"/>
  <c r="AC173" i="3"/>
  <c r="AA115" i="3"/>
  <c r="AA175" i="3" s="1"/>
  <c r="C14" i="1" s="1"/>
  <c r="AA140" i="3"/>
  <c r="AA158" i="3"/>
  <c r="Y158" i="3"/>
  <c r="Y140" i="3"/>
  <c r="Y105" i="3"/>
  <c r="AA105" i="3"/>
  <c r="Y130" i="3"/>
  <c r="AA130" i="3"/>
  <c r="Y155" i="3"/>
  <c r="AA155" i="3"/>
  <c r="J12" i="10"/>
  <c r="H23" i="1" s="1"/>
  <c r="AA60" i="3"/>
  <c r="Y60" i="3"/>
  <c r="AC52" i="3"/>
  <c r="AB52" i="3"/>
  <c r="Z52" i="3"/>
  <c r="Y30" i="3"/>
  <c r="Y175" i="3" s="1"/>
  <c r="C13" i="1" s="1"/>
  <c r="AC77" i="3"/>
  <c r="AB77" i="3"/>
  <c r="Z77" i="3"/>
  <c r="J10" i="4"/>
  <c r="X151" i="9"/>
  <c r="AC100" i="3"/>
  <c r="AB100" i="3"/>
  <c r="Z100" i="3"/>
  <c r="AC125" i="3"/>
  <c r="AB125" i="3"/>
  <c r="Z125" i="3"/>
  <c r="AC150" i="3"/>
  <c r="AB150" i="3"/>
  <c r="Z150" i="3"/>
  <c r="J7" i="10"/>
  <c r="J8" i="10"/>
  <c r="AC137" i="3"/>
  <c r="Z137" i="3"/>
  <c r="AA121" i="3"/>
  <c r="Z169" i="3"/>
  <c r="AC90" i="3"/>
  <c r="Z90" i="3"/>
  <c r="AC115" i="3"/>
  <c r="AB115" i="3"/>
  <c r="Z115" i="3"/>
  <c r="AC140" i="3"/>
  <c r="Z140" i="3"/>
  <c r="AB140" i="3"/>
  <c r="AC165" i="3"/>
  <c r="Z165" i="3"/>
  <c r="AB165" i="3"/>
  <c r="AA171" i="3"/>
  <c r="Y87" i="3"/>
  <c r="E13" i="1" l="1"/>
  <c r="E14" i="1"/>
  <c r="D13" i="4"/>
  <c r="D932" i="4"/>
  <c r="D747" i="4"/>
  <c r="D728" i="4"/>
  <c r="D685" i="4"/>
  <c r="D679" i="4"/>
  <c r="D649" i="4"/>
  <c r="D630" i="4"/>
  <c r="D617" i="4"/>
  <c r="D536" i="4"/>
  <c r="D502" i="4"/>
  <c r="D447" i="4"/>
  <c r="D384" i="4"/>
  <c r="D231" i="4"/>
  <c r="D199" i="4"/>
  <c r="D115" i="4"/>
  <c r="D490" i="4"/>
  <c r="D410" i="4"/>
  <c r="D219" i="4"/>
  <c r="D211" i="4"/>
  <c r="D191" i="4"/>
  <c r="D165" i="4"/>
  <c r="D766" i="4"/>
  <c r="D695" i="4"/>
  <c r="D660" i="4"/>
  <c r="D585" i="4"/>
  <c r="D523" i="4"/>
  <c r="D452" i="4"/>
  <c r="D399" i="4"/>
  <c r="D379" i="4"/>
  <c r="D352" i="4"/>
  <c r="D338" i="4"/>
  <c r="D239" i="4"/>
  <c r="D227" i="4"/>
  <c r="D207" i="4"/>
  <c r="D187" i="4"/>
  <c r="D179" i="4"/>
  <c r="D147" i="4"/>
  <c r="D129" i="4"/>
  <c r="D874" i="4"/>
  <c r="D720" i="4"/>
  <c r="D706" i="4"/>
  <c r="D628" i="4"/>
  <c r="D547" i="4"/>
  <c r="D472" i="4"/>
  <c r="D468" i="4"/>
  <c r="D456" i="4"/>
  <c r="D446" i="4"/>
  <c r="D362" i="4"/>
  <c r="D322" i="4"/>
  <c r="D307" i="4"/>
  <c r="D282" i="4"/>
  <c r="D265" i="4"/>
  <c r="D243" i="4"/>
  <c r="D157" i="4"/>
  <c r="D139" i="4"/>
  <c r="D107" i="4"/>
  <c r="D89" i="4"/>
  <c r="D66" i="4"/>
  <c r="D776" i="4"/>
  <c r="D770" i="4"/>
  <c r="D713" i="4"/>
  <c r="D659" i="4"/>
  <c r="D615" i="4"/>
  <c r="D602" i="4"/>
  <c r="D596" i="4"/>
  <c r="D533" i="4"/>
  <c r="D516" i="4"/>
  <c r="D477" i="4"/>
  <c r="D424" i="4"/>
  <c r="D382" i="4"/>
  <c r="D367" i="4"/>
  <c r="D356" i="4"/>
  <c r="D301" i="4"/>
  <c r="D296" i="4"/>
  <c r="D268" i="4"/>
  <c r="D256" i="4"/>
  <c r="D237" i="4"/>
  <c r="D217" i="4"/>
  <c r="D197" i="4"/>
  <c r="D135" i="4"/>
  <c r="D85" i="4"/>
  <c r="D78" i="4"/>
  <c r="D75" i="4"/>
  <c r="D62" i="4"/>
  <c r="D59" i="4"/>
  <c r="D796" i="4"/>
  <c r="D762" i="4"/>
  <c r="D639" i="4"/>
  <c r="D595" i="4"/>
  <c r="D569" i="4"/>
  <c r="D526" i="4"/>
  <c r="D504" i="4"/>
  <c r="D438" i="4"/>
  <c r="D418" i="4"/>
  <c r="D391" i="4"/>
  <c r="D387" i="4"/>
  <c r="D371" i="4"/>
  <c r="D276" i="4"/>
  <c r="D272" i="4"/>
  <c r="D259" i="4"/>
  <c r="D255" i="4"/>
  <c r="D250" i="4"/>
  <c r="D145" i="4"/>
  <c r="D95" i="4"/>
  <c r="D71" i="4"/>
  <c r="D58" i="4"/>
  <c r="D55" i="4"/>
  <c r="D42" i="4"/>
  <c r="D39" i="4"/>
  <c r="D29" i="4"/>
  <c r="D79" i="4"/>
  <c r="D24" i="4"/>
  <c r="D16" i="4"/>
  <c r="D7" i="4"/>
  <c r="D495" i="4"/>
  <c r="D430" i="4"/>
  <c r="D125" i="4"/>
  <c r="D33" i="4"/>
  <c r="D292" i="4"/>
  <c r="D175" i="4"/>
  <c r="D53" i="4"/>
  <c r="D28" i="4"/>
  <c r="D19" i="4"/>
  <c r="D484" i="4"/>
  <c r="D97" i="4"/>
  <c r="D37" i="4"/>
  <c r="D57" i="4"/>
  <c r="D31" i="4"/>
  <c r="D565" i="4"/>
  <c r="D252" i="4"/>
  <c r="D40" i="4"/>
  <c r="D21" i="4"/>
  <c r="D14" i="4"/>
  <c r="D8" i="4"/>
  <c r="D792" i="4"/>
  <c r="D333" i="4"/>
  <c r="D733" i="4"/>
  <c r="D591" i="4"/>
  <c r="D73" i="4"/>
  <c r="D44" i="4"/>
  <c r="D10" i="4"/>
  <c r="D60" i="4"/>
  <c r="D49" i="4"/>
  <c r="D12" i="1"/>
  <c r="D435" i="4"/>
  <c r="D69" i="4"/>
  <c r="D689" i="4"/>
  <c r="D117" i="4"/>
  <c r="D225" i="4"/>
  <c r="D351" i="4"/>
  <c r="D971" i="4"/>
  <c r="D951" i="4"/>
  <c r="D931" i="4"/>
  <c r="D911" i="4"/>
  <c r="D891" i="4"/>
  <c r="D871" i="4"/>
  <c r="D851" i="4"/>
  <c r="D831" i="4"/>
  <c r="D811" i="4"/>
  <c r="D791" i="4"/>
  <c r="D771" i="4"/>
  <c r="D994" i="4"/>
  <c r="D920" i="4"/>
  <c r="D820" i="4"/>
  <c r="D942" i="4"/>
  <c r="D802" i="4"/>
  <c r="D545" i="4"/>
  <c r="D993" i="4"/>
  <c r="D838" i="4"/>
  <c r="D764" i="4"/>
  <c r="D976" i="4"/>
  <c r="D926" i="4"/>
  <c r="D968" i="4"/>
  <c r="D856" i="4"/>
  <c r="D726" i="4"/>
  <c r="D664" i="4"/>
  <c r="D482" i="4"/>
  <c r="D896" i="4"/>
  <c r="D433" i="4"/>
  <c r="D323" i="4"/>
  <c r="D924" i="4"/>
  <c r="D736" i="4"/>
  <c r="D577" i="4"/>
  <c r="D512" i="4"/>
  <c r="D395" i="4"/>
  <c r="D339" i="4"/>
  <c r="D818" i="4"/>
  <c r="D345" i="4"/>
  <c r="D538" i="4"/>
  <c r="D375" i="4"/>
  <c r="D722" i="4"/>
  <c r="D597" i="4"/>
  <c r="D503" i="4"/>
  <c r="D326" i="4"/>
  <c r="D253" i="4"/>
  <c r="D571" i="4"/>
  <c r="D488" i="4"/>
  <c r="D361" i="4"/>
  <c r="D298" i="4"/>
  <c r="D238" i="4"/>
  <c r="D218" i="4"/>
  <c r="D198" i="4"/>
  <c r="D178" i="4"/>
  <c r="D158" i="4"/>
  <c r="D138" i="4"/>
  <c r="D118" i="4"/>
  <c r="D98" i="4"/>
  <c r="D832" i="4"/>
  <c r="D671" i="4"/>
  <c r="D505" i="4"/>
  <c r="D377" i="4"/>
  <c r="D287" i="4"/>
  <c r="D195" i="4"/>
  <c r="D20" i="4"/>
  <c r="D133" i="4"/>
  <c r="D45" i="4"/>
  <c r="D748" i="4"/>
  <c r="D588" i="4"/>
  <c r="D327" i="4"/>
  <c r="D47" i="4"/>
  <c r="D131" i="4"/>
  <c r="D50" i="4"/>
  <c r="D304" i="4"/>
  <c r="D77" i="4"/>
  <c r="D289" i="4"/>
  <c r="D401" i="4"/>
  <c r="D587" i="4"/>
  <c r="D149" i="4"/>
  <c r="D967" i="4"/>
  <c r="D947" i="4"/>
  <c r="D927" i="4"/>
  <c r="D907" i="4"/>
  <c r="D887" i="4"/>
  <c r="D867" i="4"/>
  <c r="D847" i="4"/>
  <c r="D827" i="4"/>
  <c r="D807" i="4"/>
  <c r="D787" i="4"/>
  <c r="D992" i="4"/>
  <c r="D997" i="4"/>
  <c r="D900" i="4"/>
  <c r="D800" i="4"/>
  <c r="D904" i="4"/>
  <c r="D786" i="4"/>
  <c r="D772" i="4"/>
  <c r="D834" i="4"/>
  <c r="D716" i="4"/>
  <c r="D653" i="4"/>
  <c r="D600" i="4"/>
  <c r="D824" i="4"/>
  <c r="D938" i="4"/>
  <c r="D962" i="4"/>
  <c r="D769" i="4"/>
  <c r="D717" i="4"/>
  <c r="D650" i="4"/>
  <c r="D582" i="4"/>
  <c r="D470" i="4"/>
  <c r="D844" i="4"/>
  <c r="D635" i="4"/>
  <c r="D421" i="4"/>
  <c r="D314" i="4"/>
  <c r="D730" i="4"/>
  <c r="D648" i="4"/>
  <c r="D383" i="4"/>
  <c r="D330" i="4"/>
  <c r="D774" i="4"/>
  <c r="D673" i="4"/>
  <c r="D619" i="4"/>
  <c r="D423" i="4"/>
  <c r="D240" i="4"/>
  <c r="D15" i="4"/>
  <c r="D727" i="4"/>
  <c r="D524" i="4"/>
  <c r="D411" i="4"/>
  <c r="D366" i="4"/>
  <c r="D308" i="4"/>
  <c r="D242" i="4"/>
  <c r="D566" i="4"/>
  <c r="D313" i="4"/>
  <c r="D640" i="4"/>
  <c r="D557" i="4"/>
  <c r="D437" i="4"/>
  <c r="D288" i="4"/>
  <c r="D234" i="4"/>
  <c r="D214" i="4"/>
  <c r="D194" i="4"/>
  <c r="D174" i="4"/>
  <c r="D154" i="4"/>
  <c r="D134" i="4"/>
  <c r="D114" i="4"/>
  <c r="D94" i="4"/>
  <c r="D365" i="4"/>
  <c r="D72" i="4"/>
  <c r="D966" i="4"/>
  <c r="D444" i="4"/>
  <c r="D113" i="4"/>
  <c r="D34" i="4"/>
  <c r="D715" i="4"/>
  <c r="D618" i="4"/>
  <c r="D471" i="4"/>
  <c r="D111" i="4"/>
  <c r="D87" i="4"/>
  <c r="D349" i="4"/>
  <c r="D606" i="4"/>
  <c r="D105" i="4"/>
  <c r="D299" i="4"/>
  <c r="D68" i="4"/>
  <c r="D481" i="4"/>
  <c r="D233" i="4"/>
  <c r="D646" i="4"/>
  <c r="D969" i="4"/>
  <c r="D949" i="4"/>
  <c r="D929" i="4"/>
  <c r="D909" i="4"/>
  <c r="D889" i="4"/>
  <c r="D869" i="4"/>
  <c r="D849" i="4"/>
  <c r="D829" i="4"/>
  <c r="D809" i="4"/>
  <c r="D789" i="4"/>
  <c r="D1001" i="4"/>
  <c r="D910" i="4"/>
  <c r="D810" i="4"/>
  <c r="D794" i="4"/>
  <c r="D732" i="4"/>
  <c r="D681" i="4"/>
  <c r="D632" i="4"/>
  <c r="D581" i="4"/>
  <c r="D532" i="4"/>
  <c r="D723" i="4"/>
  <c r="D674" i="4"/>
  <c r="D623" i="4"/>
  <c r="D574" i="4"/>
  <c r="D858" i="4"/>
  <c r="D724" i="4"/>
  <c r="D658" i="4"/>
  <c r="D480" i="4"/>
  <c r="D982" i="4"/>
  <c r="D756" i="4"/>
  <c r="D946" i="4"/>
  <c r="D922" i="4"/>
  <c r="D528" i="4"/>
  <c r="D475" i="4"/>
  <c r="D420" i="4"/>
  <c r="D369" i="4"/>
  <c r="D862" i="4"/>
  <c r="D719" i="4"/>
  <c r="D483" i="4"/>
  <c r="D428" i="4"/>
  <c r="D912" i="4"/>
  <c r="D651" i="4"/>
  <c r="D570" i="4"/>
  <c r="D507" i="4"/>
  <c r="D390" i="4"/>
  <c r="D622" i="4"/>
  <c r="D434" i="4"/>
  <c r="D324" i="4"/>
  <c r="D249" i="4"/>
  <c r="D625" i="4"/>
  <c r="D527" i="4"/>
  <c r="D417" i="4"/>
  <c r="D372" i="4"/>
  <c r="D321" i="4"/>
  <c r="D251" i="4"/>
  <c r="D439" i="4"/>
  <c r="D318" i="4"/>
  <c r="D244" i="4"/>
  <c r="D755" i="4"/>
  <c r="D662" i="4"/>
  <c r="D560" i="4"/>
  <c r="D485" i="4"/>
  <c r="D443" i="4"/>
  <c r="D348" i="4"/>
  <c r="D293" i="4"/>
  <c r="D236" i="4"/>
  <c r="D216" i="4"/>
  <c r="D196" i="4"/>
  <c r="D176" i="4"/>
  <c r="D156" i="4"/>
  <c r="D136" i="4"/>
  <c r="D116" i="4"/>
  <c r="D96" i="4"/>
  <c r="D657" i="4"/>
  <c r="D492" i="4"/>
  <c r="D284" i="4"/>
  <c r="D453" i="4"/>
  <c r="D331" i="4"/>
  <c r="D229" i="4"/>
  <c r="D123" i="4"/>
  <c r="D718" i="4"/>
  <c r="D223" i="4"/>
  <c r="D18" i="4"/>
  <c r="D167" i="4"/>
  <c r="D246" i="4"/>
  <c r="D398" i="4"/>
  <c r="D670" i="4"/>
  <c r="D999" i="4"/>
  <c r="D965" i="4"/>
  <c r="D945" i="4"/>
  <c r="D925" i="4"/>
  <c r="D905" i="4"/>
  <c r="D885" i="4"/>
  <c r="D865" i="4"/>
  <c r="D845" i="4"/>
  <c r="D825" i="4"/>
  <c r="D805" i="4"/>
  <c r="D785" i="4"/>
  <c r="D988" i="4"/>
  <c r="D890" i="4"/>
  <c r="D790" i="4"/>
  <c r="D898" i="4"/>
  <c r="D721" i="4"/>
  <c r="D672" i="4"/>
  <c r="D621" i="4"/>
  <c r="D572" i="4"/>
  <c r="D886" i="4"/>
  <c r="D763" i="4"/>
  <c r="D714" i="4"/>
  <c r="D663" i="4"/>
  <c r="D614" i="4"/>
  <c r="D563" i="4"/>
  <c r="D974" i="4"/>
  <c r="D804" i="4"/>
  <c r="D520" i="4"/>
  <c r="D469" i="4"/>
  <c r="D958" i="4"/>
  <c r="D814" i="4"/>
  <c r="D914" i="4"/>
  <c r="D710" i="4"/>
  <c r="D579" i="4"/>
  <c r="D463" i="4"/>
  <c r="D409" i="4"/>
  <c r="D985" i="4"/>
  <c r="D826" i="4"/>
  <c r="D549" i="4"/>
  <c r="D416" i="4"/>
  <c r="D629" i="4"/>
  <c r="D431" i="4"/>
  <c r="D378" i="4"/>
  <c r="D765" i="4"/>
  <c r="D669" i="4"/>
  <c r="D590" i="4"/>
  <c r="D986" i="4"/>
  <c r="D711" i="4"/>
  <c r="D518" i="4"/>
  <c r="D408" i="4"/>
  <c r="D300" i="4"/>
  <c r="D556" i="4"/>
  <c r="D478" i="4"/>
  <c r="D363" i="4"/>
  <c r="D305" i="4"/>
  <c r="D987" i="4"/>
  <c r="D637" i="4"/>
  <c r="D479" i="4"/>
  <c r="D283" i="4"/>
  <c r="D232" i="4"/>
  <c r="D212" i="4"/>
  <c r="D192" i="4"/>
  <c r="D172" i="4"/>
  <c r="D152" i="4"/>
  <c r="D132" i="4"/>
  <c r="D112" i="4"/>
  <c r="D92" i="4"/>
  <c r="D599" i="4"/>
  <c r="D466" i="4"/>
  <c r="D63" i="4"/>
  <c r="D698" i="4"/>
  <c r="D388" i="4"/>
  <c r="D203" i="4"/>
  <c r="D27" i="4"/>
  <c r="D496" i="4"/>
  <c r="D221" i="4"/>
  <c r="D121" i="4"/>
  <c r="D41" i="4"/>
  <c r="D344" i="4"/>
  <c r="D80" i="4"/>
  <c r="D263" i="4"/>
  <c r="D465" i="4"/>
  <c r="D213" i="4"/>
  <c r="D341" i="4"/>
  <c r="D782" i="4"/>
  <c r="D975" i="4"/>
  <c r="D955" i="4"/>
  <c r="D935" i="4"/>
  <c r="D915" i="4"/>
  <c r="D895" i="4"/>
  <c r="D875" i="4"/>
  <c r="D855" i="4"/>
  <c r="D835" i="4"/>
  <c r="D815" i="4"/>
  <c r="D795" i="4"/>
  <c r="D775" i="4"/>
  <c r="D940" i="4"/>
  <c r="D840" i="4"/>
  <c r="D954" i="4"/>
  <c r="D842" i="4"/>
  <c r="D745" i="4"/>
  <c r="D616" i="4"/>
  <c r="D553" i="4"/>
  <c r="D816" i="4"/>
  <c r="D868" i="4"/>
  <c r="D735" i="4"/>
  <c r="D956" i="4"/>
  <c r="D759" i="4"/>
  <c r="D501" i="4"/>
  <c r="D445" i="4"/>
  <c r="D392" i="4"/>
  <c r="D334" i="4"/>
  <c r="D983" i="4"/>
  <c r="D666" i="4"/>
  <c r="D598" i="4"/>
  <c r="D525" i="4"/>
  <c r="D407" i="4"/>
  <c r="D350" i="4"/>
  <c r="D882" i="4"/>
  <c r="D358" i="4"/>
  <c r="D269" i="4"/>
  <c r="D778" i="4"/>
  <c r="D665" i="4"/>
  <c r="D386" i="4"/>
  <c r="D337" i="4"/>
  <c r="D271" i="4"/>
  <c r="D768" i="4"/>
  <c r="D611" i="4"/>
  <c r="D521" i="4"/>
  <c r="D448" i="4"/>
  <c r="D394" i="4"/>
  <c r="D264" i="4"/>
  <c r="D680" i="4"/>
  <c r="D311" i="4"/>
  <c r="D222" i="4"/>
  <c r="D202" i="4"/>
  <c r="D182" i="4"/>
  <c r="D162" i="4"/>
  <c r="D142" i="4"/>
  <c r="D122" i="4"/>
  <c r="D102" i="4"/>
  <c r="D82" i="4"/>
  <c r="D709" i="4"/>
  <c r="D555" i="4"/>
  <c r="D393" i="4"/>
  <c r="D306" i="4"/>
  <c r="D215" i="4"/>
  <c r="D32" i="4"/>
  <c r="D254" i="4"/>
  <c r="D153" i="4"/>
  <c r="D99" i="4"/>
  <c r="D973" i="4"/>
  <c r="D953" i="4"/>
  <c r="D933" i="4"/>
  <c r="D913" i="4"/>
  <c r="D893" i="4"/>
  <c r="D873" i="4"/>
  <c r="D853" i="4"/>
  <c r="D833" i="4"/>
  <c r="D813" i="4"/>
  <c r="D793" i="4"/>
  <c r="D773" i="4"/>
  <c r="D1003" i="4"/>
  <c r="D930" i="4"/>
  <c r="D830" i="4"/>
  <c r="D948" i="4"/>
  <c r="D741" i="4"/>
  <c r="D692" i="4"/>
  <c r="D641" i="4"/>
  <c r="D592" i="4"/>
  <c r="D541" i="4"/>
  <c r="D936" i="4"/>
  <c r="D734" i="4"/>
  <c r="D683" i="4"/>
  <c r="D634" i="4"/>
  <c r="D583" i="4"/>
  <c r="D534" i="4"/>
  <c r="D489" i="4"/>
  <c r="D1000" i="4"/>
  <c r="D972" i="4"/>
  <c r="D864" i="4"/>
  <c r="D729" i="4"/>
  <c r="D667" i="4"/>
  <c r="D593" i="4"/>
  <c r="D487" i="4"/>
  <c r="D429" i="4"/>
  <c r="D380" i="4"/>
  <c r="D749" i="4"/>
  <c r="D647" i="4"/>
  <c r="D952" i="4"/>
  <c r="D742" i="4"/>
  <c r="D517" i="4"/>
  <c r="D402" i="4"/>
  <c r="D697" i="4"/>
  <c r="D542" i="4"/>
  <c r="D353" i="4"/>
  <c r="D260" i="4"/>
  <c r="D738" i="4"/>
  <c r="D329" i="4"/>
  <c r="D262" i="4"/>
  <c r="D515" i="4"/>
  <c r="D784" i="4"/>
  <c r="D677" i="4"/>
  <c r="D247" i="4"/>
  <c r="D220" i="4"/>
  <c r="D200" i="4"/>
  <c r="D180" i="4"/>
  <c r="D160" i="4"/>
  <c r="D140" i="4"/>
  <c r="D120" i="4"/>
  <c r="D100" i="4"/>
  <c r="D846" i="4"/>
  <c r="D686" i="4"/>
  <c r="D540" i="4"/>
  <c r="D385" i="4"/>
  <c r="D23" i="4"/>
  <c r="D642" i="4"/>
  <c r="D474" i="4"/>
  <c r="D241" i="4"/>
  <c r="D143" i="4"/>
  <c r="D54" i="4"/>
  <c r="D56" i="4"/>
  <c r="D806" i="4"/>
  <c r="D374" i="4"/>
  <c r="D261" i="4"/>
  <c r="D151" i="4"/>
  <c r="D61" i="4"/>
  <c r="D48" i="4"/>
  <c r="D760" i="4"/>
  <c r="D51" i="4"/>
  <c r="D266" i="4"/>
  <c r="D370" i="4"/>
  <c r="D159" i="4"/>
  <c r="D406" i="4"/>
  <c r="D638" i="4"/>
  <c r="D522" i="4"/>
  <c r="D248" i="4"/>
  <c r="D141" i="4"/>
  <c r="D279" i="4"/>
  <c r="D519" i="4"/>
  <c r="D767" i="4"/>
  <c r="D64" i="4"/>
  <c r="D275" i="4"/>
  <c r="D562" i="4"/>
  <c r="D26" i="4"/>
  <c r="D177" i="4"/>
  <c r="D422" i="4"/>
  <c r="D708" i="4"/>
  <c r="D312" i="4"/>
  <c r="D36" i="4"/>
  <c r="D852" i="4"/>
  <c r="D568" i="4"/>
  <c r="D309" i="4"/>
  <c r="D209" i="4"/>
  <c r="D103" i="4"/>
  <c r="D25" i="4"/>
  <c r="D193" i="4"/>
  <c r="D493" i="4"/>
  <c r="D990" i="4"/>
  <c r="D939" i="4"/>
  <c r="D883" i="4"/>
  <c r="D839" i="4"/>
  <c r="D783" i="4"/>
  <c r="D960" i="4"/>
  <c r="D854" i="4"/>
  <c r="D964" i="4"/>
  <c r="D700" i="4"/>
  <c r="D707" i="4"/>
  <c r="D546" i="4"/>
  <c r="D404" i="4"/>
  <c r="D620" i="4"/>
  <c r="D473" i="4"/>
  <c r="D319" i="4"/>
  <c r="D644" i="4"/>
  <c r="D397" i="4"/>
  <c r="D535" i="4"/>
  <c r="D360" i="4"/>
  <c r="D550" i="4"/>
  <c r="D412" i="4"/>
  <c r="D230" i="4"/>
  <c r="D186" i="4"/>
  <c r="D130" i="4"/>
  <c r="D86" i="4"/>
  <c r="D436" i="4"/>
  <c r="D235" i="4"/>
  <c r="D65" i="4"/>
  <c r="D607" i="4"/>
  <c r="D335" i="4"/>
  <c r="D705" i="4"/>
  <c r="D937" i="4"/>
  <c r="D881" i="4"/>
  <c r="D837" i="4"/>
  <c r="D781" i="4"/>
  <c r="D950" i="4"/>
  <c r="D848" i="4"/>
  <c r="D661" i="4"/>
  <c r="D552" i="4"/>
  <c r="D754" i="4"/>
  <c r="D643" i="4"/>
  <c r="D509" i="4"/>
  <c r="D872" i="4"/>
  <c r="D548" i="4"/>
  <c r="D400" i="4"/>
  <c r="D403" i="4"/>
  <c r="D586" i="4"/>
  <c r="D876" i="4"/>
  <c r="D355" i="4"/>
  <c r="D228" i="4"/>
  <c r="D184" i="4"/>
  <c r="D128" i="4"/>
  <c r="D84" i="4"/>
  <c r="D270" i="4"/>
  <c r="D539" i="4"/>
  <c r="D580" i="4"/>
  <c r="D281" i="4"/>
  <c r="D81" i="4"/>
  <c r="D137" i="4"/>
  <c r="D691" i="4"/>
  <c r="D668" i="4"/>
  <c r="D315" i="4"/>
  <c r="D530" i="4"/>
  <c r="D274" i="4"/>
  <c r="D70" i="4"/>
  <c r="D169" i="4"/>
  <c r="D894" i="4"/>
  <c r="D286" i="4"/>
  <c r="D751" i="4"/>
  <c r="D963" i="4"/>
  <c r="D919" i="4"/>
  <c r="D863" i="4"/>
  <c r="D819" i="4"/>
  <c r="D981" i="4"/>
  <c r="D860" i="4"/>
  <c r="D1006" i="4"/>
  <c r="D884" i="4"/>
  <c r="D633" i="4"/>
  <c r="D684" i="4"/>
  <c r="D462" i="4"/>
  <c r="D343" i="4"/>
  <c r="D537" i="4"/>
  <c r="D419" i="4"/>
  <c r="D567" i="4"/>
  <c r="D866" i="4"/>
  <c r="D454" i="4"/>
  <c r="D476" i="4"/>
  <c r="D210" i="4"/>
  <c r="D166" i="4"/>
  <c r="D110" i="4"/>
  <c r="D878" i="4"/>
  <c r="D508" i="4"/>
  <c r="D67" i="4"/>
  <c r="D38" i="4"/>
  <c r="D340" i="4"/>
  <c r="D1004" i="4"/>
  <c r="D93" i="4"/>
  <c r="D205" i="4"/>
  <c r="D725" i="4"/>
  <c r="D979" i="4"/>
  <c r="D923" i="4"/>
  <c r="D879" i="4"/>
  <c r="D823" i="4"/>
  <c r="D779" i="4"/>
  <c r="D880" i="4"/>
  <c r="D916" i="4"/>
  <c r="D645" i="4"/>
  <c r="D828" i="4"/>
  <c r="D908" i="4"/>
  <c r="D511" i="4"/>
  <c r="D514" i="4"/>
  <c r="D354" i="4"/>
  <c r="D822" i="4"/>
  <c r="D608" i="4"/>
  <c r="D426" i="4"/>
  <c r="D310" i="4"/>
  <c r="D575" i="4"/>
  <c r="D978" i="4"/>
  <c r="D578" i="4"/>
  <c r="D812" i="4"/>
  <c r="D347" i="4"/>
  <c r="D513" i="4"/>
  <c r="D332" i="4"/>
  <c r="D226" i="4"/>
  <c r="D170" i="4"/>
  <c r="D126" i="4"/>
  <c r="D544" i="4"/>
  <c r="D257" i="4"/>
  <c r="D991" i="4"/>
  <c r="D529" i="4"/>
  <c r="D297" i="4"/>
  <c r="D928" i="4"/>
  <c r="D277" i="4"/>
  <c r="D696" i="4"/>
  <c r="D11" i="4"/>
  <c r="D325" i="4"/>
  <c r="D12" i="4"/>
  <c r="D294" i="4"/>
  <c r="D76" i="4"/>
  <c r="D189" i="4"/>
  <c r="D699" i="4"/>
  <c r="D201" i="4"/>
  <c r="D30" i="4"/>
  <c r="D364" i="4"/>
  <c r="D35" i="4"/>
  <c r="D996" i="4"/>
  <c r="D376" i="4"/>
  <c r="D441" i="4"/>
  <c r="D17" i="4"/>
  <c r="D427" i="4"/>
  <c r="D171" i="4"/>
  <c r="D459" i="4"/>
  <c r="D155" i="4"/>
  <c r="D109" i="4"/>
  <c r="D737" i="4"/>
  <c r="D977" i="4"/>
  <c r="D921" i="4"/>
  <c r="D877" i="4"/>
  <c r="D821" i="4"/>
  <c r="D777" i="4"/>
  <c r="D870" i="4"/>
  <c r="D761" i="4"/>
  <c r="D652" i="4"/>
  <c r="D989" i="4"/>
  <c r="D743" i="4"/>
  <c r="D603" i="4"/>
  <c r="D906" i="4"/>
  <c r="D500" i="4"/>
  <c r="D798" i="4"/>
  <c r="D888" i="4"/>
  <c r="D687" i="4"/>
  <c r="D506" i="4"/>
  <c r="D389" i="4"/>
  <c r="D690" i="4"/>
  <c r="D808" i="4"/>
  <c r="D381" i="4"/>
  <c r="D510" i="4"/>
  <c r="D224" i="4"/>
  <c r="D168" i="4"/>
  <c r="D124" i="4"/>
  <c r="D739" i="4"/>
  <c r="D396" i="4"/>
  <c r="D368" i="4"/>
  <c r="D183" i="4"/>
  <c r="D609" i="4"/>
  <c r="D328" i="4"/>
  <c r="D101" i="4"/>
  <c r="D498" i="4"/>
  <c r="D127" i="4"/>
  <c r="D902" i="4"/>
  <c r="D589" i="4"/>
  <c r="D302" i="4"/>
  <c r="D91" i="4"/>
  <c r="D119" i="4"/>
  <c r="D961" i="4"/>
  <c r="D917" i="4"/>
  <c r="D861" i="4"/>
  <c r="D817" i="4"/>
  <c r="D850" i="4"/>
  <c r="D752" i="4"/>
  <c r="D612" i="4"/>
  <c r="D703" i="4"/>
  <c r="D594" i="4"/>
  <c r="D758" i="4"/>
  <c r="D624" i="4"/>
  <c r="D460" i="4"/>
  <c r="D788" i="4"/>
  <c r="D918" i="4"/>
  <c r="D499" i="4"/>
  <c r="D995" i="4"/>
  <c r="D675" i="4"/>
  <c r="D457" i="4"/>
  <c r="D750" i="4"/>
  <c r="D497" i="4"/>
  <c r="D342" i="4"/>
  <c r="D451" i="4"/>
  <c r="D704" i="4"/>
  <c r="D464" i="4"/>
  <c r="D316" i="4"/>
  <c r="D208" i="4"/>
  <c r="D164" i="4"/>
  <c r="D108" i="4"/>
  <c r="D320" i="4"/>
  <c r="D432" i="4"/>
  <c r="D173" i="4"/>
  <c r="D486" i="4"/>
  <c r="D46" i="4"/>
  <c r="D336" i="4"/>
  <c r="D959" i="4"/>
  <c r="D903" i="4"/>
  <c r="D859" i="4"/>
  <c r="D803" i="4"/>
  <c r="D780" i="4"/>
  <c r="D753" i="4"/>
  <c r="D984" i="4"/>
  <c r="D757" i="4"/>
  <c r="D613" i="4"/>
  <c r="D458" i="4"/>
  <c r="D303" i="4"/>
  <c r="D702" i="4"/>
  <c r="D531" i="4"/>
  <c r="D746" i="4"/>
  <c r="D494" i="4"/>
  <c r="D295" i="4"/>
  <c r="D636" i="4"/>
  <c r="D414" i="4"/>
  <c r="D626" i="4"/>
  <c r="D461" i="4"/>
  <c r="D278" i="4"/>
  <c r="D206" i="4"/>
  <c r="D150" i="4"/>
  <c r="D106" i="4"/>
  <c r="D584" i="4"/>
  <c r="D317" i="4"/>
  <c r="D163" i="4"/>
  <c r="D656" i="4"/>
  <c r="D373" i="4"/>
  <c r="D425" i="4"/>
  <c r="D181" i="4"/>
  <c r="D551" i="4"/>
  <c r="D682" i="4"/>
  <c r="D22" i="4"/>
  <c r="D413" i="4"/>
  <c r="D957" i="4"/>
  <c r="D901" i="4"/>
  <c r="D857" i="4"/>
  <c r="D801" i="4"/>
  <c r="D1005" i="4"/>
  <c r="D712" i="4"/>
  <c r="D601" i="4"/>
  <c r="D694" i="4"/>
  <c r="D554" i="4"/>
  <c r="D740" i="4"/>
  <c r="D610" i="4"/>
  <c r="D449" i="4"/>
  <c r="D604" i="4"/>
  <c r="D688" i="4"/>
  <c r="D731" i="4"/>
  <c r="D693" i="4"/>
  <c r="D442" i="4"/>
  <c r="D290" i="4"/>
  <c r="D273" i="4"/>
  <c r="D455" i="4"/>
  <c r="D204" i="4"/>
  <c r="D148" i="4"/>
  <c r="D104" i="4"/>
  <c r="D573" i="4"/>
  <c r="D52" i="4"/>
  <c r="D450" i="4"/>
  <c r="D943" i="4"/>
  <c r="D899" i="4"/>
  <c r="D843" i="4"/>
  <c r="D799" i="4"/>
  <c r="D980" i="4"/>
  <c r="D1002" i="4"/>
  <c r="D892" i="4"/>
  <c r="D934" i="4"/>
  <c r="D998" i="4"/>
  <c r="D744" i="4"/>
  <c r="D576" i="4"/>
  <c r="D491" i="4"/>
  <c r="D359" i="4"/>
  <c r="D285" i="4"/>
  <c r="D944" i="4"/>
  <c r="D605" i="4"/>
  <c r="D267" i="4"/>
  <c r="D190" i="4"/>
  <c r="D146" i="4"/>
  <c r="D90" i="4"/>
  <c r="D564" i="4"/>
  <c r="D43" i="4"/>
  <c r="D83" i="4"/>
  <c r="D631" i="4"/>
  <c r="D357" i="4"/>
  <c r="D161" i="4"/>
  <c r="D185" i="4"/>
  <c r="D941" i="4"/>
  <c r="D897" i="4"/>
  <c r="D841" i="4"/>
  <c r="D797" i="4"/>
  <c r="D970" i="4"/>
  <c r="D701" i="4"/>
  <c r="D561" i="4"/>
  <c r="D836" i="4"/>
  <c r="D654" i="4"/>
  <c r="D543" i="4"/>
  <c r="D558" i="4"/>
  <c r="D440" i="4"/>
  <c r="D678" i="4"/>
  <c r="D655" i="4"/>
  <c r="D467" i="4"/>
  <c r="D676" i="4"/>
  <c r="D280" i="4"/>
  <c r="D405" i="4"/>
  <c r="D415" i="4"/>
  <c r="D258" i="4"/>
  <c r="D188" i="4"/>
  <c r="D144" i="4"/>
  <c r="D88" i="4"/>
  <c r="D559" i="4"/>
  <c r="D245" i="4"/>
  <c r="D291" i="4"/>
  <c r="D74" i="4"/>
  <c r="D627" i="4"/>
  <c r="D346" i="4"/>
  <c r="D9" i="4"/>
  <c r="B40" i="8"/>
  <c r="D37" i="8"/>
  <c r="B35" i="8"/>
  <c r="D32" i="8"/>
  <c r="B30" i="8"/>
  <c r="D27" i="8"/>
  <c r="B25" i="8"/>
  <c r="D22" i="8"/>
  <c r="B20" i="8"/>
  <c r="D40" i="8"/>
  <c r="E37" i="8"/>
  <c r="E34" i="8"/>
  <c r="B32" i="8"/>
  <c r="C29" i="8"/>
  <c r="D26" i="8"/>
  <c r="E23" i="8"/>
  <c r="B21" i="8"/>
  <c r="C18" i="8"/>
  <c r="C39" i="8"/>
  <c r="C36" i="8"/>
  <c r="C33" i="8"/>
  <c r="C30" i="8"/>
  <c r="B27" i="8"/>
  <c r="B24" i="8"/>
  <c r="E20" i="8"/>
  <c r="E17" i="8"/>
  <c r="B39" i="8"/>
  <c r="B36" i="8"/>
  <c r="B33" i="8"/>
  <c r="E29" i="8"/>
  <c r="E26" i="8"/>
  <c r="D23" i="8"/>
  <c r="D20" i="8"/>
  <c r="D17" i="8"/>
  <c r="E38" i="8"/>
  <c r="E35" i="8"/>
  <c r="E32" i="8"/>
  <c r="D29" i="8"/>
  <c r="C26" i="8"/>
  <c r="C23" i="8"/>
  <c r="C20" i="8"/>
  <c r="C17" i="8"/>
  <c r="D39" i="8"/>
  <c r="D36" i="8"/>
  <c r="D33" i="8"/>
  <c r="D30" i="8"/>
  <c r="C27" i="8"/>
  <c r="C24" i="8"/>
  <c r="C21" i="8"/>
  <c r="B18" i="8"/>
  <c r="C40" i="8"/>
  <c r="D34" i="8"/>
  <c r="B29" i="8"/>
  <c r="E24" i="8"/>
  <c r="C19" i="8"/>
  <c r="E39" i="8"/>
  <c r="C34" i="8"/>
  <c r="E28" i="8"/>
  <c r="D24" i="8"/>
  <c r="B19" i="8"/>
  <c r="D38" i="8"/>
  <c r="B34" i="8"/>
  <c r="D28" i="8"/>
  <c r="B23" i="8"/>
  <c r="E18" i="8"/>
  <c r="E40" i="8"/>
  <c r="C35" i="8"/>
  <c r="E30" i="8"/>
  <c r="C25" i="8"/>
  <c r="D19" i="8"/>
  <c r="D35" i="8"/>
  <c r="B26" i="8"/>
  <c r="B17" i="8"/>
  <c r="E33" i="8"/>
  <c r="E25" i="8"/>
  <c r="E16" i="8"/>
  <c r="C32" i="8"/>
  <c r="D25" i="8"/>
  <c r="D16" i="8"/>
  <c r="D31" i="8"/>
  <c r="D21" i="8"/>
  <c r="C31" i="8"/>
  <c r="E19" i="8"/>
  <c r="B31" i="8"/>
  <c r="D18" i="8"/>
  <c r="C38" i="8"/>
  <c r="C22" i="8"/>
  <c r="B38" i="8"/>
  <c r="B22" i="8"/>
  <c r="E27" i="8"/>
  <c r="E22" i="8"/>
  <c r="B16" i="8"/>
  <c r="E21" i="8"/>
  <c r="C16" i="8"/>
  <c r="C37" i="8"/>
  <c r="B37" i="8"/>
  <c r="E36" i="8"/>
  <c r="B28" i="8"/>
  <c r="C28" i="8"/>
  <c r="E31" i="8"/>
  <c r="C908" i="4"/>
  <c r="C822" i="4"/>
  <c r="C760" i="4"/>
  <c r="C740" i="4"/>
  <c r="C566" i="4"/>
  <c r="C405" i="4"/>
  <c r="C390" i="4"/>
  <c r="C359" i="4"/>
  <c r="C349" i="4"/>
  <c r="C344" i="4"/>
  <c r="C304" i="4"/>
  <c r="C203" i="4"/>
  <c r="C169" i="4"/>
  <c r="C137" i="4"/>
  <c r="C119" i="4"/>
  <c r="C87" i="4"/>
  <c r="C469" i="4"/>
  <c r="C223" i="4"/>
  <c r="C183" i="4"/>
  <c r="C932" i="4"/>
  <c r="C914" i="4"/>
  <c r="C771" i="4"/>
  <c r="C747" i="4"/>
  <c r="C654" i="4"/>
  <c r="C649" i="4"/>
  <c r="C617" i="4"/>
  <c r="C529" i="4"/>
  <c r="C512" i="4"/>
  <c r="C502" i="4"/>
  <c r="C490" i="4"/>
  <c r="C410" i="4"/>
  <c r="C363" i="4"/>
  <c r="C318" i="4"/>
  <c r="C314" i="4"/>
  <c r="C231" i="4"/>
  <c r="C219" i="4"/>
  <c r="C211" i="4"/>
  <c r="C199" i="4"/>
  <c r="C191" i="4"/>
  <c r="C165" i="4"/>
  <c r="C115" i="4"/>
  <c r="C884" i="4"/>
  <c r="C689" i="4"/>
  <c r="C634" i="4"/>
  <c r="C591" i="4"/>
  <c r="C565" i="4"/>
  <c r="C484" i="4"/>
  <c r="C451" i="4"/>
  <c r="C435" i="4"/>
  <c r="C430" i="4"/>
  <c r="C419" i="4"/>
  <c r="C388" i="4"/>
  <c r="C333" i="4"/>
  <c r="C292" i="4"/>
  <c r="C252" i="4"/>
  <c r="C175" i="4"/>
  <c r="C125" i="4"/>
  <c r="C69" i="4"/>
  <c r="C53" i="4"/>
  <c r="C874" i="4"/>
  <c r="C757" i="4"/>
  <c r="C547" i="4"/>
  <c r="C511" i="4"/>
  <c r="C489" i="4"/>
  <c r="C472" i="4"/>
  <c r="C456" i="4"/>
  <c r="C439" i="4"/>
  <c r="C402" i="4"/>
  <c r="C326" i="4"/>
  <c r="C322" i="4"/>
  <c r="C307" i="4"/>
  <c r="C282" i="4"/>
  <c r="C157" i="4"/>
  <c r="C139" i="4"/>
  <c r="C107" i="4"/>
  <c r="C89" i="4"/>
  <c r="C756" i="4"/>
  <c r="C737" i="4"/>
  <c r="C718" i="4"/>
  <c r="C688" i="4"/>
  <c r="C646" i="4"/>
  <c r="C607" i="4"/>
  <c r="C520" i="4"/>
  <c r="C515" i="4"/>
  <c r="C493" i="4"/>
  <c r="C360" i="4"/>
  <c r="C336" i="4"/>
  <c r="C286" i="4"/>
  <c r="C246" i="4"/>
  <c r="C233" i="4"/>
  <c r="C225" i="4"/>
  <c r="C213" i="4"/>
  <c r="C205" i="4"/>
  <c r="C193" i="4"/>
  <c r="C185" i="4"/>
  <c r="C167" i="4"/>
  <c r="C149" i="4"/>
  <c r="C117" i="4"/>
  <c r="C99" i="4"/>
  <c r="C394" i="4"/>
  <c r="C684" i="4"/>
  <c r="C597" i="4"/>
  <c r="C338" i="4"/>
  <c r="C7" i="4"/>
  <c r="C523" i="4"/>
  <c r="C383" i="4"/>
  <c r="C47" i="4"/>
  <c r="C19" i="4"/>
  <c r="C399" i="4"/>
  <c r="C147" i="4"/>
  <c r="C97" i="4"/>
  <c r="C37" i="4"/>
  <c r="C27" i="4"/>
  <c r="C22" i="4"/>
  <c r="C129" i="4"/>
  <c r="C379" i="4"/>
  <c r="C179" i="4"/>
  <c r="C21" i="4"/>
  <c r="C14" i="4"/>
  <c r="C678" i="4"/>
  <c r="C73" i="4"/>
  <c r="C10" i="4"/>
  <c r="C12" i="1"/>
  <c r="C31" i="4"/>
  <c r="C57" i="4"/>
  <c r="C620" i="4"/>
  <c r="C1005" i="4"/>
  <c r="C985" i="4"/>
  <c r="C969" i="4"/>
  <c r="C949" i="4"/>
  <c r="C929" i="4"/>
  <c r="C909" i="4"/>
  <c r="C889" i="4"/>
  <c r="C869" i="4"/>
  <c r="C849" i="4"/>
  <c r="C829" i="4"/>
  <c r="C809" i="4"/>
  <c r="C789" i="4"/>
  <c r="C950" i="4"/>
  <c r="C850" i="4"/>
  <c r="C739" i="4"/>
  <c r="C690" i="4"/>
  <c r="C639" i="4"/>
  <c r="C590" i="4"/>
  <c r="C539" i="4"/>
  <c r="C904" i="4"/>
  <c r="C794" i="4"/>
  <c r="C732" i="4"/>
  <c r="C681" i="4"/>
  <c r="C632" i="4"/>
  <c r="C581" i="4"/>
  <c r="C532" i="4"/>
  <c r="C868" i="4"/>
  <c r="C727" i="4"/>
  <c r="C669" i="4"/>
  <c r="C606" i="4"/>
  <c r="C487" i="4"/>
  <c r="C776" i="4"/>
  <c r="C588" i="4"/>
  <c r="C531" i="4"/>
  <c r="C427" i="4"/>
  <c r="C378" i="4"/>
  <c r="C726" i="4"/>
  <c r="C644" i="4"/>
  <c r="C573" i="4"/>
  <c r="C488" i="4"/>
  <c r="C380" i="4"/>
  <c r="C291" i="4"/>
  <c r="C271" i="4"/>
  <c r="C251" i="4"/>
  <c r="C660" i="4"/>
  <c r="C448" i="4"/>
  <c r="C687" i="4"/>
  <c r="C629" i="4"/>
  <c r="C513" i="4"/>
  <c r="C437" i="4"/>
  <c r="C258" i="4"/>
  <c r="C224" i="4"/>
  <c r="C204" i="4"/>
  <c r="C184" i="4"/>
  <c r="C164" i="4"/>
  <c r="C144" i="4"/>
  <c r="C124" i="4"/>
  <c r="C104" i="4"/>
  <c r="C84" i="4"/>
  <c r="C64" i="4"/>
  <c r="C44" i="4"/>
  <c r="C24" i="4"/>
  <c r="C734" i="4"/>
  <c r="C655" i="4"/>
  <c r="C423" i="4"/>
  <c r="C324" i="4"/>
  <c r="C260" i="4"/>
  <c r="C442" i="4"/>
  <c r="C375" i="4"/>
  <c r="C758" i="4"/>
  <c r="C666" i="4"/>
  <c r="C446" i="4"/>
  <c r="C91" i="4"/>
  <c r="C613" i="4"/>
  <c r="C466" i="4"/>
  <c r="C343" i="4"/>
  <c r="C235" i="4"/>
  <c r="C444" i="4"/>
  <c r="C229" i="4"/>
  <c r="C133" i="4"/>
  <c r="C725" i="4"/>
  <c r="C628" i="4"/>
  <c r="C514" i="4"/>
  <c r="C362" i="4"/>
  <c r="C227" i="4"/>
  <c r="C67" i="4"/>
  <c r="C543" i="4"/>
  <c r="C856" i="4"/>
  <c r="C29" i="4"/>
  <c r="C250" i="4"/>
  <c r="C433" i="4"/>
  <c r="C16" i="4"/>
  <c r="C237" i="4"/>
  <c r="C382" i="4"/>
  <c r="C664" i="4"/>
  <c r="C1001" i="4"/>
  <c r="C981" i="4"/>
  <c r="C965" i="4"/>
  <c r="C945" i="4"/>
  <c r="C925" i="4"/>
  <c r="C905" i="4"/>
  <c r="C885" i="4"/>
  <c r="C865" i="4"/>
  <c r="C845" i="4"/>
  <c r="C825" i="4"/>
  <c r="C805" i="4"/>
  <c r="C785" i="4"/>
  <c r="C930" i="4"/>
  <c r="C830" i="4"/>
  <c r="C730" i="4"/>
  <c r="C679" i="4"/>
  <c r="C630" i="4"/>
  <c r="C579" i="4"/>
  <c r="C530" i="4"/>
  <c r="C892" i="4"/>
  <c r="C721" i="4"/>
  <c r="C672" i="4"/>
  <c r="C621" i="4"/>
  <c r="C572" i="4"/>
  <c r="C978" i="4"/>
  <c r="C527" i="4"/>
  <c r="C478" i="4"/>
  <c r="C968" i="4"/>
  <c r="C751" i="4"/>
  <c r="C918" i="4"/>
  <c r="C924" i="4"/>
  <c r="C521" i="4"/>
  <c r="C418" i="4"/>
  <c r="C367" i="4"/>
  <c r="C705" i="4"/>
  <c r="C564" i="4"/>
  <c r="C470" i="4"/>
  <c r="C368" i="4"/>
  <c r="C287" i="4"/>
  <c r="C267" i="4"/>
  <c r="C247" i="4"/>
  <c r="C902" i="4"/>
  <c r="C553" i="4"/>
  <c r="C499" i="4"/>
  <c r="C436" i="4"/>
  <c r="C491" i="4"/>
  <c r="C316" i="4"/>
  <c r="C220" i="4"/>
  <c r="C200" i="4"/>
  <c r="C180" i="4"/>
  <c r="C160" i="4"/>
  <c r="C140" i="4"/>
  <c r="C120" i="4"/>
  <c r="C100" i="4"/>
  <c r="C80" i="4"/>
  <c r="C60" i="4"/>
  <c r="C40" i="4"/>
  <c r="C622" i="4"/>
  <c r="C676" i="4"/>
  <c r="C497" i="4"/>
  <c r="C428" i="4"/>
  <c r="C369" i="4"/>
  <c r="C242" i="4"/>
  <c r="C742" i="4"/>
  <c r="C482" i="4"/>
  <c r="C340" i="4"/>
  <c r="C780" i="4"/>
  <c r="C618" i="4"/>
  <c r="C471" i="4"/>
  <c r="C274" i="4"/>
  <c r="C171" i="4"/>
  <c r="C8" i="4"/>
  <c r="C584" i="4"/>
  <c r="C320" i="4"/>
  <c r="C215" i="4"/>
  <c r="C347" i="4"/>
  <c r="C207" i="4"/>
  <c r="C39" i="4"/>
  <c r="C894" i="4"/>
  <c r="C422" i="4"/>
  <c r="C645" i="4"/>
  <c r="C272" i="4"/>
  <c r="C135" i="4"/>
  <c r="C356" i="4"/>
  <c r="C1003" i="4"/>
  <c r="C983" i="4"/>
  <c r="C967" i="4"/>
  <c r="C947" i="4"/>
  <c r="C927" i="4"/>
  <c r="C907" i="4"/>
  <c r="C887" i="4"/>
  <c r="C867" i="4"/>
  <c r="C847" i="4"/>
  <c r="C827" i="4"/>
  <c r="C807" i="4"/>
  <c r="C787" i="4"/>
  <c r="C992" i="4"/>
  <c r="C940" i="4"/>
  <c r="C840" i="4"/>
  <c r="C916" i="4"/>
  <c r="C898" i="4"/>
  <c r="C786" i="4"/>
  <c r="C1004" i="4"/>
  <c r="C603" i="4"/>
  <c r="C535" i="4"/>
  <c r="C828" i="4"/>
  <c r="C976" i="4"/>
  <c r="C928" i="4"/>
  <c r="C806" i="4"/>
  <c r="C723" i="4"/>
  <c r="C656" i="4"/>
  <c r="C585" i="4"/>
  <c r="C638" i="4"/>
  <c r="C567" i="4"/>
  <c r="C373" i="4"/>
  <c r="C321" i="4"/>
  <c r="C289" i="4"/>
  <c r="C269" i="4"/>
  <c r="C249" i="4"/>
  <c r="C733" i="4"/>
  <c r="C441" i="4"/>
  <c r="C337" i="4"/>
  <c r="C784" i="4"/>
  <c r="C680" i="4"/>
  <c r="C510" i="4"/>
  <c r="C222" i="4"/>
  <c r="C202" i="4"/>
  <c r="C182" i="4"/>
  <c r="C162" i="4"/>
  <c r="C142" i="4"/>
  <c r="C122" i="4"/>
  <c r="C102" i="4"/>
  <c r="C82" i="4"/>
  <c r="C62" i="4"/>
  <c r="C42" i="4"/>
  <c r="C18" i="4"/>
  <c r="C731" i="4"/>
  <c r="C707" i="4"/>
  <c r="C578" i="4"/>
  <c r="C500" i="4"/>
  <c r="C372" i="4"/>
  <c r="C800" i="4"/>
  <c r="C374" i="4"/>
  <c r="C181" i="4"/>
  <c r="C81" i="4"/>
  <c r="C17" i="4"/>
  <c r="C593" i="4"/>
  <c r="C43" i="4"/>
  <c r="C568" i="4"/>
  <c r="C432" i="4"/>
  <c r="C323" i="4"/>
  <c r="C123" i="4"/>
  <c r="C45" i="4"/>
  <c r="C999" i="4"/>
  <c r="C990" i="4"/>
  <c r="C963" i="4"/>
  <c r="C943" i="4"/>
  <c r="C923" i="4"/>
  <c r="C903" i="4"/>
  <c r="C883" i="4"/>
  <c r="C863" i="4"/>
  <c r="C843" i="4"/>
  <c r="C823" i="4"/>
  <c r="C803" i="4"/>
  <c r="C783" i="4"/>
  <c r="C920" i="4"/>
  <c r="C820" i="4"/>
  <c r="C778" i="4"/>
  <c r="C1006" i="4"/>
  <c r="C711" i="4"/>
  <c r="C648" i="4"/>
  <c r="C582" i="4"/>
  <c r="C746" i="4"/>
  <c r="C844" i="4"/>
  <c r="C946" i="4"/>
  <c r="C912" i="4"/>
  <c r="C766" i="4"/>
  <c r="C636" i="4"/>
  <c r="C516" i="4"/>
  <c r="C696" i="4"/>
  <c r="C626" i="4"/>
  <c r="C465" i="4"/>
  <c r="C361" i="4"/>
  <c r="C312" i="4"/>
  <c r="C285" i="4"/>
  <c r="C265" i="4"/>
  <c r="C245" i="4"/>
  <c r="C858" i="4"/>
  <c r="C713" i="4"/>
  <c r="C540" i="4"/>
  <c r="C494" i="4"/>
  <c r="C328" i="4"/>
  <c r="C485" i="4"/>
  <c r="C420" i="4"/>
  <c r="C311" i="4"/>
  <c r="C238" i="4"/>
  <c r="C218" i="4"/>
  <c r="C198" i="4"/>
  <c r="C178" i="4"/>
  <c r="C158" i="4"/>
  <c r="C138" i="4"/>
  <c r="C118" i="4"/>
  <c r="C98" i="4"/>
  <c r="C78" i="4"/>
  <c r="C58" i="4"/>
  <c r="C38" i="4"/>
  <c r="C608" i="4"/>
  <c r="C358" i="4"/>
  <c r="C240" i="4"/>
  <c r="C665" i="4"/>
  <c r="C417" i="4"/>
  <c r="C728" i="4"/>
  <c r="C554" i="4"/>
  <c r="C429" i="4"/>
  <c r="C335" i="4"/>
  <c r="C749" i="4"/>
  <c r="C354" i="4"/>
  <c r="C264" i="4"/>
  <c r="C161" i="4"/>
  <c r="C544" i="4"/>
  <c r="C309" i="4"/>
  <c r="C103" i="4"/>
  <c r="C720" i="4"/>
  <c r="C623" i="4"/>
  <c r="C351" i="4"/>
  <c r="C77" i="4"/>
  <c r="C556" i="4"/>
  <c r="C864" i="4"/>
  <c r="C294" i="4"/>
  <c r="C406" i="4"/>
  <c r="C631" i="4"/>
  <c r="C55" i="4"/>
  <c r="C804" i="4"/>
  <c r="C85" i="4"/>
  <c r="C533" i="4"/>
  <c r="C989" i="4"/>
  <c r="C973" i="4"/>
  <c r="C953" i="4"/>
  <c r="C933" i="4"/>
  <c r="C913" i="4"/>
  <c r="C893" i="4"/>
  <c r="C873" i="4"/>
  <c r="C853" i="4"/>
  <c r="C833" i="4"/>
  <c r="C813" i="4"/>
  <c r="C793" i="4"/>
  <c r="C773" i="4"/>
  <c r="C970" i="4"/>
  <c r="C870" i="4"/>
  <c r="C750" i="4"/>
  <c r="C699" i="4"/>
  <c r="C650" i="4"/>
  <c r="C599" i="4"/>
  <c r="C550" i="4"/>
  <c r="C942" i="4"/>
  <c r="C810" i="4"/>
  <c r="C741" i="4"/>
  <c r="C692" i="4"/>
  <c r="C641" i="4"/>
  <c r="C592" i="4"/>
  <c r="C541" i="4"/>
  <c r="C896" i="4"/>
  <c r="C677" i="4"/>
  <c r="C498" i="4"/>
  <c r="C964" i="4"/>
  <c r="C862" i="4"/>
  <c r="C772" i="4"/>
  <c r="C714" i="4"/>
  <c r="C958" i="4"/>
  <c r="C994" i="4"/>
  <c r="C673" i="4"/>
  <c r="C596" i="4"/>
  <c r="C545" i="4"/>
  <c r="C492" i="4"/>
  <c r="C438" i="4"/>
  <c r="C387" i="4"/>
  <c r="C657" i="4"/>
  <c r="C586" i="4"/>
  <c r="C295" i="4"/>
  <c r="C275" i="4"/>
  <c r="C255" i="4"/>
  <c r="C753" i="4"/>
  <c r="C463" i="4"/>
  <c r="C700" i="4"/>
  <c r="C637" i="4"/>
  <c r="C557" i="4"/>
  <c r="C464" i="4"/>
  <c r="C228" i="4"/>
  <c r="C208" i="4"/>
  <c r="C188" i="4"/>
  <c r="C168" i="4"/>
  <c r="C148" i="4"/>
  <c r="C128" i="4"/>
  <c r="C108" i="4"/>
  <c r="C88" i="4"/>
  <c r="C68" i="4"/>
  <c r="C48" i="4"/>
  <c r="C28" i="4"/>
  <c r="C563" i="4"/>
  <c r="C434" i="4"/>
  <c r="C334" i="4"/>
  <c r="C814" i="4"/>
  <c r="C587" i="4"/>
  <c r="C501" i="4"/>
  <c r="C452" i="4"/>
  <c r="C384" i="4"/>
  <c r="C256" i="4"/>
  <c r="C111" i="4"/>
  <c r="C667" i="4"/>
  <c r="C483" i="4"/>
  <c r="C377" i="4"/>
  <c r="C63" i="4"/>
  <c r="C217" i="4"/>
  <c r="C346" i="4"/>
  <c r="C602" i="4"/>
  <c r="C987" i="4"/>
  <c r="C971" i="4"/>
  <c r="C951" i="4"/>
  <c r="C931" i="4"/>
  <c r="C911" i="4"/>
  <c r="C891" i="4"/>
  <c r="C871" i="4"/>
  <c r="C851" i="4"/>
  <c r="C831" i="4"/>
  <c r="C811" i="4"/>
  <c r="C791" i="4"/>
  <c r="C960" i="4"/>
  <c r="C860" i="4"/>
  <c r="C816" i="4"/>
  <c r="C802" i="4"/>
  <c r="C882" i="4"/>
  <c r="C735" i="4"/>
  <c r="C674" i="4"/>
  <c r="C611" i="4"/>
  <c r="C548" i="4"/>
  <c r="C852" i="4"/>
  <c r="C767" i="4"/>
  <c r="C709" i="4"/>
  <c r="C790" i="4"/>
  <c r="C934" i="4"/>
  <c r="C542" i="4"/>
  <c r="C906" i="4"/>
  <c r="C576" i="4"/>
  <c r="C496" i="4"/>
  <c r="C443" i="4"/>
  <c r="C385" i="4"/>
  <c r="C332" i="4"/>
  <c r="C293" i="4"/>
  <c r="C273" i="4"/>
  <c r="C253" i="4"/>
  <c r="C663" i="4"/>
  <c r="C580" i="4"/>
  <c r="C453" i="4"/>
  <c r="C348" i="4"/>
  <c r="C834" i="4"/>
  <c r="C633" i="4"/>
  <c r="C461" i="4"/>
  <c r="C226" i="4"/>
  <c r="C206" i="4"/>
  <c r="C186" i="4"/>
  <c r="C166" i="4"/>
  <c r="C146" i="4"/>
  <c r="C126" i="4"/>
  <c r="C106" i="4"/>
  <c r="C86" i="4"/>
  <c r="C66" i="4"/>
  <c r="C46" i="4"/>
  <c r="C26" i="4"/>
  <c r="C658" i="4"/>
  <c r="C546" i="4"/>
  <c r="C431" i="4"/>
  <c r="C381" i="4"/>
  <c r="C745" i="4"/>
  <c r="C600" i="4"/>
  <c r="C445" i="4"/>
  <c r="C386" i="4"/>
  <c r="C329" i="4"/>
  <c r="C262" i="4"/>
  <c r="C583" i="4"/>
  <c r="C495" i="4"/>
  <c r="C449" i="4"/>
  <c r="C364" i="4"/>
  <c r="C306" i="4"/>
  <c r="C302" i="4"/>
  <c r="C201" i="4"/>
  <c r="C101" i="4"/>
  <c r="C365" i="4"/>
  <c r="C763" i="4"/>
  <c r="C598" i="4"/>
  <c r="C474" i="4"/>
  <c r="C331" i="4"/>
  <c r="C244" i="4"/>
  <c r="C143" i="4"/>
  <c r="C643" i="4"/>
  <c r="C526" i="4"/>
  <c r="C266" i="4"/>
  <c r="C508" i="4"/>
  <c r="C537" i="4"/>
  <c r="C764" i="4"/>
  <c r="C370" i="4"/>
  <c r="C59" i="4"/>
  <c r="C51" i="4"/>
  <c r="C376" i="4"/>
  <c r="C558" i="4"/>
  <c r="C396" i="4"/>
  <c r="C209" i="4"/>
  <c r="C113" i="4"/>
  <c r="C440" i="4"/>
  <c r="C957" i="4"/>
  <c r="C901" i="4"/>
  <c r="C857" i="4"/>
  <c r="C801" i="4"/>
  <c r="C910" i="4"/>
  <c r="C670" i="4"/>
  <c r="C559" i="4"/>
  <c r="C761" i="4"/>
  <c r="C652" i="4"/>
  <c r="C518" i="4"/>
  <c r="C876" i="4"/>
  <c r="C836" i="4"/>
  <c r="C982" i="4"/>
  <c r="C551" i="4"/>
  <c r="C407" i="4"/>
  <c r="C765" i="4"/>
  <c r="C283" i="4"/>
  <c r="C239" i="4"/>
  <c r="C415" i="4"/>
  <c r="C232" i="4"/>
  <c r="C176" i="4"/>
  <c r="C132" i="4"/>
  <c r="C76" i="4"/>
  <c r="C32" i="4"/>
  <c r="C604" i="4"/>
  <c r="C922" i="4"/>
  <c r="C878" i="4"/>
  <c r="C671" i="4"/>
  <c r="C284" i="4"/>
  <c r="C153" i="4"/>
  <c r="C197" i="4"/>
  <c r="C988" i="4"/>
  <c r="C955" i="4"/>
  <c r="C899" i="4"/>
  <c r="C855" i="4"/>
  <c r="C799" i="4"/>
  <c r="C900" i="4"/>
  <c r="C944" i="4"/>
  <c r="C682" i="4"/>
  <c r="C832" i="4"/>
  <c r="C998" i="4"/>
  <c r="C704" i="4"/>
  <c r="C762" i="4"/>
  <c r="C522" i="4"/>
  <c r="C397" i="4"/>
  <c r="C281" i="4"/>
  <c r="C956" i="4"/>
  <c r="C615" i="4"/>
  <c r="C468" i="4"/>
  <c r="C317" i="4"/>
  <c r="C640" i="4"/>
  <c r="C230" i="4"/>
  <c r="C174" i="4"/>
  <c r="C130" i="4"/>
  <c r="C74" i="4"/>
  <c r="C30" i="4"/>
  <c r="C389" i="4"/>
  <c r="C524" i="4"/>
  <c r="C846" i="4"/>
  <c r="C519" i="4"/>
  <c r="C395" i="4"/>
  <c r="C425" i="4"/>
  <c r="C221" i="4"/>
  <c r="C555" i="4"/>
  <c r="C23" i="4"/>
  <c r="C305" i="4"/>
  <c r="C93" i="4"/>
  <c r="C9" i="4"/>
  <c r="C310" i="4"/>
  <c r="C826" i="4"/>
  <c r="C702" i="4"/>
  <c r="C13" i="4"/>
  <c r="C325" i="4"/>
  <c r="C355" i="4"/>
  <c r="C937" i="4"/>
  <c r="C881" i="4"/>
  <c r="C837" i="4"/>
  <c r="C781" i="4"/>
  <c r="C759" i="4"/>
  <c r="C619" i="4"/>
  <c r="C954" i="4"/>
  <c r="C712" i="4"/>
  <c r="C601" i="4"/>
  <c r="C769" i="4"/>
  <c r="C627" i="4"/>
  <c r="C467" i="4"/>
  <c r="C792" i="4"/>
  <c r="C938" i="4"/>
  <c r="C504" i="4"/>
  <c r="C972" i="4"/>
  <c r="C263" i="4"/>
  <c r="C782" i="4"/>
  <c r="C755" i="4"/>
  <c r="C303" i="4"/>
  <c r="C212" i="4"/>
  <c r="C156" i="4"/>
  <c r="C112" i="4"/>
  <c r="C56" i="4"/>
  <c r="C506" i="4"/>
  <c r="C345" i="4"/>
  <c r="C651" i="4"/>
  <c r="C300" i="4"/>
  <c r="C708" i="4"/>
  <c r="C319" i="4"/>
  <c r="C729" i="4"/>
  <c r="C339" i="4"/>
  <c r="C131" i="4"/>
  <c r="C270" i="4"/>
  <c r="C391" i="4"/>
  <c r="C941" i="4"/>
  <c r="C897" i="4"/>
  <c r="C841" i="4"/>
  <c r="C797" i="4"/>
  <c r="C890" i="4"/>
  <c r="C770" i="4"/>
  <c r="C659" i="4"/>
  <c r="C1002" i="4"/>
  <c r="C752" i="4"/>
  <c r="C612" i="4"/>
  <c r="C507" i="4"/>
  <c r="C808" i="4"/>
  <c r="C698" i="4"/>
  <c r="C398" i="4"/>
  <c r="C693" i="4"/>
  <c r="C279" i="4"/>
  <c r="C392" i="4"/>
  <c r="C216" i="4"/>
  <c r="C172" i="4"/>
  <c r="C116" i="4"/>
  <c r="C72" i="4"/>
  <c r="C353" i="4"/>
  <c r="C460" i="4"/>
  <c r="C724" i="4"/>
  <c r="C744" i="4"/>
  <c r="C421" i="4"/>
  <c r="C151" i="4"/>
  <c r="C20" i="4"/>
  <c r="C83" i="4"/>
  <c r="C536" i="4"/>
  <c r="C79" i="4"/>
  <c r="C155" i="4"/>
  <c r="C315" i="4"/>
  <c r="C736" i="4"/>
  <c r="C517" i="4"/>
  <c r="C195" i="4"/>
  <c r="C926" i="4"/>
  <c r="C525" i="4"/>
  <c r="C505" i="4"/>
  <c r="C462" i="4"/>
  <c r="C330" i="4"/>
  <c r="C695" i="4"/>
  <c r="C187" i="4"/>
  <c r="C768" i="4"/>
  <c r="C127" i="4"/>
  <c r="C95" i="4"/>
  <c r="C675" i="4"/>
  <c r="C486" i="4"/>
  <c r="C796" i="4"/>
  <c r="C268" i="4"/>
  <c r="C939" i="4"/>
  <c r="C895" i="4"/>
  <c r="C839" i="4"/>
  <c r="C795" i="4"/>
  <c r="C880" i="4"/>
  <c r="C635" i="4"/>
  <c r="C824" i="4"/>
  <c r="C509" i="4"/>
  <c r="C352" i="4"/>
  <c r="C277" i="4"/>
  <c r="C605" i="4"/>
  <c r="C424" i="4"/>
  <c r="C308" i="4"/>
  <c r="C571" i="4"/>
  <c r="C214" i="4"/>
  <c r="C170" i="4"/>
  <c r="C114" i="4"/>
  <c r="C70" i="4"/>
  <c r="C936" i="4"/>
  <c r="C575" i="4"/>
  <c r="C350" i="4"/>
  <c r="C788" i="4"/>
  <c r="C457" i="4"/>
  <c r="C342" i="4"/>
  <c r="C716" i="4"/>
  <c r="C327" i="4"/>
  <c r="C404" i="4"/>
  <c r="C141" i="4"/>
  <c r="C642" i="4"/>
  <c r="C105" i="4"/>
  <c r="C624" i="4"/>
  <c r="C159" i="4"/>
  <c r="C668" i="4"/>
  <c r="C177" i="4"/>
  <c r="C503" i="4"/>
  <c r="C145" i="4"/>
  <c r="C33" i="4"/>
  <c r="C296" i="4"/>
  <c r="C979" i="4"/>
  <c r="C935" i="4"/>
  <c r="C879" i="4"/>
  <c r="C835" i="4"/>
  <c r="C779" i="4"/>
  <c r="C996" i="4"/>
  <c r="C948" i="4"/>
  <c r="C872" i="4"/>
  <c r="C616" i="4"/>
  <c r="C341" i="4"/>
  <c r="C261" i="4"/>
  <c r="C774" i="4"/>
  <c r="C534" i="4"/>
  <c r="C412" i="4"/>
  <c r="C560" i="4"/>
  <c r="C298" i="4"/>
  <c r="C210" i="4"/>
  <c r="C154" i="4"/>
  <c r="C110" i="4"/>
  <c r="C54" i="4"/>
  <c r="C818" i="4"/>
  <c r="C647" i="4"/>
  <c r="C290" i="4"/>
  <c r="C715" i="4"/>
  <c r="C121" i="4"/>
  <c r="C838" i="4"/>
  <c r="C254" i="4"/>
  <c r="C65" i="4"/>
  <c r="C997" i="4"/>
  <c r="C977" i="4"/>
  <c r="C921" i="4"/>
  <c r="C877" i="4"/>
  <c r="C821" i="4"/>
  <c r="C777" i="4"/>
  <c r="C984" i="4"/>
  <c r="C719" i="4"/>
  <c r="C610" i="4"/>
  <c r="C854" i="4"/>
  <c r="C701" i="4"/>
  <c r="C561" i="4"/>
  <c r="C577" i="4"/>
  <c r="C458" i="4"/>
  <c r="C743" i="4"/>
  <c r="C952" i="4"/>
  <c r="C614" i="4"/>
  <c r="C455" i="4"/>
  <c r="C259" i="4"/>
  <c r="C371" i="4"/>
  <c r="C479" i="4"/>
  <c r="C288" i="4"/>
  <c r="C196" i="4"/>
  <c r="C152" i="4"/>
  <c r="C96" i="4"/>
  <c r="C52" i="4"/>
  <c r="C697" i="4"/>
  <c r="C280" i="4"/>
  <c r="C61" i="4"/>
  <c r="C416" i="4"/>
  <c r="C189" i="4"/>
  <c r="C25" i="4"/>
  <c r="C691" i="4"/>
  <c r="C11" i="4"/>
  <c r="C459" i="4"/>
  <c r="C109" i="4"/>
  <c r="C454" i="4"/>
  <c r="C71" i="4"/>
  <c r="C15" i="4"/>
  <c r="C413" i="4"/>
  <c r="C475" i="4"/>
  <c r="C49" i="4"/>
  <c r="C995" i="4"/>
  <c r="C975" i="4"/>
  <c r="C919" i="4"/>
  <c r="C875" i="4"/>
  <c r="C819" i="4"/>
  <c r="C775" i="4"/>
  <c r="C966" i="4"/>
  <c r="C848" i="4"/>
  <c r="C748" i="4"/>
  <c r="C574" i="4"/>
  <c r="C974" i="4"/>
  <c r="C962" i="4"/>
  <c r="C754" i="4"/>
  <c r="C1000" i="4"/>
  <c r="C450" i="4"/>
  <c r="C301" i="4"/>
  <c r="C257" i="4"/>
  <c r="C528" i="4"/>
  <c r="C366" i="4"/>
  <c r="C476" i="4"/>
  <c r="C278" i="4"/>
  <c r="C194" i="4"/>
  <c r="C150" i="4"/>
  <c r="C94" i="4"/>
  <c r="C50" i="4"/>
  <c r="C625" i="4"/>
  <c r="C411" i="4"/>
  <c r="C609" i="4"/>
  <c r="C276" i="4"/>
  <c r="C313" i="4"/>
  <c r="C75" i="4"/>
  <c r="C993" i="4"/>
  <c r="C961" i="4"/>
  <c r="C917" i="4"/>
  <c r="C861" i="4"/>
  <c r="C817" i="4"/>
  <c r="C710" i="4"/>
  <c r="C570" i="4"/>
  <c r="C842" i="4"/>
  <c r="C661" i="4"/>
  <c r="C552" i="4"/>
  <c r="C706" i="4"/>
  <c r="C569" i="4"/>
  <c r="C722" i="4"/>
  <c r="C447" i="4"/>
  <c r="C812" i="4"/>
  <c r="C595" i="4"/>
  <c r="C414" i="4"/>
  <c r="C299" i="4"/>
  <c r="C243" i="4"/>
  <c r="C685" i="4"/>
  <c r="C662" i="4"/>
  <c r="C473" i="4"/>
  <c r="C236" i="4"/>
  <c r="C192" i="4"/>
  <c r="C136" i="4"/>
  <c r="C92" i="4"/>
  <c r="C36" i="4"/>
  <c r="C683" i="4"/>
  <c r="C403" i="4"/>
  <c r="C549" i="4"/>
  <c r="C408" i="4"/>
  <c r="C426" i="4"/>
  <c r="C248" i="4"/>
  <c r="C694" i="4"/>
  <c r="C393" i="4"/>
  <c r="C173" i="4"/>
  <c r="C12" i="4"/>
  <c r="C653" i="4"/>
  <c r="C401" i="4"/>
  <c r="C35" i="4"/>
  <c r="C480" i="4"/>
  <c r="C477" i="4"/>
  <c r="C991" i="4"/>
  <c r="C959" i="4"/>
  <c r="C915" i="4"/>
  <c r="C859" i="4"/>
  <c r="C815" i="4"/>
  <c r="C980" i="4"/>
  <c r="C866" i="4"/>
  <c r="C703" i="4"/>
  <c r="C886" i="4"/>
  <c r="C717" i="4"/>
  <c r="C986" i="4"/>
  <c r="C738" i="4"/>
  <c r="C562" i="4"/>
  <c r="C798" i="4"/>
  <c r="C589" i="4"/>
  <c r="C409" i="4"/>
  <c r="C297" i="4"/>
  <c r="C241" i="4"/>
  <c r="C481" i="4"/>
  <c r="C357" i="4"/>
  <c r="C234" i="4"/>
  <c r="C190" i="4"/>
  <c r="C134" i="4"/>
  <c r="C90" i="4"/>
  <c r="C34" i="4"/>
  <c r="C400" i="4"/>
  <c r="C538" i="4"/>
  <c r="C888" i="4"/>
  <c r="C594" i="4"/>
  <c r="C41" i="4"/>
  <c r="C686" i="4"/>
  <c r="C163" i="4"/>
  <c r="C136" i="7" l="1"/>
  <c r="D206" i="7"/>
  <c r="C212" i="7"/>
  <c r="D112" i="7"/>
  <c r="D182" i="7"/>
  <c r="C221" i="7"/>
  <c r="C138" i="7"/>
  <c r="D49" i="7"/>
  <c r="D52" i="7"/>
  <c r="C171" i="7"/>
  <c r="C229" i="7"/>
  <c r="C46" i="7"/>
  <c r="D115" i="7"/>
  <c r="C11" i="7"/>
  <c r="D133" i="7"/>
  <c r="C70" i="7"/>
  <c r="C165" i="7"/>
  <c r="C62" i="7"/>
  <c r="C67" i="7"/>
  <c r="D125" i="7"/>
  <c r="C25" i="7"/>
  <c r="D219" i="7"/>
  <c r="C88" i="7"/>
  <c r="C246" i="7"/>
  <c r="D71" i="7"/>
  <c r="C45" i="7"/>
  <c r="C18" i="7"/>
  <c r="D236" i="7"/>
  <c r="D224" i="7"/>
  <c r="C47" i="7"/>
  <c r="D208" i="7"/>
  <c r="D255" i="7"/>
  <c r="D101" i="7"/>
  <c r="C12" i="7"/>
  <c r="C205" i="7"/>
  <c r="C232" i="7"/>
  <c r="C107" i="7"/>
  <c r="D163" i="7"/>
  <c r="D42" i="7"/>
  <c r="C132" i="7"/>
  <c r="C141" i="7"/>
  <c r="C64" i="7"/>
  <c r="D253" i="7"/>
  <c r="D96" i="7"/>
  <c r="C146" i="7"/>
  <c r="D150" i="7"/>
  <c r="C123" i="7"/>
  <c r="D228" i="7"/>
  <c r="D82" i="7"/>
  <c r="C93" i="7"/>
  <c r="C50" i="7"/>
  <c r="D85" i="7"/>
  <c r="C36" i="7"/>
  <c r="C117" i="7"/>
  <c r="C152" i="7"/>
  <c r="D21" i="7"/>
  <c r="D172" i="7"/>
  <c r="C35" i="7"/>
  <c r="C231" i="7"/>
  <c r="D43" i="7"/>
  <c r="D187" i="7"/>
  <c r="D226" i="7"/>
  <c r="C118" i="7"/>
  <c r="D139" i="7"/>
  <c r="C139" i="7"/>
  <c r="E139" i="7" s="1"/>
  <c r="D20" i="7"/>
  <c r="D11" i="7"/>
  <c r="D189" i="7"/>
  <c r="D247" i="7"/>
  <c r="C10" i="7"/>
  <c r="C185" i="7"/>
  <c r="C224" i="7"/>
  <c r="E224" i="7" s="1"/>
  <c r="D157" i="7"/>
  <c r="C24" i="7"/>
  <c r="D36" i="7"/>
  <c r="C96" i="7"/>
  <c r="E96" i="7" s="1"/>
  <c r="C102" i="7"/>
  <c r="D62" i="7"/>
  <c r="D162" i="7"/>
  <c r="C127" i="7"/>
  <c r="D86" i="7"/>
  <c r="D214" i="7"/>
  <c r="D192" i="7"/>
  <c r="C220" i="7"/>
  <c r="C203" i="7"/>
  <c r="C114" i="7"/>
  <c r="C108" i="7"/>
  <c r="D136" i="7"/>
  <c r="C28" i="7"/>
  <c r="C173" i="7"/>
  <c r="D207" i="7"/>
  <c r="C178" i="7"/>
  <c r="C190" i="7"/>
  <c r="C197" i="7"/>
  <c r="D118" i="7"/>
  <c r="D122" i="7"/>
  <c r="C218" i="7"/>
  <c r="D79" i="7"/>
  <c r="C115" i="7"/>
  <c r="E115" i="7" s="1"/>
  <c r="D14" i="7"/>
  <c r="D234" i="7"/>
  <c r="D88" i="7"/>
  <c r="D181" i="7"/>
  <c r="C200" i="7"/>
  <c r="C219" i="7"/>
  <c r="E219" i="7" s="1"/>
  <c r="D218" i="7"/>
  <c r="D94" i="7"/>
  <c r="D75" i="7"/>
  <c r="D152" i="7"/>
  <c r="C186" i="7"/>
  <c r="C31" i="7"/>
  <c r="D130" i="7"/>
  <c r="D128" i="7"/>
  <c r="C26" i="7"/>
  <c r="D232" i="7"/>
  <c r="C235" i="7"/>
  <c r="D237" i="7"/>
  <c r="D12" i="7"/>
  <c r="C225" i="7"/>
  <c r="C9" i="7"/>
  <c r="C17" i="7"/>
  <c r="C245" i="7"/>
  <c r="C237" i="7"/>
  <c r="E237" i="7" s="1"/>
  <c r="D38" i="7"/>
  <c r="C116" i="7"/>
  <c r="C243" i="7"/>
  <c r="D147" i="7"/>
  <c r="D8" i="7"/>
  <c r="C210" i="7"/>
  <c r="D185" i="7"/>
  <c r="D191" i="7"/>
  <c r="C68" i="7"/>
  <c r="D252" i="7"/>
  <c r="C188" i="7"/>
  <c r="C194" i="7"/>
  <c r="C41" i="7"/>
  <c r="C22" i="7"/>
  <c r="C23" i="7"/>
  <c r="D56" i="7"/>
  <c r="D108" i="7"/>
  <c r="C16" i="7"/>
  <c r="D93" i="7"/>
  <c r="C242" i="7"/>
  <c r="C135" i="7"/>
  <c r="C39" i="7"/>
  <c r="C230" i="7"/>
  <c r="D183" i="7"/>
  <c r="C92" i="7"/>
  <c r="C247" i="7"/>
  <c r="D116" i="7"/>
  <c r="C74" i="7"/>
  <c r="C176" i="7"/>
  <c r="D159" i="7"/>
  <c r="C172" i="7"/>
  <c r="E172" i="7" s="1"/>
  <c r="D170" i="7"/>
  <c r="D143" i="7"/>
  <c r="C81" i="7"/>
  <c r="D137" i="7"/>
  <c r="C214" i="7"/>
  <c r="E214" i="7" s="1"/>
  <c r="C63" i="7"/>
  <c r="C33" i="7"/>
  <c r="D10" i="7"/>
  <c r="D35" i="7"/>
  <c r="C253" i="7"/>
  <c r="E253" i="7" s="1"/>
  <c r="C228" i="7"/>
  <c r="E228" i="7" s="1"/>
  <c r="C175" i="7"/>
  <c r="E175" i="7" s="1"/>
  <c r="C154" i="7"/>
  <c r="D120" i="7"/>
  <c r="D109" i="7"/>
  <c r="C98" i="7"/>
  <c r="C104" i="7"/>
  <c r="C122" i="7"/>
  <c r="E122" i="7" s="1"/>
  <c r="C187" i="7"/>
  <c r="E187" i="7" s="1"/>
  <c r="C105" i="7"/>
  <c r="D245" i="7"/>
  <c r="D174" i="7"/>
  <c r="C101" i="7"/>
  <c r="E101" i="7" s="1"/>
  <c r="D200" i="7"/>
  <c r="D50" i="7"/>
  <c r="C83" i="7"/>
  <c r="D123" i="7"/>
  <c r="C94" i="7"/>
  <c r="E94" i="7" s="1"/>
  <c r="C53" i="7"/>
  <c r="C249" i="7"/>
  <c r="D180" i="7"/>
  <c r="D67" i="7"/>
  <c r="D103" i="7"/>
  <c r="C77" i="7"/>
  <c r="E77" i="7" s="1"/>
  <c r="D242" i="7"/>
  <c r="D72" i="7"/>
  <c r="C80" i="7"/>
  <c r="C195" i="7"/>
  <c r="D13" i="7"/>
  <c r="D73" i="7"/>
  <c r="D169" i="7"/>
  <c r="D39" i="7"/>
  <c r="C99" i="7"/>
  <c r="D23" i="7"/>
  <c r="D91" i="7"/>
  <c r="D149" i="7"/>
  <c r="D66" i="7"/>
  <c r="D203" i="7"/>
  <c r="D77" i="7"/>
  <c r="D142" i="7"/>
  <c r="D24" i="7"/>
  <c r="D171" i="7"/>
  <c r="D241" i="7"/>
  <c r="C223" i="7"/>
  <c r="C193" i="7"/>
  <c r="E193" i="7" s="1"/>
  <c r="D231" i="7"/>
  <c r="C226" i="7"/>
  <c r="E226" i="7" s="1"/>
  <c r="C217" i="7"/>
  <c r="C30" i="7"/>
  <c r="D153" i="7"/>
  <c r="D248" i="7"/>
  <c r="D201" i="7"/>
  <c r="D175" i="7"/>
  <c r="C131" i="7"/>
  <c r="C49" i="7"/>
  <c r="E49" i="7" s="1"/>
  <c r="C15" i="7"/>
  <c r="D58" i="7"/>
  <c r="D100" i="7"/>
  <c r="D111" i="7"/>
  <c r="C192" i="7"/>
  <c r="E192" i="7" s="1"/>
  <c r="D33" i="7"/>
  <c r="C196" i="7"/>
  <c r="C240" i="7"/>
  <c r="C57" i="7"/>
  <c r="D205" i="7"/>
  <c r="D230" i="7"/>
  <c r="C8" i="7"/>
  <c r="E8" i="7" s="1"/>
  <c r="D106" i="7"/>
  <c r="C79" i="7"/>
  <c r="E79" i="7" s="1"/>
  <c r="D65" i="7"/>
  <c r="D117" i="7"/>
  <c r="D89" i="7"/>
  <c r="C65" i="7"/>
  <c r="E570" i="4"/>
  <c r="D70" i="7"/>
  <c r="D28" i="7"/>
  <c r="D135" i="7"/>
  <c r="C20" i="7"/>
  <c r="E20" i="7" s="1"/>
  <c r="D229" i="7"/>
  <c r="D127" i="7"/>
  <c r="E23" i="4"/>
  <c r="D104" i="7"/>
  <c r="C160" i="7"/>
  <c r="D76" i="7"/>
  <c r="C48" i="7"/>
  <c r="E798" i="4"/>
  <c r="C109" i="7"/>
  <c r="E109" i="7" s="1"/>
  <c r="D95" i="7"/>
  <c r="D210" i="7"/>
  <c r="E257" i="4"/>
  <c r="C216" i="7"/>
  <c r="D110" i="7"/>
  <c r="C198" i="7"/>
  <c r="D216" i="7"/>
  <c r="C130" i="7"/>
  <c r="E130" i="7" s="1"/>
  <c r="D17" i="7"/>
  <c r="D244" i="7"/>
  <c r="D193" i="7"/>
  <c r="C140" i="7"/>
  <c r="C19" i="7"/>
  <c r="E769" i="4"/>
  <c r="D55" i="7"/>
  <c r="D22" i="7"/>
  <c r="C149" i="7"/>
  <c r="E149" i="7" s="1"/>
  <c r="D51" i="7"/>
  <c r="C51" i="7"/>
  <c r="D80" i="7"/>
  <c r="E580" i="4"/>
  <c r="C156" i="7"/>
  <c r="D235" i="7"/>
  <c r="C121" i="7"/>
  <c r="D87" i="7"/>
  <c r="E463" i="4"/>
  <c r="D45" i="7"/>
  <c r="D177" i="7"/>
  <c r="D99" i="7"/>
  <c r="C103" i="7"/>
  <c r="E103" i="7" s="1"/>
  <c r="C54" i="7"/>
  <c r="E804" i="4"/>
  <c r="D220" i="7"/>
  <c r="D54" i="7"/>
  <c r="D246" i="7"/>
  <c r="C73" i="7"/>
  <c r="E73" i="7" s="1"/>
  <c r="C34" i="7"/>
  <c r="D138" i="7"/>
  <c r="C254" i="7"/>
  <c r="E1004" i="4"/>
  <c r="C97" i="7"/>
  <c r="D84" i="7"/>
  <c r="D53" i="7"/>
  <c r="E418" i="4"/>
  <c r="D121" i="7"/>
  <c r="C180" i="7"/>
  <c r="C215" i="7"/>
  <c r="C106" i="7"/>
  <c r="E106" i="7" s="1"/>
  <c r="E442" i="4"/>
  <c r="D129" i="7"/>
  <c r="D144" i="7"/>
  <c r="D227" i="7"/>
  <c r="D90" i="7"/>
  <c r="C119" i="7"/>
  <c r="I9" i="4"/>
  <c r="E612" i="4" s="1"/>
  <c r="I16" i="4"/>
  <c r="C9" i="1" s="1"/>
  <c r="C11" i="1" s="1"/>
  <c r="E193" i="4"/>
  <c r="D15" i="7"/>
  <c r="E292" i="4"/>
  <c r="D134" i="7"/>
  <c r="E314" i="4"/>
  <c r="D154" i="7"/>
  <c r="E137" i="4"/>
  <c r="D240" i="7"/>
  <c r="E243" i="4"/>
  <c r="D161" i="7"/>
  <c r="E313" i="4"/>
  <c r="E574" i="4"/>
  <c r="D74" i="7"/>
  <c r="D61" i="7"/>
  <c r="C227" i="7"/>
  <c r="E227" i="7" s="1"/>
  <c r="E977" i="4"/>
  <c r="E341" i="4"/>
  <c r="E296" i="4"/>
  <c r="D9" i="7"/>
  <c r="E509" i="4"/>
  <c r="D25" i="7"/>
  <c r="E525" i="4"/>
  <c r="E216" i="4"/>
  <c r="C252" i="7"/>
  <c r="E252" i="7" s="1"/>
  <c r="C42" i="7"/>
  <c r="E42" i="7" s="1"/>
  <c r="C87" i="7"/>
  <c r="E87" i="7" s="1"/>
  <c r="E837" i="4"/>
  <c r="E389" i="4"/>
  <c r="C206" i="7"/>
  <c r="E206" i="7" s="1"/>
  <c r="C150" i="7"/>
  <c r="E150" i="7" s="1"/>
  <c r="C128" i="7"/>
  <c r="E128" i="7" s="1"/>
  <c r="D59" i="7"/>
  <c r="E396" i="4"/>
  <c r="E526" i="4"/>
  <c r="D26" i="7"/>
  <c r="E86" i="4"/>
  <c r="C84" i="7"/>
  <c r="E443" i="4"/>
  <c r="D48" i="7"/>
  <c r="E548" i="4"/>
  <c r="C61" i="7"/>
  <c r="D102" i="7"/>
  <c r="E384" i="4"/>
  <c r="D57" i="7"/>
  <c r="E557" i="4"/>
  <c r="C112" i="7"/>
  <c r="E112" i="7" s="1"/>
  <c r="E862" i="4"/>
  <c r="C60" i="7"/>
  <c r="C43" i="7"/>
  <c r="E43" i="7" s="1"/>
  <c r="E793" i="4"/>
  <c r="C239" i="7"/>
  <c r="E77" i="4"/>
  <c r="D249" i="7"/>
  <c r="E749" i="4"/>
  <c r="E38" i="4"/>
  <c r="E912" i="4"/>
  <c r="C162" i="7"/>
  <c r="E162" i="7" s="1"/>
  <c r="C170" i="7"/>
  <c r="E170" i="7" s="1"/>
  <c r="C213" i="7"/>
  <c r="E963" i="4"/>
  <c r="E17" i="4"/>
  <c r="E18" i="4"/>
  <c r="C78" i="7"/>
  <c r="E828" i="4"/>
  <c r="C37" i="7"/>
  <c r="E983" i="4"/>
  <c r="C233" i="7"/>
  <c r="E347" i="4"/>
  <c r="E340" i="4"/>
  <c r="E564" i="4"/>
  <c r="D64" i="7"/>
  <c r="D27" i="7"/>
  <c r="D179" i="7"/>
  <c r="E679" i="4"/>
  <c r="E905" i="4"/>
  <c r="C155" i="7"/>
  <c r="D225" i="7"/>
  <c r="D166" i="7"/>
  <c r="E258" i="4"/>
  <c r="E380" i="4"/>
  <c r="E487" i="4"/>
  <c r="E794" i="4"/>
  <c r="C44" i="7"/>
  <c r="C59" i="7"/>
  <c r="E809" i="4"/>
  <c r="E1005" i="4"/>
  <c r="C255" i="7"/>
  <c r="E255" i="7" s="1"/>
  <c r="E47" i="4"/>
  <c r="E149" i="4"/>
  <c r="E336" i="4"/>
  <c r="D256" i="7"/>
  <c r="E125" i="4"/>
  <c r="E484" i="4"/>
  <c r="D29" i="7"/>
  <c r="E529" i="4"/>
  <c r="E469" i="4"/>
  <c r="E390" i="4"/>
  <c r="F712" i="4"/>
  <c r="F278" i="4"/>
  <c r="F908" i="4"/>
  <c r="F751" i="4"/>
  <c r="F180" i="4"/>
  <c r="F741" i="4"/>
  <c r="F804" i="4"/>
  <c r="F865" i="4"/>
  <c r="F648" i="4"/>
  <c r="F304" i="4"/>
  <c r="E12" i="1"/>
  <c r="J18" i="4"/>
  <c r="F7" i="4"/>
  <c r="J16" i="4"/>
  <c r="D9" i="1" s="1"/>
  <c r="J9" i="4"/>
  <c r="F777" i="4" s="1"/>
  <c r="F199" i="4"/>
  <c r="F685" i="4"/>
  <c r="F498" i="4"/>
  <c r="F500" i="4"/>
  <c r="F286" i="4"/>
  <c r="F81" i="4"/>
  <c r="F65" i="4"/>
  <c r="F177" i="4"/>
  <c r="F306" i="4"/>
  <c r="F202" i="4"/>
  <c r="F271" i="4"/>
  <c r="F975" i="4"/>
  <c r="F96" i="4"/>
  <c r="F443" i="4"/>
  <c r="F528" i="4"/>
  <c r="F910" i="4"/>
  <c r="F50" i="4"/>
  <c r="F287" i="4"/>
  <c r="F736" i="4"/>
  <c r="F49" i="4"/>
  <c r="F547" i="4"/>
  <c r="F227" i="4"/>
  <c r="F695" i="4"/>
  <c r="F905" i="4"/>
  <c r="F111" i="4"/>
  <c r="F94" i="4"/>
  <c r="F314" i="4"/>
  <c r="F900" i="4"/>
  <c r="F60" i="4"/>
  <c r="F21" i="4"/>
  <c r="F250" i="4"/>
  <c r="F659" i="4"/>
  <c r="F628" i="4"/>
  <c r="F917" i="4"/>
  <c r="F328" i="4"/>
  <c r="F381" i="4"/>
  <c r="F325" i="4"/>
  <c r="F1004" i="4"/>
  <c r="F950" i="4"/>
  <c r="F436" i="4"/>
  <c r="F209" i="4"/>
  <c r="F406" i="4"/>
  <c r="F697" i="4"/>
  <c r="F311" i="4"/>
  <c r="F386" i="4"/>
  <c r="F815" i="4"/>
  <c r="F363" i="4"/>
  <c r="F579" i="4"/>
  <c r="F912" i="4"/>
  <c r="F946" i="4"/>
  <c r="F723" i="4"/>
  <c r="F114" i="4"/>
  <c r="F824" i="4"/>
  <c r="F375" i="4"/>
  <c r="F323" i="4"/>
  <c r="F351" i="4"/>
  <c r="F40" i="4"/>
  <c r="F526" i="4"/>
  <c r="F338" i="4"/>
  <c r="F165" i="4"/>
  <c r="F984" i="4"/>
  <c r="F743" i="4"/>
  <c r="F35" i="4"/>
  <c r="F400" i="4"/>
  <c r="F781" i="4"/>
  <c r="F86" i="4"/>
  <c r="F275" i="4"/>
  <c r="F677" i="4"/>
  <c r="F709" i="4"/>
  <c r="F680" i="4"/>
  <c r="F553" i="4"/>
  <c r="F213" i="4"/>
  <c r="F378" i="4"/>
  <c r="F156" i="4"/>
  <c r="F662" i="4"/>
  <c r="F756" i="4"/>
  <c r="F618" i="4"/>
  <c r="F313" i="4"/>
  <c r="F298" i="4"/>
  <c r="F538" i="4"/>
  <c r="F433" i="4"/>
  <c r="F44" i="4"/>
  <c r="F259" i="4"/>
  <c r="F720" i="4"/>
  <c r="F352" i="4"/>
  <c r="F13" i="4"/>
  <c r="F449" i="4"/>
  <c r="E738" i="4"/>
  <c r="D238" i="7"/>
  <c r="C209" i="7"/>
  <c r="D194" i="7"/>
  <c r="E694" i="4"/>
  <c r="E192" i="4"/>
  <c r="E447" i="4"/>
  <c r="C111" i="7"/>
  <c r="E111" i="7" s="1"/>
  <c r="E50" i="4"/>
  <c r="E450" i="4"/>
  <c r="C69" i="7"/>
  <c r="E454" i="4"/>
  <c r="D197" i="7"/>
  <c r="E697" i="4"/>
  <c r="E614" i="4"/>
  <c r="D114" i="7"/>
  <c r="C234" i="7"/>
  <c r="E234" i="7" s="1"/>
  <c r="E984" i="4"/>
  <c r="E121" i="4"/>
  <c r="D60" i="7"/>
  <c r="C29" i="7"/>
  <c r="E29" i="7" s="1"/>
  <c r="E779" i="4"/>
  <c r="E668" i="4"/>
  <c r="D168" i="7"/>
  <c r="C89" i="7"/>
  <c r="E89" i="7" s="1"/>
  <c r="E839" i="4"/>
  <c r="E460" i="4"/>
  <c r="D198" i="7"/>
  <c r="E698" i="4"/>
  <c r="C91" i="7"/>
  <c r="E91" i="7" s="1"/>
  <c r="E782" i="4"/>
  <c r="C32" i="7"/>
  <c r="D212" i="7"/>
  <c r="E13" i="4"/>
  <c r="E425" i="4"/>
  <c r="E230" i="4"/>
  <c r="D204" i="7"/>
  <c r="C238" i="7"/>
  <c r="E988" i="4"/>
  <c r="E132" i="4"/>
  <c r="C86" i="7"/>
  <c r="E86" i="7" s="1"/>
  <c r="C151" i="7"/>
  <c r="E901" i="4"/>
  <c r="E370" i="4"/>
  <c r="E474" i="4"/>
  <c r="D46" i="7"/>
  <c r="E546" i="4"/>
  <c r="E186" i="4"/>
  <c r="E253" i="4"/>
  <c r="C184" i="7"/>
  <c r="E934" i="4"/>
  <c r="C52" i="7"/>
  <c r="E52" i="7" s="1"/>
  <c r="E802" i="4"/>
  <c r="C161" i="7"/>
  <c r="E161" i="7" s="1"/>
  <c r="E377" i="4"/>
  <c r="E334" i="4"/>
  <c r="E168" i="4"/>
  <c r="E255" i="4"/>
  <c r="D173" i="7"/>
  <c r="E673" i="4"/>
  <c r="D41" i="7"/>
  <c r="E541" i="4"/>
  <c r="D199" i="7"/>
  <c r="C143" i="7"/>
  <c r="E143" i="7" s="1"/>
  <c r="E893" i="4"/>
  <c r="D131" i="7"/>
  <c r="E631" i="4"/>
  <c r="E417" i="4"/>
  <c r="E138" i="4"/>
  <c r="E494" i="4"/>
  <c r="D126" i="7"/>
  <c r="E648" i="4"/>
  <c r="D148" i="7"/>
  <c r="C113" i="7"/>
  <c r="E863" i="4"/>
  <c r="E372" i="4"/>
  <c r="E122" i="4"/>
  <c r="E441" i="4"/>
  <c r="D156" i="7"/>
  <c r="C148" i="7"/>
  <c r="E898" i="4"/>
  <c r="C137" i="7"/>
  <c r="E137" i="7" s="1"/>
  <c r="E887" i="4"/>
  <c r="D145" i="7"/>
  <c r="E171" i="4"/>
  <c r="E428" i="4"/>
  <c r="E160" i="4"/>
  <c r="C174" i="7"/>
  <c r="E174" i="7" s="1"/>
  <c r="E924" i="4"/>
  <c r="D221" i="7"/>
  <c r="E721" i="4"/>
  <c r="C55" i="7"/>
  <c r="E55" i="7" s="1"/>
  <c r="E1001" i="4"/>
  <c r="C251" i="7"/>
  <c r="E67" i="4"/>
  <c r="E324" i="4"/>
  <c r="E144" i="4"/>
  <c r="E448" i="4"/>
  <c r="E378" i="4"/>
  <c r="D32" i="7"/>
  <c r="D190" i="7"/>
  <c r="E690" i="4"/>
  <c r="C159" i="7"/>
  <c r="E159" i="7" s="1"/>
  <c r="E10" i="4"/>
  <c r="E37" i="4"/>
  <c r="D97" i="7"/>
  <c r="E597" i="4"/>
  <c r="D107" i="7"/>
  <c r="E607" i="4"/>
  <c r="E282" i="4"/>
  <c r="D47" i="7"/>
  <c r="E388" i="4"/>
  <c r="C134" i="7"/>
  <c r="E134" i="7" s="1"/>
  <c r="E884" i="4"/>
  <c r="E363" i="4"/>
  <c r="C21" i="7"/>
  <c r="E21" i="7" s="1"/>
  <c r="E771" i="4"/>
  <c r="E203" i="4"/>
  <c r="C72" i="7"/>
  <c r="E72" i="7" s="1"/>
  <c r="E822" i="4"/>
  <c r="F405" i="4"/>
  <c r="F357" i="4"/>
  <c r="F944" i="4"/>
  <c r="F204" i="4"/>
  <c r="F610" i="4"/>
  <c r="F957" i="4"/>
  <c r="F317" i="4"/>
  <c r="F753" i="4"/>
  <c r="F432" i="4"/>
  <c r="F497" i="4"/>
  <c r="F183" i="4"/>
  <c r="F690" i="4"/>
  <c r="F989" i="4"/>
  <c r="F109" i="4"/>
  <c r="F696" i="4"/>
  <c r="F226" i="4"/>
  <c r="F608" i="4"/>
  <c r="F779" i="4"/>
  <c r="F567" i="4"/>
  <c r="F274" i="4"/>
  <c r="F270" i="4"/>
  <c r="F837" i="4"/>
  <c r="F130" i="4"/>
  <c r="F473" i="4"/>
  <c r="F839" i="4"/>
  <c r="F568" i="4"/>
  <c r="F64" i="4"/>
  <c r="F370" i="4"/>
  <c r="F846" i="4"/>
  <c r="F517" i="4"/>
  <c r="F729" i="4"/>
  <c r="F936" i="4"/>
  <c r="F773" i="4"/>
  <c r="F973" i="4"/>
  <c r="F82" i="4"/>
  <c r="F264" i="4"/>
  <c r="F778" i="4"/>
  <c r="F855" i="4"/>
  <c r="F465" i="4"/>
  <c r="F388" i="4"/>
  <c r="F192" i="4"/>
  <c r="F556" i="4"/>
  <c r="F431" i="4"/>
  <c r="F914" i="4"/>
  <c r="F714" i="4"/>
  <c r="F988" i="4"/>
  <c r="F176" i="4"/>
  <c r="F755" i="4"/>
  <c r="F249" i="4"/>
  <c r="F483" i="4"/>
  <c r="F982" i="4"/>
  <c r="F581" i="4"/>
  <c r="F829" i="4"/>
  <c r="F481" i="4"/>
  <c r="F154" i="4"/>
  <c r="F619" i="4"/>
  <c r="F844" i="4"/>
  <c r="F653" i="4"/>
  <c r="F787" i="4"/>
  <c r="F149" i="4"/>
  <c r="F588" i="4"/>
  <c r="F832" i="4"/>
  <c r="F345" i="4"/>
  <c r="F896" i="4"/>
  <c r="F831" i="4"/>
  <c r="F117" i="4"/>
  <c r="F73" i="4"/>
  <c r="F565" i="4"/>
  <c r="F292" i="4"/>
  <c r="F39" i="4"/>
  <c r="F595" i="4"/>
  <c r="F197" i="4"/>
  <c r="F424" i="4"/>
  <c r="F322" i="4"/>
  <c r="F874" i="4"/>
  <c r="F379" i="4"/>
  <c r="F211" i="4"/>
  <c r="F536" i="4"/>
  <c r="D186" i="7"/>
  <c r="E234" i="4"/>
  <c r="C236" i="7"/>
  <c r="E236" i="7" s="1"/>
  <c r="E986" i="4"/>
  <c r="C241" i="7"/>
  <c r="E241" i="7" s="1"/>
  <c r="E991" i="4"/>
  <c r="E248" i="4"/>
  <c r="E236" i="4"/>
  <c r="D222" i="7"/>
  <c r="C167" i="7"/>
  <c r="E167" i="7" s="1"/>
  <c r="E917" i="4"/>
  <c r="E94" i="4"/>
  <c r="C250" i="7"/>
  <c r="E1000" i="4"/>
  <c r="C125" i="7"/>
  <c r="E125" i="7" s="1"/>
  <c r="E875" i="4"/>
  <c r="E109" i="4"/>
  <c r="E52" i="4"/>
  <c r="C202" i="7"/>
  <c r="E952" i="4"/>
  <c r="C27" i="7"/>
  <c r="E27" i="7" s="1"/>
  <c r="E777" i="4"/>
  <c r="D215" i="7"/>
  <c r="E715" i="4"/>
  <c r="E412" i="4"/>
  <c r="C85" i="7"/>
  <c r="E85" i="7" s="1"/>
  <c r="E835" i="4"/>
  <c r="E159" i="4"/>
  <c r="C38" i="7"/>
  <c r="E38" i="7" s="1"/>
  <c r="E788" i="4"/>
  <c r="E424" i="4"/>
  <c r="C145" i="7"/>
  <c r="E145" i="7" s="1"/>
  <c r="E895" i="4"/>
  <c r="D195" i="7"/>
  <c r="E695" i="4"/>
  <c r="E155" i="4"/>
  <c r="E353" i="4"/>
  <c r="C58" i="7"/>
  <c r="E58" i="7" s="1"/>
  <c r="C147" i="7"/>
  <c r="E147" i="7" s="1"/>
  <c r="E897" i="4"/>
  <c r="D151" i="7"/>
  <c r="E651" i="4"/>
  <c r="E263" i="4"/>
  <c r="C204" i="7"/>
  <c r="E204" i="7" s="1"/>
  <c r="E954" i="4"/>
  <c r="E702" i="4"/>
  <c r="D202" i="7"/>
  <c r="D140" i="7"/>
  <c r="E640" i="4"/>
  <c r="C248" i="7"/>
  <c r="E248" i="7" s="1"/>
  <c r="E998" i="4"/>
  <c r="E197" i="4"/>
  <c r="E176" i="4"/>
  <c r="C126" i="7"/>
  <c r="E126" i="7" s="1"/>
  <c r="E876" i="4"/>
  <c r="C207" i="7"/>
  <c r="E207" i="7" s="1"/>
  <c r="E764" i="4"/>
  <c r="C14" i="7"/>
  <c r="E14" i="7" s="1"/>
  <c r="E598" i="4"/>
  <c r="D98" i="7"/>
  <c r="D83" i="7"/>
  <c r="E583" i="4"/>
  <c r="D158" i="7"/>
  <c r="E658" i="4"/>
  <c r="E206" i="4"/>
  <c r="C40" i="7"/>
  <c r="E790" i="4"/>
  <c r="C66" i="7"/>
  <c r="E66" i="7" s="1"/>
  <c r="E816" i="4"/>
  <c r="C181" i="7"/>
  <c r="E181" i="7" s="1"/>
  <c r="E931" i="4"/>
  <c r="E483" i="4"/>
  <c r="E434" i="4"/>
  <c r="E188" i="4"/>
  <c r="C244" i="7"/>
  <c r="E244" i="7" s="1"/>
  <c r="E994" i="4"/>
  <c r="E592" i="4"/>
  <c r="D92" i="7"/>
  <c r="D250" i="7"/>
  <c r="E750" i="4"/>
  <c r="C163" i="7"/>
  <c r="E163" i="7" s="1"/>
  <c r="E913" i="4"/>
  <c r="E406" i="4"/>
  <c r="D44" i="7"/>
  <c r="D165" i="7"/>
  <c r="E665" i="4"/>
  <c r="E158" i="4"/>
  <c r="D40" i="7"/>
  <c r="E540" i="4"/>
  <c r="E696" i="4"/>
  <c r="D196" i="7"/>
  <c r="D211" i="7"/>
  <c r="C133" i="7"/>
  <c r="E133" i="7" s="1"/>
  <c r="E883" i="4"/>
  <c r="E432" i="4"/>
  <c r="E500" i="4"/>
  <c r="E142" i="4"/>
  <c r="D233" i="7"/>
  <c r="E733" i="4"/>
  <c r="D223" i="7"/>
  <c r="E723" i="4"/>
  <c r="C166" i="7"/>
  <c r="E916" i="4"/>
  <c r="C157" i="7"/>
  <c r="E157" i="7" s="1"/>
  <c r="E907" i="4"/>
  <c r="E422" i="4"/>
  <c r="E274" i="4"/>
  <c r="E497" i="4"/>
  <c r="E180" i="4"/>
  <c r="E267" i="4"/>
  <c r="C168" i="7"/>
  <c r="E168" i="7" s="1"/>
  <c r="E892" i="4"/>
  <c r="C142" i="7"/>
  <c r="E142" i="7" s="1"/>
  <c r="E825" i="4"/>
  <c r="C75" i="7"/>
  <c r="E75" i="7" s="1"/>
  <c r="E664" i="4"/>
  <c r="D164" i="7"/>
  <c r="E227" i="4"/>
  <c r="E466" i="4"/>
  <c r="E423" i="4"/>
  <c r="D160" i="7"/>
  <c r="E660" i="4"/>
  <c r="E427" i="4"/>
  <c r="D81" i="7"/>
  <c r="E581" i="4"/>
  <c r="D239" i="7"/>
  <c r="E739" i="4"/>
  <c r="C179" i="7"/>
  <c r="E179" i="7" s="1"/>
  <c r="E929" i="4"/>
  <c r="E97" i="4"/>
  <c r="D184" i="7"/>
  <c r="E684" i="4"/>
  <c r="E225" i="4"/>
  <c r="D146" i="7"/>
  <c r="E646" i="4"/>
  <c r="E307" i="4"/>
  <c r="C7" i="7"/>
  <c r="E757" i="4"/>
  <c r="E115" i="4"/>
  <c r="E410" i="4"/>
  <c r="C164" i="7"/>
  <c r="E164" i="7" s="1"/>
  <c r="E914" i="4"/>
  <c r="E304" i="4"/>
  <c r="C158" i="7"/>
  <c r="E158" i="7" s="1"/>
  <c r="E908" i="4"/>
  <c r="F74" i="4"/>
  <c r="F280" i="4"/>
  <c r="F631" i="4"/>
  <c r="F285" i="4"/>
  <c r="F799" i="4"/>
  <c r="F455" i="4"/>
  <c r="F740" i="4"/>
  <c r="F413" i="4"/>
  <c r="F584" i="4"/>
  <c r="F494" i="4"/>
  <c r="F780" i="4"/>
  <c r="F750" i="4"/>
  <c r="F594" i="4"/>
  <c r="F91" i="4"/>
  <c r="F368" i="4"/>
  <c r="F389" i="4"/>
  <c r="F652" i="4"/>
  <c r="F155" i="4"/>
  <c r="F30" i="4"/>
  <c r="F277" i="4"/>
  <c r="F822" i="4"/>
  <c r="F823" i="4"/>
  <c r="F67" i="4"/>
  <c r="F419" i="4"/>
  <c r="F819" i="4"/>
  <c r="F530" i="4"/>
  <c r="F84" i="4"/>
  <c r="F872" i="4"/>
  <c r="F881" i="4"/>
  <c r="F620" i="4"/>
  <c r="F883" i="4"/>
  <c r="F852" i="4"/>
  <c r="F767" i="4"/>
  <c r="F266" i="4"/>
  <c r="F54" i="4"/>
  <c r="F100" i="4"/>
  <c r="F515" i="4"/>
  <c r="F742" i="4"/>
  <c r="F541" i="4"/>
  <c r="F793" i="4"/>
  <c r="F99" i="4"/>
  <c r="F102" i="4"/>
  <c r="F394" i="4"/>
  <c r="F269" i="4"/>
  <c r="F392" i="4"/>
  <c r="F745" i="4"/>
  <c r="F875" i="4"/>
  <c r="F698" i="4"/>
  <c r="F212" i="4"/>
  <c r="F300" i="4"/>
  <c r="F629" i="4"/>
  <c r="F814" i="4"/>
  <c r="F763" i="4"/>
  <c r="F785" i="4"/>
  <c r="F999" i="4"/>
  <c r="F331" i="4"/>
  <c r="F244" i="4"/>
  <c r="F324" i="4"/>
  <c r="F719" i="4"/>
  <c r="F480" i="4"/>
  <c r="F632" i="4"/>
  <c r="F849" i="4"/>
  <c r="F68" i="4"/>
  <c r="F34" i="4"/>
  <c r="F174" i="4"/>
  <c r="F673" i="4"/>
  <c r="F470" i="4"/>
  <c r="F716" i="4"/>
  <c r="F807" i="4"/>
  <c r="F587" i="4"/>
  <c r="F748" i="4"/>
  <c r="F98" i="4"/>
  <c r="F488" i="4"/>
  <c r="F818" i="4"/>
  <c r="F545" i="4"/>
  <c r="F851" i="4"/>
  <c r="F689" i="4"/>
  <c r="F591" i="4"/>
  <c r="F31" i="4"/>
  <c r="F33" i="4"/>
  <c r="F42" i="4"/>
  <c r="F276" i="4"/>
  <c r="F639" i="4"/>
  <c r="F477" i="4"/>
  <c r="F66" i="4"/>
  <c r="F362" i="4"/>
  <c r="F129" i="4"/>
  <c r="F399" i="4"/>
  <c r="F219" i="4"/>
  <c r="F617" i="4"/>
  <c r="F415" i="4"/>
  <c r="F654" i="4"/>
  <c r="F148" i="4"/>
  <c r="F901" i="4"/>
  <c r="F163" i="4"/>
  <c r="F636" i="4"/>
  <c r="F173" i="4"/>
  <c r="F342" i="4"/>
  <c r="F170" i="4"/>
  <c r="E41" i="4"/>
  <c r="E357" i="4"/>
  <c r="D217" i="7"/>
  <c r="E717" i="4"/>
  <c r="E477" i="4"/>
  <c r="E426" i="4"/>
  <c r="E473" i="4"/>
  <c r="D69" i="7"/>
  <c r="E569" i="4"/>
  <c r="C211" i="7"/>
  <c r="E211" i="7" s="1"/>
  <c r="E961" i="4"/>
  <c r="E150" i="4"/>
  <c r="D254" i="7"/>
  <c r="E754" i="4"/>
  <c r="C169" i="7"/>
  <c r="E169" i="7" s="1"/>
  <c r="E919" i="4"/>
  <c r="E459" i="4"/>
  <c r="E96" i="4"/>
  <c r="E743" i="4"/>
  <c r="D243" i="7"/>
  <c r="C71" i="7"/>
  <c r="E71" i="7" s="1"/>
  <c r="E821" i="4"/>
  <c r="D34" i="7"/>
  <c r="E534" i="4"/>
  <c r="C129" i="7"/>
  <c r="E129" i="7" s="1"/>
  <c r="E879" i="4"/>
  <c r="E624" i="4"/>
  <c r="D124" i="7"/>
  <c r="E350" i="4"/>
  <c r="D105" i="7"/>
  <c r="E605" i="4"/>
  <c r="C189" i="7"/>
  <c r="E189" i="7" s="1"/>
  <c r="E330" i="4"/>
  <c r="E79" i="4"/>
  <c r="E72" i="4"/>
  <c r="D7" i="7"/>
  <c r="E507" i="4"/>
  <c r="C191" i="7"/>
  <c r="E191" i="7" s="1"/>
  <c r="E941" i="4"/>
  <c r="E345" i="4"/>
  <c r="C222" i="7"/>
  <c r="E972" i="4"/>
  <c r="D119" i="7"/>
  <c r="E619" i="4"/>
  <c r="C76" i="7"/>
  <c r="E76" i="7" s="1"/>
  <c r="E826" i="4"/>
  <c r="D19" i="7"/>
  <c r="E519" i="4"/>
  <c r="E317" i="4"/>
  <c r="E832" i="4"/>
  <c r="C82" i="7"/>
  <c r="E82" i="7" s="1"/>
  <c r="E153" i="4"/>
  <c r="E232" i="4"/>
  <c r="D18" i="7"/>
  <c r="E518" i="4"/>
  <c r="E440" i="4"/>
  <c r="D37" i="7"/>
  <c r="E537" i="4"/>
  <c r="C13" i="7"/>
  <c r="E13" i="7" s="1"/>
  <c r="E763" i="4"/>
  <c r="E26" i="4"/>
  <c r="E226" i="4"/>
  <c r="E293" i="4"/>
  <c r="D209" i="7"/>
  <c r="E709" i="4"/>
  <c r="C110" i="7"/>
  <c r="E110" i="7" s="1"/>
  <c r="E860" i="4"/>
  <c r="E951" i="4"/>
  <c r="C201" i="7"/>
  <c r="E201" i="7" s="1"/>
  <c r="D167" i="7"/>
  <c r="E667" i="4"/>
  <c r="E563" i="4"/>
  <c r="D63" i="7"/>
  <c r="E208" i="4"/>
  <c r="E295" i="4"/>
  <c r="C208" i="7"/>
  <c r="E208" i="7" s="1"/>
  <c r="E958" i="4"/>
  <c r="D141" i="7"/>
  <c r="E641" i="4"/>
  <c r="C120" i="7"/>
  <c r="E120" i="7" s="1"/>
  <c r="E870" i="4"/>
  <c r="C183" i="7"/>
  <c r="E183" i="7" s="1"/>
  <c r="E933" i="4"/>
  <c r="E294" i="4"/>
  <c r="E161" i="4"/>
  <c r="E240" i="4"/>
  <c r="E178" i="4"/>
  <c r="D213" i="7"/>
  <c r="E713" i="4"/>
  <c r="D16" i="7"/>
  <c r="E516" i="4"/>
  <c r="C256" i="7"/>
  <c r="E256" i="7" s="1"/>
  <c r="E1006" i="4"/>
  <c r="C153" i="7"/>
  <c r="E153" i="7" s="1"/>
  <c r="E903" i="4"/>
  <c r="E568" i="4"/>
  <c r="D68" i="7"/>
  <c r="E578" i="4"/>
  <c r="D78" i="7"/>
  <c r="E162" i="4"/>
  <c r="E249" i="4"/>
  <c r="C56" i="7"/>
  <c r="E56" i="7" s="1"/>
  <c r="E806" i="4"/>
  <c r="C90" i="7"/>
  <c r="E90" i="7" s="1"/>
  <c r="E840" i="4"/>
  <c r="C177" i="7"/>
  <c r="E177" i="7" s="1"/>
  <c r="E927" i="4"/>
  <c r="C144" i="7"/>
  <c r="E144" i="7" s="1"/>
  <c r="E894" i="4"/>
  <c r="E471" i="4"/>
  <c r="D176" i="7"/>
  <c r="E676" i="4"/>
  <c r="E200" i="4"/>
  <c r="E287" i="4"/>
  <c r="D251" i="7"/>
  <c r="E751" i="4"/>
  <c r="D30" i="7"/>
  <c r="E530" i="4"/>
  <c r="E845" i="4"/>
  <c r="C95" i="7"/>
  <c r="E95" i="7" s="1"/>
  <c r="E382" i="4"/>
  <c r="E362" i="4"/>
  <c r="D113" i="7"/>
  <c r="E613" i="4"/>
  <c r="D155" i="7"/>
  <c r="E655" i="4"/>
  <c r="E184" i="4"/>
  <c r="E251" i="4"/>
  <c r="D31" i="7"/>
  <c r="E531" i="4"/>
  <c r="D132" i="7"/>
  <c r="E632" i="4"/>
  <c r="C100" i="7"/>
  <c r="E100" i="7" s="1"/>
  <c r="E850" i="4"/>
  <c r="C199" i="7"/>
  <c r="E199" i="7" s="1"/>
  <c r="E949" i="4"/>
  <c r="D178" i="7"/>
  <c r="E678" i="4"/>
  <c r="E147" i="4"/>
  <c r="E394" i="4"/>
  <c r="E233" i="4"/>
  <c r="E688" i="4"/>
  <c r="D188" i="7"/>
  <c r="E322" i="4"/>
  <c r="C124" i="7"/>
  <c r="E124" i="7" s="1"/>
  <c r="E874" i="4"/>
  <c r="E430" i="4"/>
  <c r="E165" i="4"/>
  <c r="E490" i="4"/>
  <c r="C182" i="7"/>
  <c r="E182" i="7" s="1"/>
  <c r="E932" i="4"/>
  <c r="E344" i="4"/>
  <c r="F291" i="4"/>
  <c r="F676" i="4"/>
  <c r="F701" i="4"/>
  <c r="F83" i="4"/>
  <c r="F359" i="4"/>
  <c r="F843" i="4"/>
  <c r="F273" i="4"/>
  <c r="F554" i="4"/>
  <c r="F22" i="4"/>
  <c r="F106" i="4"/>
  <c r="F746" i="4"/>
  <c r="F803" i="4"/>
  <c r="F108" i="4"/>
  <c r="F457" i="4"/>
  <c r="F703" i="4"/>
  <c r="F302" i="4"/>
  <c r="F396" i="4"/>
  <c r="F506" i="4"/>
  <c r="F761" i="4"/>
  <c r="F459" i="4"/>
  <c r="F201" i="4"/>
  <c r="F928" i="4"/>
  <c r="F513" i="4"/>
  <c r="F354" i="4"/>
  <c r="F879" i="4"/>
  <c r="F508" i="4"/>
  <c r="F537" i="4"/>
  <c r="F863" i="4"/>
  <c r="F315" i="4"/>
  <c r="F128" i="4"/>
  <c r="F509" i="4"/>
  <c r="F937" i="4"/>
  <c r="F230" i="4"/>
  <c r="F404" i="4"/>
  <c r="F939" i="4"/>
  <c r="F36" i="4"/>
  <c r="F519" i="4"/>
  <c r="F51" i="4"/>
  <c r="F143" i="4"/>
  <c r="F120" i="4"/>
  <c r="F262" i="4"/>
  <c r="F952" i="4"/>
  <c r="F972" i="4"/>
  <c r="F592" i="4"/>
  <c r="F813" i="4"/>
  <c r="F153" i="4"/>
  <c r="F122" i="4"/>
  <c r="F448" i="4"/>
  <c r="F358" i="4"/>
  <c r="F445" i="4"/>
  <c r="F842" i="4"/>
  <c r="F895" i="4"/>
  <c r="F80" i="4"/>
  <c r="F63" i="4"/>
  <c r="F232" i="4"/>
  <c r="F408" i="4"/>
  <c r="F416" i="4"/>
  <c r="F958" i="4"/>
  <c r="F886" i="4"/>
  <c r="F805" i="4"/>
  <c r="F670" i="4"/>
  <c r="F453" i="4"/>
  <c r="F216" i="4"/>
  <c r="F318" i="4"/>
  <c r="F434" i="4"/>
  <c r="F862" i="4"/>
  <c r="F658" i="4"/>
  <c r="F681" i="4"/>
  <c r="F869" i="4"/>
  <c r="F299" i="4"/>
  <c r="F113" i="4"/>
  <c r="F194" i="4"/>
  <c r="F308" i="4"/>
  <c r="F774" i="4"/>
  <c r="F582" i="4"/>
  <c r="F834" i="4"/>
  <c r="F827" i="4"/>
  <c r="F401" i="4"/>
  <c r="F45" i="4"/>
  <c r="F118" i="4"/>
  <c r="F571" i="4"/>
  <c r="F339" i="4"/>
  <c r="F664" i="4"/>
  <c r="F802" i="4"/>
  <c r="F871" i="4"/>
  <c r="F733" i="4"/>
  <c r="F57" i="4"/>
  <c r="F125" i="4"/>
  <c r="F55" i="4"/>
  <c r="F371" i="4"/>
  <c r="F762" i="4"/>
  <c r="F237" i="4"/>
  <c r="F516" i="4"/>
  <c r="F89" i="4"/>
  <c r="F446" i="4"/>
  <c r="F147" i="4"/>
  <c r="F452" i="4"/>
  <c r="F410" i="4"/>
  <c r="F630" i="4"/>
  <c r="F218" i="4" l="1"/>
  <c r="F417" i="4"/>
  <c r="F19" i="4"/>
  <c r="F437" i="4"/>
  <c r="F590" i="4"/>
  <c r="F151" i="4"/>
  <c r="F257" i="4"/>
  <c r="F296" i="4"/>
  <c r="F920" i="4"/>
  <c r="F810" i="4"/>
  <c r="F956" i="4"/>
  <c r="F700" i="4"/>
  <c r="F798" i="4"/>
  <c r="E233" i="7"/>
  <c r="F585" i="4"/>
  <c r="F411" i="4"/>
  <c r="F611" i="4"/>
  <c r="F812" i="4"/>
  <c r="E250" i="7"/>
  <c r="E148" i="7"/>
  <c r="F11" i="4"/>
  <c r="F252" i="4"/>
  <c r="F134" i="4"/>
  <c r="F203" i="4"/>
  <c r="F159" i="4"/>
  <c r="F737" i="4"/>
  <c r="F53" i="4"/>
  <c r="F640" i="4"/>
  <c r="F765" i="4"/>
  <c r="F374" i="4"/>
  <c r="F126" i="4"/>
  <c r="F265" i="4"/>
  <c r="F927" i="4"/>
  <c r="F223" i="4"/>
  <c r="F14" i="4"/>
  <c r="F949" i="4"/>
  <c r="F221" i="4"/>
  <c r="F522" i="4"/>
  <c r="F877" i="4"/>
  <c r="F95" i="4"/>
  <c r="F503" i="4"/>
  <c r="F507" i="4"/>
  <c r="F407" i="4"/>
  <c r="F552" i="4"/>
  <c r="F850" i="4"/>
  <c r="E155" i="7"/>
  <c r="F468" i="4"/>
  <c r="F909" i="4"/>
  <c r="F32" i="4"/>
  <c r="F256" i="4"/>
  <c r="F491" i="4"/>
  <c r="F589" i="4"/>
  <c r="F878" i="4"/>
  <c r="F312" i="4"/>
  <c r="F254" i="4"/>
  <c r="F518" i="4"/>
  <c r="F369" i="4"/>
  <c r="F772" i="4"/>
  <c r="F943" i="4"/>
  <c r="F440" i="4"/>
  <c r="F336" i="4"/>
  <c r="F801" i="4"/>
  <c r="F906" i="4"/>
  <c r="F894" i="4"/>
  <c r="F261" i="4"/>
  <c r="F337" i="4"/>
  <c r="F563" i="4"/>
  <c r="F656" i="4"/>
  <c r="F189" i="4"/>
  <c r="F754" i="4"/>
  <c r="F738" i="4"/>
  <c r="F840" i="4"/>
  <c r="F246" i="4"/>
  <c r="F966" i="4"/>
  <c r="F326" i="4"/>
  <c r="F391" i="4"/>
  <c r="F841" i="4"/>
  <c r="F316" i="4"/>
  <c r="F578" i="4"/>
  <c r="F360" i="4"/>
  <c r="F534" i="4"/>
  <c r="F121" i="4"/>
  <c r="F348" i="4"/>
  <c r="F524" i="4"/>
  <c r="F968" i="4"/>
  <c r="F660" i="4"/>
  <c r="F294" i="4"/>
  <c r="F661" i="4"/>
  <c r="F353" i="4"/>
  <c r="F775" i="4"/>
  <c r="F18" i="4"/>
  <c r="F365" i="4"/>
  <c r="F597" i="4"/>
  <c r="F438" i="4"/>
  <c r="F898" i="4"/>
  <c r="F969" i="4"/>
  <c r="F377" i="4"/>
  <c r="F24" i="4"/>
  <c r="F384" i="4"/>
  <c r="F996" i="4"/>
  <c r="F403" i="4"/>
  <c r="F247" i="4"/>
  <c r="F816" i="4"/>
  <c r="F925" i="4"/>
  <c r="F471" i="4"/>
  <c r="F238" i="4"/>
  <c r="F255" i="4"/>
  <c r="F932" i="4"/>
  <c r="F340" i="4"/>
  <c r="F309" i="4"/>
  <c r="F953" i="4"/>
  <c r="F478" i="4"/>
  <c r="F428" i="4"/>
  <c r="F600" i="4"/>
  <c r="F225" i="4"/>
  <c r="F307" i="4"/>
  <c r="F533" i="4"/>
  <c r="F899" i="4"/>
  <c r="F739" i="4"/>
  <c r="F343" i="4"/>
  <c r="F279" i="4"/>
  <c r="F142" i="4"/>
  <c r="F549" i="4"/>
  <c r="F724" i="4"/>
  <c r="F847" i="4"/>
  <c r="F442" i="4"/>
  <c r="F897" i="4"/>
  <c r="F464" i="4"/>
  <c r="F373" i="4"/>
  <c r="F921" i="4"/>
  <c r="F281" i="4"/>
  <c r="F385" i="4"/>
  <c r="F598" i="4"/>
  <c r="F9" i="4"/>
  <c r="F414" i="4"/>
  <c r="F903" i="4"/>
  <c r="F529" i="4"/>
  <c r="F335" i="4"/>
  <c r="F749" i="4"/>
  <c r="F935" i="4"/>
  <c r="F492" i="4"/>
  <c r="F234" i="4"/>
  <c r="F512" i="4"/>
  <c r="F59" i="4"/>
  <c r="F107" i="4"/>
  <c r="F694" i="4"/>
  <c r="F687" i="4"/>
  <c r="F919" i="4"/>
  <c r="F760" i="4"/>
  <c r="F521" i="4"/>
  <c r="F469" i="4"/>
  <c r="F732" i="4"/>
  <c r="F289" i="4"/>
  <c r="F601" i="4"/>
  <c r="F146" i="4"/>
  <c r="F626" i="4"/>
  <c r="F376" i="4"/>
  <c r="F586" i="4"/>
  <c r="F220" i="4"/>
  <c r="F868" i="4"/>
  <c r="F258" i="4"/>
  <c r="F757" i="4"/>
  <c r="F69" i="4"/>
  <c r="F456" i="4"/>
  <c r="F682" i="4"/>
  <c r="F870" i="4"/>
  <c r="F668" i="4"/>
  <c r="F241" i="4"/>
  <c r="F882" i="4"/>
  <c r="F572" i="4"/>
  <c r="F889" i="4"/>
  <c r="F133" i="4"/>
  <c r="F551" i="4"/>
  <c r="F998" i="4"/>
  <c r="F188" i="4"/>
  <c r="F613" i="4"/>
  <c r="F12" i="4"/>
  <c r="F848" i="4"/>
  <c r="F542" i="4"/>
  <c r="F795" i="4"/>
  <c r="F543" i="4"/>
  <c r="F346" i="4"/>
  <c r="F995" i="4"/>
  <c r="F511" i="4"/>
  <c r="F707" i="4"/>
  <c r="F692" i="4"/>
  <c r="F599" i="4"/>
  <c r="F251" i="4"/>
  <c r="F383" i="4"/>
  <c r="F820" i="4"/>
  <c r="F596" i="4"/>
  <c r="F450" i="4"/>
  <c r="F127" i="4"/>
  <c r="F166" i="4"/>
  <c r="F422" i="4"/>
  <c r="F215" i="4"/>
  <c r="F986" i="4"/>
  <c r="F475" i="4"/>
  <c r="F904" i="4"/>
  <c r="F418" i="4"/>
  <c r="F918" i="4"/>
  <c r="F828" i="4"/>
  <c r="F964" i="4"/>
  <c r="F948" i="4"/>
  <c r="F112" i="4"/>
  <c r="F372" i="4"/>
  <c r="F730" i="4"/>
  <c r="F994" i="4"/>
  <c r="F615" i="4"/>
  <c r="F116" i="4"/>
  <c r="F557" i="4"/>
  <c r="F924" i="4"/>
  <c r="F78" i="4"/>
  <c r="F451" i="4"/>
  <c r="F310" i="4"/>
  <c r="F644" i="4"/>
  <c r="F683" i="4"/>
  <c r="F27" i="4"/>
  <c r="F560" i="4"/>
  <c r="F240" i="4"/>
  <c r="F764" i="4"/>
  <c r="F367" i="4"/>
  <c r="F961" i="4"/>
  <c r="F70" i="4"/>
  <c r="F806" i="4"/>
  <c r="F665" i="4"/>
  <c r="F663" i="4"/>
  <c r="F809" i="4"/>
  <c r="F327" i="4"/>
  <c r="F175" i="4"/>
  <c r="F191" i="4"/>
  <c r="F333" i="4"/>
  <c r="F179" i="4"/>
  <c r="F150" i="4"/>
  <c r="F171" i="4"/>
  <c r="F184" i="4"/>
  <c r="F140" i="4"/>
  <c r="F501" i="4"/>
  <c r="F825" i="4"/>
  <c r="F105" i="4"/>
  <c r="F138" i="4"/>
  <c r="F290" i="4"/>
  <c r="F206" i="4"/>
  <c r="F52" i="4"/>
  <c r="F558" i="4"/>
  <c r="F46" i="4"/>
  <c r="F544" i="4"/>
  <c r="F235" i="4"/>
  <c r="F487" i="4"/>
  <c r="F782" i="4"/>
  <c r="F185" i="4"/>
  <c r="F605" i="4"/>
  <c r="F752" i="4"/>
  <c r="F979" i="4"/>
  <c r="F493" i="4"/>
  <c r="F853" i="4"/>
  <c r="F479" i="4"/>
  <c r="F390" i="4"/>
  <c r="F717" i="4"/>
  <c r="F911" i="4"/>
  <c r="F139" i="4"/>
  <c r="F693" i="4"/>
  <c r="F168" i="4"/>
  <c r="F684" i="4"/>
  <c r="F248" i="4"/>
  <c r="F182" i="4"/>
  <c r="F985" i="4"/>
  <c r="F574" i="4"/>
  <c r="F887" i="4"/>
  <c r="F8" i="4"/>
  <c r="F62" i="4"/>
  <c r="F817" i="4"/>
  <c r="F205" i="4"/>
  <c r="F25" i="4"/>
  <c r="F893" i="4"/>
  <c r="F987" i="4"/>
  <c r="F570" i="4"/>
  <c r="F962" i="4"/>
  <c r="F951" i="4"/>
  <c r="F243" i="4"/>
  <c r="F485" i="4"/>
  <c r="F15" i="4"/>
  <c r="F976" i="4"/>
  <c r="F356" i="4"/>
  <c r="F460" i="4"/>
  <c r="F916" i="4"/>
  <c r="F960" i="4"/>
  <c r="F930" i="4"/>
  <c r="F152" i="4"/>
  <c r="F527" i="4"/>
  <c r="F421" i="4"/>
  <c r="F791" i="4"/>
  <c r="F713" i="4"/>
  <c r="F808" i="4"/>
  <c r="F539" i="4"/>
  <c r="F686" i="4"/>
  <c r="F983" i="4"/>
  <c r="F890" i="4"/>
  <c r="F233" i="4"/>
  <c r="F671" i="4"/>
  <c r="F29" i="4"/>
  <c r="F502" i="4"/>
  <c r="F980" i="4"/>
  <c r="F119" i="4"/>
  <c r="F38" i="4"/>
  <c r="F37" i="4"/>
  <c r="F523" i="4"/>
  <c r="F531" i="4"/>
  <c r="F699" i="4"/>
  <c r="F643" i="4"/>
  <c r="F329" i="4"/>
  <c r="F954" i="4"/>
  <c r="F398" i="4"/>
  <c r="F444" i="4"/>
  <c r="F253" i="4"/>
  <c r="F559" i="4"/>
  <c r="F702" i="4"/>
  <c r="F731" i="4"/>
  <c r="F941" i="4"/>
  <c r="F704" i="4"/>
  <c r="F575" i="4"/>
  <c r="F397" i="4"/>
  <c r="F634" i="4"/>
  <c r="F496" i="4"/>
  <c r="F267" i="4"/>
  <c r="F609" i="4"/>
  <c r="F430" i="4"/>
  <c r="F490" i="4"/>
  <c r="F245" i="4"/>
  <c r="F859" i="4"/>
  <c r="F297" i="4"/>
  <c r="F705" i="4"/>
  <c r="F647" i="4"/>
  <c r="F915" i="4"/>
  <c r="F284" i="4"/>
  <c r="F214" i="4"/>
  <c r="F395" i="4"/>
  <c r="F655" i="4"/>
  <c r="F1005" i="4"/>
  <c r="F190" i="4"/>
  <c r="F788" i="4"/>
  <c r="F645" i="4"/>
  <c r="F854" i="4"/>
  <c r="F830" i="4"/>
  <c r="F132" i="4"/>
  <c r="F892" i="4"/>
  <c r="F124" i="4"/>
  <c r="F462" i="4"/>
  <c r="F141" i="4"/>
  <c r="F162" i="4"/>
  <c r="F826" i="4"/>
  <c r="F858" i="4"/>
  <c r="F867" i="4"/>
  <c r="F792" i="4"/>
  <c r="F187" i="4"/>
  <c r="F58" i="4"/>
  <c r="F649" i="4"/>
  <c r="F467" i="4"/>
  <c r="F164" i="4"/>
  <c r="F347" i="4"/>
  <c r="F412" i="4"/>
  <c r="F1000" i="4"/>
  <c r="F344" i="4"/>
  <c r="F236" i="4"/>
  <c r="F366" i="4"/>
  <c r="F726" i="4"/>
  <c r="F797" i="4"/>
  <c r="F425" i="4"/>
  <c r="F934" i="4"/>
  <c r="F861" i="4"/>
  <c r="F93" i="4"/>
  <c r="F103" i="4"/>
  <c r="F913" i="4"/>
  <c r="F305" i="4"/>
  <c r="F104" i="4"/>
  <c r="F387" i="4"/>
  <c r="F970" i="4"/>
  <c r="F675" i="4"/>
  <c r="F514" i="4"/>
  <c r="F546" i="4"/>
  <c r="F641" i="4"/>
  <c r="F466" i="4"/>
  <c r="F439" i="4"/>
  <c r="F330" i="4"/>
  <c r="F942" i="4"/>
  <c r="F564" i="4"/>
  <c r="F461" i="4"/>
  <c r="F573" i="4"/>
  <c r="F101" i="4"/>
  <c r="F476" i="4"/>
  <c r="F26" i="4"/>
  <c r="F393" i="4"/>
  <c r="F669" i="4"/>
  <c r="F604" i="4"/>
  <c r="F796" i="4"/>
  <c r="F43" i="4"/>
  <c r="F612" i="4"/>
  <c r="F923" i="4"/>
  <c r="F990" i="4"/>
  <c r="F833" i="4"/>
  <c r="F283" i="4"/>
  <c r="F622" i="4"/>
  <c r="F650" i="4"/>
  <c r="F891" i="4"/>
  <c r="F576" i="4"/>
  <c r="F144" i="4"/>
  <c r="F458" i="4"/>
  <c r="F688" i="4"/>
  <c r="F510" i="4"/>
  <c r="F884" i="4"/>
  <c r="F638" i="4"/>
  <c r="F222" i="4"/>
  <c r="F463" i="4"/>
  <c r="F857" i="4"/>
  <c r="F427" i="4"/>
  <c r="F160" i="4"/>
  <c r="F759" i="4"/>
  <c r="F845" i="4"/>
  <c r="F606" i="4"/>
  <c r="F158" i="4"/>
  <c r="F71" i="4"/>
  <c r="F679" i="4"/>
  <c r="F678" i="4"/>
  <c r="F959" i="4"/>
  <c r="F991" i="4"/>
  <c r="F607" i="4"/>
  <c r="F380" i="4"/>
  <c r="F955" i="4"/>
  <c r="F657" i="4"/>
  <c r="F288" i="4"/>
  <c r="F577" i="4"/>
  <c r="J19" i="4"/>
  <c r="F228" i="4" s="1"/>
  <c r="F207" i="4"/>
  <c r="F441" i="4"/>
  <c r="F876" i="4"/>
  <c r="F200" i="4"/>
  <c r="F735" i="4"/>
  <c r="F885" i="4"/>
  <c r="F87" i="4"/>
  <c r="F198" i="4"/>
  <c r="F145" i="4"/>
  <c r="F728" i="4"/>
  <c r="F1001" i="4"/>
  <c r="F131" i="4"/>
  <c r="F28" i="4"/>
  <c r="F766" i="4"/>
  <c r="F977" i="4"/>
  <c r="F580" i="4"/>
  <c r="F540" i="4"/>
  <c r="F666" i="4"/>
  <c r="F790" i="4"/>
  <c r="F646" i="4"/>
  <c r="F505" i="4"/>
  <c r="F79" i="4"/>
  <c r="F447" i="4"/>
  <c r="F880" i="4"/>
  <c r="F783" i="4"/>
  <c r="F1003" i="4"/>
  <c r="F172" i="4"/>
  <c r="F625" i="4"/>
  <c r="F635" i="4"/>
  <c r="F811" i="4"/>
  <c r="F770" i="4"/>
  <c r="F627" i="4"/>
  <c r="F295" i="4"/>
  <c r="F364" i="4"/>
  <c r="F548" i="4"/>
  <c r="F784" i="4"/>
  <c r="F616" i="4"/>
  <c r="F965" i="4"/>
  <c r="F715" i="4"/>
  <c r="F361" i="4"/>
  <c r="F272" i="4"/>
  <c r="F561" i="4"/>
  <c r="F320" i="4"/>
  <c r="F332" i="4"/>
  <c r="F186" i="4"/>
  <c r="F864" i="4"/>
  <c r="F263" i="4"/>
  <c r="F196" i="4"/>
  <c r="F242" i="4"/>
  <c r="F482" i="4"/>
  <c r="F217" i="4"/>
  <c r="F1002" i="4"/>
  <c r="F178" i="4"/>
  <c r="F321" i="4"/>
  <c r="F768" i="4"/>
  <c r="F355" i="4"/>
  <c r="F499" i="4"/>
  <c r="F268" i="4"/>
  <c r="F794" i="4"/>
  <c r="F489" i="4"/>
  <c r="F888" i="4"/>
  <c r="F161" i="4"/>
  <c r="F838" i="4"/>
  <c r="F532" i="4"/>
  <c r="F835" i="4"/>
  <c r="F319" i="4"/>
  <c r="F624" i="4"/>
  <c r="F10" i="4"/>
  <c r="F789" i="4"/>
  <c r="F341" i="4"/>
  <c r="F562" i="4"/>
  <c r="F603" i="4"/>
  <c r="F504" i="4"/>
  <c r="F938" i="4"/>
  <c r="F231" i="4"/>
  <c r="F926" i="4"/>
  <c r="F623" i="4"/>
  <c r="F525" i="4"/>
  <c r="F535" i="4"/>
  <c r="F224" i="4"/>
  <c r="F195" i="4"/>
  <c r="F167" i="4"/>
  <c r="F873" i="4"/>
  <c r="F137" i="4"/>
  <c r="F303" i="4"/>
  <c r="F495" i="4"/>
  <c r="F420" i="4"/>
  <c r="F474" i="4"/>
  <c r="F902" i="4"/>
  <c r="E198" i="7"/>
  <c r="H7" i="7"/>
  <c r="E78" i="7"/>
  <c r="F97" i="4"/>
  <c r="F293" i="4"/>
  <c r="F48" i="4"/>
  <c r="F208" i="4"/>
  <c r="F769" i="4"/>
  <c r="F672" i="4"/>
  <c r="F260" i="4"/>
  <c r="F725" i="4"/>
  <c r="F181" i="4"/>
  <c r="F435" i="4"/>
  <c r="F621" i="4"/>
  <c r="F708" i="4"/>
  <c r="E119" i="7"/>
  <c r="E61" i="7"/>
  <c r="F856" i="4"/>
  <c r="F520" i="4"/>
  <c r="F550" i="4"/>
  <c r="E7" i="7"/>
  <c r="E251" i="7"/>
  <c r="E113" i="7"/>
  <c r="F382" i="4"/>
  <c r="F967" i="4"/>
  <c r="F123" i="4"/>
  <c r="F734" i="4"/>
  <c r="F860" i="4"/>
  <c r="F706" i="4"/>
  <c r="F47" i="4"/>
  <c r="F136" i="4"/>
  <c r="F555" i="4"/>
  <c r="F169" i="4"/>
  <c r="F486" i="4"/>
  <c r="F971" i="4"/>
  <c r="F674" i="4"/>
  <c r="F301" i="4"/>
  <c r="F907" i="4"/>
  <c r="F721" i="4"/>
  <c r="F583" i="4"/>
  <c r="F633" i="4"/>
  <c r="F472" i="4"/>
  <c r="F484" i="4"/>
  <c r="F72" i="4"/>
  <c r="F637" i="4"/>
  <c r="F642" i="4"/>
  <c r="F76" i="4"/>
  <c r="F744" i="4"/>
  <c r="F20" i="4"/>
  <c r="J13" i="4" s="1"/>
  <c r="F711" i="4"/>
  <c r="F691" i="4"/>
  <c r="E40" i="7"/>
  <c r="F135" i="4"/>
  <c r="F992" i="4"/>
  <c r="F945" i="4"/>
  <c r="F667" i="4"/>
  <c r="F866" i="4"/>
  <c r="F282" i="4"/>
  <c r="F947" i="4"/>
  <c r="F718" i="4"/>
  <c r="F933" i="4"/>
  <c r="F1006" i="4"/>
  <c r="F747" i="4"/>
  <c r="F771" i="4"/>
  <c r="F922" i="4"/>
  <c r="F75" i="4"/>
  <c r="F800" i="4"/>
  <c r="F974" i="4"/>
  <c r="F429" i="4"/>
  <c r="F210" i="4"/>
  <c r="F157" i="4"/>
  <c r="F349" i="4"/>
  <c r="F92" i="4"/>
  <c r="F61" i="4"/>
  <c r="F17" i="4"/>
  <c r="F90" i="4"/>
  <c r="E213" i="7"/>
  <c r="F77" i="4"/>
  <c r="F41" i="4"/>
  <c r="F963" i="4"/>
  <c r="F776" i="4"/>
  <c r="F993" i="4"/>
  <c r="F566" i="4"/>
  <c r="F229" i="4"/>
  <c r="F334" i="4"/>
  <c r="F56" i="4"/>
  <c r="F981" i="4"/>
  <c r="F758" i="4"/>
  <c r="F836" i="4"/>
  <c r="E151" i="7"/>
  <c r="E32" i="7"/>
  <c r="F569" i="4"/>
  <c r="F423" i="4"/>
  <c r="F710" i="4"/>
  <c r="F402" i="4"/>
  <c r="F426" i="4"/>
  <c r="F85" i="4"/>
  <c r="F997" i="4"/>
  <c r="F614" i="4"/>
  <c r="F593" i="4"/>
  <c r="F454" i="4"/>
  <c r="F239" i="4"/>
  <c r="F722" i="4"/>
  <c r="F651" i="4"/>
  <c r="F16" i="4"/>
  <c r="F727" i="4"/>
  <c r="F409" i="4"/>
  <c r="F23" i="4"/>
  <c r="F978" i="4"/>
  <c r="F602" i="4"/>
  <c r="F931" i="4"/>
  <c r="F929" i="4"/>
  <c r="F940" i="4"/>
  <c r="F193" i="4"/>
  <c r="F821" i="4"/>
  <c r="F88" i="4"/>
  <c r="F115" i="4"/>
  <c r="F786" i="4"/>
  <c r="F350" i="4"/>
  <c r="F110" i="4"/>
  <c r="E262" i="4"/>
  <c r="E222" i="7"/>
  <c r="E939" i="4"/>
  <c r="E290" i="4"/>
  <c r="E419" i="4"/>
  <c r="E73" i="4"/>
  <c r="E164" i="4"/>
  <c r="E918" i="4"/>
  <c r="E166" i="7"/>
  <c r="E711" i="4"/>
  <c r="E544" i="4"/>
  <c r="E275" i="4"/>
  <c r="E273" i="4"/>
  <c r="E957" i="4"/>
  <c r="E395" i="4"/>
  <c r="E808" i="4"/>
  <c r="E202" i="7"/>
  <c r="E722" i="4"/>
  <c r="E686" i="4"/>
  <c r="E547" i="4"/>
  <c r="E909" i="4"/>
  <c r="E343" i="4"/>
  <c r="E247" i="4"/>
  <c r="E656" i="4"/>
  <c r="E626" i="4"/>
  <c r="E699" i="4"/>
  <c r="E911" i="4"/>
  <c r="E495" i="4"/>
  <c r="E704" i="4"/>
  <c r="E841" i="4"/>
  <c r="E457" i="4"/>
  <c r="E163" i="4"/>
  <c r="E756" i="4"/>
  <c r="E44" i="7"/>
  <c r="E433" i="4"/>
  <c r="E60" i="4"/>
  <c r="E222" i="4"/>
  <c r="E238" i="4"/>
  <c r="E60" i="7"/>
  <c r="E811" i="4"/>
  <c r="E956" i="4"/>
  <c r="E1002" i="4"/>
  <c r="E141" i="4"/>
  <c r="E49" i="4"/>
  <c r="E515" i="4"/>
  <c r="E31" i="4"/>
  <c r="E621" i="4"/>
  <c r="E847" i="4"/>
  <c r="E45" i="4"/>
  <c r="E720" i="4"/>
  <c r="E906" i="4"/>
  <c r="E801" i="4"/>
  <c r="E744" i="4"/>
  <c r="E503" i="4"/>
  <c r="E966" i="4"/>
  <c r="E859" i="4"/>
  <c r="E195" i="4"/>
  <c r="E565" i="4"/>
  <c r="E437" i="4"/>
  <c r="E57" i="7"/>
  <c r="E533" i="4"/>
  <c r="E600" i="4"/>
  <c r="E881" i="4"/>
  <c r="E701" i="4"/>
  <c r="E224" i="4"/>
  <c r="E943" i="4"/>
  <c r="E101" i="4"/>
  <c r="E649" i="4"/>
  <c r="E523" i="4"/>
  <c r="E573" i="4"/>
  <c r="E830" i="4"/>
  <c r="E356" i="4"/>
  <c r="E181" i="4"/>
  <c r="E429" i="4"/>
  <c r="E126" i="4"/>
  <c r="E937" i="4"/>
  <c r="E416" i="4"/>
  <c r="E219" i="4"/>
  <c r="E133" i="4"/>
  <c r="E63" i="7"/>
  <c r="E643" i="4"/>
  <c r="E247" i="7"/>
  <c r="E400" i="4"/>
  <c r="E202" i="4"/>
  <c r="E23" i="7"/>
  <c r="E938" i="4"/>
  <c r="E277" i="4"/>
  <c r="E538" i="4"/>
  <c r="E17" i="7"/>
  <c r="E737" i="4"/>
  <c r="E26" i="7"/>
  <c r="E218" i="4"/>
  <c r="E191" i="4"/>
  <c r="E969" i="4"/>
  <c r="E734" i="4"/>
  <c r="E968" i="4"/>
  <c r="E197" i="7"/>
  <c r="E923" i="4"/>
  <c r="E264" i="4"/>
  <c r="E877" i="4"/>
  <c r="E261" i="4"/>
  <c r="E185" i="7"/>
  <c r="E747" i="4"/>
  <c r="E520" i="4"/>
  <c r="E231" i="7"/>
  <c r="E369" i="4"/>
  <c r="E102" i="4"/>
  <c r="E118" i="4"/>
  <c r="E146" i="7"/>
  <c r="E141" i="7"/>
  <c r="E331" i="4"/>
  <c r="E12" i="7"/>
  <c r="E797" i="4"/>
  <c r="E795" i="4"/>
  <c r="E719" i="4"/>
  <c r="E67" i="7"/>
  <c r="E70" i="7"/>
  <c r="E796" i="4"/>
  <c r="E869" i="4"/>
  <c r="E104" i="4"/>
  <c r="E97" i="7"/>
  <c r="E823" i="4"/>
  <c r="E545" i="4"/>
  <c r="E156" i="7"/>
  <c r="E551" i="4"/>
  <c r="E355" i="4"/>
  <c r="E948" i="4"/>
  <c r="E216" i="7"/>
  <c r="E397" i="4"/>
  <c r="E635" i="4"/>
  <c r="E758" i="4"/>
  <c r="E807" i="4"/>
  <c r="E131" i="7"/>
  <c r="E470" i="4"/>
  <c r="E671" i="4"/>
  <c r="E75" i="4"/>
  <c r="E80" i="7"/>
  <c r="E827" i="4"/>
  <c r="E999" i="4"/>
  <c r="E623" i="4"/>
  <c r="E700" i="4"/>
  <c r="E745" i="4"/>
  <c r="E848" i="4"/>
  <c r="E175" i="4"/>
  <c r="E925" i="4"/>
  <c r="E510" i="4"/>
  <c r="E964" i="4"/>
  <c r="E392" i="4"/>
  <c r="E479" i="4"/>
  <c r="E39" i="7"/>
  <c r="E593" i="4"/>
  <c r="E22" i="7"/>
  <c r="E188" i="7"/>
  <c r="E241" i="4"/>
  <c r="E647" i="4"/>
  <c r="E113" i="4"/>
  <c r="E359" i="4"/>
  <c r="E286" i="4"/>
  <c r="E291" i="4"/>
  <c r="E464" i="4"/>
  <c r="E506" i="4"/>
  <c r="E435" i="4"/>
  <c r="E218" i="7"/>
  <c r="E190" i="7"/>
  <c r="E173" i="7"/>
  <c r="E864" i="4"/>
  <c r="E127" i="7"/>
  <c r="E35" i="4"/>
  <c r="E408" i="4"/>
  <c r="E205" i="4"/>
  <c r="E726" i="4"/>
  <c r="E35" i="7"/>
  <c r="E8" i="4"/>
  <c r="E800" i="4"/>
  <c r="E728" i="4"/>
  <c r="E882" i="4"/>
  <c r="E59" i="4"/>
  <c r="E174" i="4"/>
  <c r="E47" i="7"/>
  <c r="E817" i="4"/>
  <c r="E633" i="4"/>
  <c r="E46" i="7"/>
  <c r="E888" i="4"/>
  <c r="E462" i="4"/>
  <c r="E456" i="4"/>
  <c r="E373" i="4"/>
  <c r="E942" i="4"/>
  <c r="E302" i="4"/>
  <c r="E467" i="4"/>
  <c r="E189" i="4"/>
  <c r="E780" i="4"/>
  <c r="E245" i="4"/>
  <c r="E703" i="4"/>
  <c r="E231" i="4"/>
  <c r="E129" i="4"/>
  <c r="E513" i="4"/>
  <c r="E249" i="7"/>
  <c r="E108" i="4"/>
  <c r="E212" i="4"/>
  <c r="E98" i="7"/>
  <c r="E89" i="4"/>
  <c r="E926" i="4"/>
  <c r="E475" i="4"/>
  <c r="E789" i="4"/>
  <c r="E772" i="4"/>
  <c r="E752" i="4"/>
  <c r="E960" i="4"/>
  <c r="E16" i="4"/>
  <c r="E759" i="4"/>
  <c r="E223" i="4"/>
  <c r="E117" i="4"/>
  <c r="E24" i="4"/>
  <c r="E386" i="4"/>
  <c r="E575" i="4"/>
  <c r="E53" i="4"/>
  <c r="E950" i="4"/>
  <c r="E91" i="4"/>
  <c r="E368" i="4"/>
  <c r="E940" i="4"/>
  <c r="E778" i="4"/>
  <c r="E114" i="7"/>
  <c r="E586" i="4"/>
  <c r="E662" i="4"/>
  <c r="E46" i="4"/>
  <c r="E318" i="4"/>
  <c r="E338" i="4"/>
  <c r="E687" i="4"/>
  <c r="E785" i="4"/>
  <c r="E272" i="4"/>
  <c r="E50" i="7"/>
  <c r="E596" i="4"/>
  <c r="E132" i="7"/>
  <c r="E857" i="4"/>
  <c r="E221" i="4"/>
  <c r="E398" i="4"/>
  <c r="E571" i="4"/>
  <c r="E455" i="4"/>
  <c r="E812" i="4"/>
  <c r="E979" i="4"/>
  <c r="E138" i="7"/>
  <c r="E105" i="4"/>
  <c r="E387" i="4"/>
  <c r="E559" i="4"/>
  <c r="E93" i="4"/>
  <c r="E20" i="4"/>
  <c r="E54" i="4"/>
  <c r="E476" i="4"/>
  <c r="E654" i="4"/>
  <c r="E590" i="4"/>
  <c r="E444" i="4"/>
  <c r="E553" i="4"/>
  <c r="E254" i="7"/>
  <c r="E746" i="4"/>
  <c r="E54" i="7"/>
  <c r="E128" i="4"/>
  <c r="E32" i="4"/>
  <c r="E19" i="7"/>
  <c r="E517" i="4"/>
  <c r="E210" i="4"/>
  <c r="E411" i="4"/>
  <c r="E48" i="7"/>
  <c r="E627" i="4"/>
  <c r="E170" i="4"/>
  <c r="E36" i="4"/>
  <c r="E360" i="4"/>
  <c r="E250" i="4"/>
  <c r="E42" i="4"/>
  <c r="E558" i="4"/>
  <c r="E339" i="4"/>
  <c r="E30" i="7"/>
  <c r="E354" i="4"/>
  <c r="E524" i="4"/>
  <c r="E591" i="4"/>
  <c r="E57" i="4"/>
  <c r="E572" i="4"/>
  <c r="E603" i="4"/>
  <c r="E803" i="4"/>
  <c r="E85" i="4"/>
  <c r="E501" i="4"/>
  <c r="E306" i="4"/>
  <c r="E279" i="4"/>
  <c r="E609" i="4"/>
  <c r="E167" i="4"/>
  <c r="E978" i="4"/>
  <c r="E81" i="4"/>
  <c r="E637" i="4"/>
  <c r="E670" i="4"/>
  <c r="E176" i="7"/>
  <c r="E366" i="4"/>
  <c r="E885" i="4"/>
  <c r="E16" i="7"/>
  <c r="E48" i="4"/>
  <c r="E210" i="7"/>
  <c r="E152" i="4"/>
  <c r="E987" i="4"/>
  <c r="E9" i="7"/>
  <c r="E512" i="4"/>
  <c r="E19" i="4"/>
  <c r="E446" i="4"/>
  <c r="E781" i="4"/>
  <c r="E326" i="4"/>
  <c r="E200" i="7"/>
  <c r="E220" i="4"/>
  <c r="E928" i="4"/>
  <c r="E28" i="7"/>
  <c r="E953" i="4"/>
  <c r="E846" i="4"/>
  <c r="E689" i="4"/>
  <c r="E27" i="4"/>
  <c r="E672" i="4"/>
  <c r="E867" i="4"/>
  <c r="E123" i="4"/>
  <c r="E103" i="4"/>
  <c r="E753" i="4"/>
  <c r="E542" i="4"/>
  <c r="E107" i="7"/>
  <c r="E325" i="4"/>
  <c r="E724" i="4"/>
  <c r="E342" i="4"/>
  <c r="E280" i="4"/>
  <c r="E62" i="7"/>
  <c r="E266" i="4"/>
  <c r="E229" i="7"/>
  <c r="E971" i="4"/>
  <c r="E458" i="4"/>
  <c r="E856" i="4"/>
  <c r="E638" i="4"/>
  <c r="E853" i="4"/>
  <c r="E146" i="4"/>
  <c r="E303" i="4"/>
  <c r="E127" i="4"/>
  <c r="E254" i="4"/>
  <c r="E710" i="4"/>
  <c r="E90" i="4"/>
  <c r="E145" i="4"/>
  <c r="E815" i="4"/>
  <c r="E383" i="4"/>
  <c r="E730" i="4"/>
  <c r="E990" i="4"/>
  <c r="E438" i="4"/>
  <c r="E151" i="4"/>
  <c r="E748" i="4"/>
  <c r="E967" i="4"/>
  <c r="E973" i="4"/>
  <c r="E849" i="4"/>
  <c r="E84" i="4"/>
  <c r="E367" i="4"/>
  <c r="E53" i="7"/>
  <c r="E833" i="4"/>
  <c r="E217" i="4"/>
  <c r="E143" i="4"/>
  <c r="E95" i="4"/>
  <c r="E620" i="4"/>
  <c r="E783" i="4"/>
  <c r="E922" i="4"/>
  <c r="E74" i="7"/>
  <c r="E92" i="7"/>
  <c r="E135" i="7"/>
  <c r="E766" i="4"/>
  <c r="E41" i="7"/>
  <c r="E352" i="4"/>
  <c r="E993" i="4"/>
  <c r="E268" i="4"/>
  <c r="E21" i="4"/>
  <c r="E628" i="4"/>
  <c r="E31" i="7"/>
  <c r="E11" i="4"/>
  <c r="E681" i="4"/>
  <c r="E514" i="4"/>
  <c r="E622" i="4"/>
  <c r="E178" i="7"/>
  <c r="E636" i="4"/>
  <c r="E203" i="7"/>
  <c r="E28" i="4"/>
  <c r="E657" i="4"/>
  <c r="E124" i="4"/>
  <c r="E117" i="7"/>
  <c r="E843" i="4"/>
  <c r="E55" i="4"/>
  <c r="E982" i="4"/>
  <c r="E601" i="4"/>
  <c r="E177" i="4"/>
  <c r="E71" i="4"/>
  <c r="E136" i="4"/>
  <c r="E761" i="4"/>
  <c r="E921" i="4"/>
  <c r="E221" i="7"/>
  <c r="E962" i="4"/>
  <c r="E213" i="4"/>
  <c r="E532" i="4"/>
  <c r="E805" i="4"/>
  <c r="E645" i="4"/>
  <c r="E323" i="4"/>
  <c r="E309" i="4"/>
  <c r="E184" i="7"/>
  <c r="E836" i="4"/>
  <c r="E712" i="4"/>
  <c r="E315" i="4"/>
  <c r="E560" i="4"/>
  <c r="E819" i="4"/>
  <c r="E959" i="4"/>
  <c r="E179" i="4"/>
  <c r="E44" i="4"/>
  <c r="E527" i="4"/>
  <c r="E787" i="4"/>
  <c r="E920" i="4"/>
  <c r="E989" i="4"/>
  <c r="E834" i="4"/>
  <c r="E283" i="4"/>
  <c r="E661" i="4"/>
  <c r="E634" i="4"/>
  <c r="I19" i="4"/>
  <c r="E727" i="4"/>
  <c r="E120" i="4"/>
  <c r="E361" i="4"/>
  <c r="E587" i="4"/>
  <c r="E381" i="4"/>
  <c r="E899" i="4"/>
  <c r="E319" i="4"/>
  <c r="E880" i="4"/>
  <c r="E576" i="4"/>
  <c r="E729" i="4"/>
  <c r="E154" i="4"/>
  <c r="E65" i="7"/>
  <c r="E379" i="4"/>
  <c r="E240" i="7"/>
  <c r="E88" i="4"/>
  <c r="E765" i="4"/>
  <c r="E675" i="4"/>
  <c r="E276" i="4"/>
  <c r="E217" i="7"/>
  <c r="E223" i="7"/>
  <c r="E56" i="4"/>
  <c r="E252" i="4"/>
  <c r="E99" i="7"/>
  <c r="E375" i="4"/>
  <c r="E499" i="4"/>
  <c r="E567" i="4"/>
  <c r="E844" i="4"/>
  <c r="E83" i="7"/>
  <c r="E851" i="4"/>
  <c r="E376" i="4"/>
  <c r="E327" i="4"/>
  <c r="E414" i="4"/>
  <c r="E436" i="4"/>
  <c r="E33" i="7"/>
  <c r="E452" i="4"/>
  <c r="E824" i="4"/>
  <c r="E842" i="4"/>
  <c r="E478" i="4"/>
  <c r="E608" i="4"/>
  <c r="E791" i="4"/>
  <c r="E818" i="4"/>
  <c r="E508" i="4"/>
  <c r="E243" i="7"/>
  <c r="E239" i="4"/>
  <c r="E975" i="4"/>
  <c r="E199" i="4"/>
  <c r="E985" i="4"/>
  <c r="E936" i="4"/>
  <c r="E594" i="4"/>
  <c r="E718" i="4"/>
  <c r="E237" i="4"/>
  <c r="E269" i="4"/>
  <c r="E970" i="4"/>
  <c r="E111" i="4"/>
  <c r="E333" i="4"/>
  <c r="E889" i="4"/>
  <c r="E260" i="4"/>
  <c r="E521" i="4"/>
  <c r="E786" i="4"/>
  <c r="E93" i="7"/>
  <c r="E873" i="4"/>
  <c r="E148" i="4"/>
  <c r="E663" i="4"/>
  <c r="E232" i="7"/>
  <c r="E736" i="4"/>
  <c r="E996" i="4"/>
  <c r="E775" i="4"/>
  <c r="E393" i="4"/>
  <c r="E11" i="7"/>
  <c r="E171" i="7"/>
  <c r="E365" i="4"/>
  <c r="E212" i="7"/>
  <c r="E187" i="4"/>
  <c r="E69" i="7"/>
  <c r="E209" i="7"/>
  <c r="E211" i="4"/>
  <c r="E666" i="4"/>
  <c r="E37" i="7"/>
  <c r="E239" i="7"/>
  <c r="E68" i="4"/>
  <c r="E84" i="7"/>
  <c r="E878" i="4"/>
  <c r="E792" i="4"/>
  <c r="E486" i="4"/>
  <c r="E561" i="4"/>
  <c r="E7" i="4"/>
  <c r="E965" i="4"/>
  <c r="E242" i="4"/>
  <c r="E784" i="4"/>
  <c r="E485" i="4"/>
  <c r="E599" i="4"/>
  <c r="E121" i="7"/>
  <c r="E364" i="4"/>
  <c r="E890" i="4"/>
  <c r="E610" i="4"/>
  <c r="E595" i="4"/>
  <c r="E65" i="4"/>
  <c r="E589" i="4"/>
  <c r="E829" i="4"/>
  <c r="E946" i="4"/>
  <c r="E346" i="4"/>
  <c r="E15" i="7"/>
  <c r="E299" i="4"/>
  <c r="E976" i="4"/>
  <c r="E741" i="4"/>
  <c r="E172" i="4"/>
  <c r="E472" i="4"/>
  <c r="E539" i="4"/>
  <c r="E229" i="4"/>
  <c r="E100" i="4"/>
  <c r="E407" i="4"/>
  <c r="E872" i="4"/>
  <c r="E12" i="4"/>
  <c r="E904" i="4"/>
  <c r="E482" i="4"/>
  <c r="E285" i="4"/>
  <c r="E831" i="4"/>
  <c r="E281" i="4"/>
  <c r="E404" i="4"/>
  <c r="E683" i="4"/>
  <c r="E316" i="4"/>
  <c r="E66" i="4"/>
  <c r="E68" i="7"/>
  <c r="E415" i="4"/>
  <c r="E481" i="4"/>
  <c r="E505" i="4"/>
  <c r="E225" i="7"/>
  <c r="E451" i="4"/>
  <c r="E235" i="7"/>
  <c r="E630" i="4"/>
  <c r="E186" i="7"/>
  <c r="E246" i="4"/>
  <c r="E865" i="4"/>
  <c r="E618" i="4"/>
  <c r="E182" i="4"/>
  <c r="E858" i="4"/>
  <c r="E220" i="7"/>
  <c r="E332" i="4"/>
  <c r="E562" i="4"/>
  <c r="E536" i="4"/>
  <c r="E83" i="4"/>
  <c r="E639" i="4"/>
  <c r="E235" i="4"/>
  <c r="E36" i="7"/>
  <c r="E123" i="7"/>
  <c r="E814" i="4"/>
  <c r="E76" i="4"/>
  <c r="E755" i="4"/>
  <c r="E246" i="7"/>
  <c r="E25" i="7"/>
  <c r="E915" i="4"/>
  <c r="E615" i="4"/>
  <c r="E196" i="4"/>
  <c r="E682" i="4"/>
  <c r="E706" i="4"/>
  <c r="E644" i="4"/>
  <c r="E215" i="7"/>
  <c r="E34" i="7"/>
  <c r="E98" i="4"/>
  <c r="E871" i="4"/>
  <c r="E244" i="4"/>
  <c r="E522" i="4"/>
  <c r="E140" i="7"/>
  <c r="E214" i="4"/>
  <c r="E259" i="4"/>
  <c r="E910" i="4"/>
  <c r="E770" i="4"/>
  <c r="E371" i="4"/>
  <c r="E705" i="4"/>
  <c r="E196" i="7"/>
  <c r="E611" i="4"/>
  <c r="E114" i="4"/>
  <c r="E653" i="4"/>
  <c r="E642" i="4"/>
  <c r="E566" i="4"/>
  <c r="E107" i="4"/>
  <c r="E29" i="4"/>
  <c r="E742" i="4"/>
  <c r="E312" i="4"/>
  <c r="E550" i="4"/>
  <c r="E674" i="4"/>
  <c r="E105" i="7"/>
  <c r="E34" i="4"/>
  <c r="E154" i="7"/>
  <c r="E1003" i="4"/>
  <c r="E58" i="4"/>
  <c r="E81" i="7"/>
  <c r="E305" i="4"/>
  <c r="E207" i="4"/>
  <c r="E556" i="4"/>
  <c r="E209" i="4"/>
  <c r="E691" i="4"/>
  <c r="E468" i="4"/>
  <c r="E866" i="4"/>
  <c r="E995" i="4"/>
  <c r="E480" i="4"/>
  <c r="E69" i="4"/>
  <c r="E732" i="4"/>
  <c r="E278" i="4"/>
  <c r="E349" i="4"/>
  <c r="E99" i="4"/>
  <c r="E588" i="4"/>
  <c r="E707" i="4"/>
  <c r="E108" i="7"/>
  <c r="E692" i="4"/>
  <c r="E329" i="4"/>
  <c r="E774" i="4"/>
  <c r="E974" i="4"/>
  <c r="E760" i="4"/>
  <c r="E511" i="4"/>
  <c r="E543" i="4"/>
  <c r="E902" i="4"/>
  <c r="E582" i="4"/>
  <c r="E650" i="4"/>
  <c r="E64" i="7"/>
  <c r="E166" i="4"/>
  <c r="E955" i="4"/>
  <c r="E768" i="4"/>
  <c r="E298" i="4"/>
  <c r="E301" i="4"/>
  <c r="E165" i="7"/>
  <c r="E552" i="4"/>
  <c r="E445" i="4"/>
  <c r="E900" i="4"/>
  <c r="E112" i="4"/>
  <c r="E288" i="4"/>
  <c r="E403" i="4"/>
  <c r="E489" i="4"/>
  <c r="I18" i="4"/>
  <c r="E228" i="4" s="1"/>
  <c r="E930" i="4"/>
  <c r="E584" i="4"/>
  <c r="E82" i="4"/>
  <c r="E677" i="4"/>
  <c r="E735" i="4"/>
  <c r="E51" i="4"/>
  <c r="E130" i="4"/>
  <c r="E693" i="4"/>
  <c r="E61" i="4"/>
  <c r="E92" i="4"/>
  <c r="E160" i="7"/>
  <c r="E413" i="4"/>
  <c r="E617" i="4"/>
  <c r="E606" i="4"/>
  <c r="E80" i="4"/>
  <c r="E311" i="4"/>
  <c r="E799" i="4"/>
  <c r="E33" i="4"/>
  <c r="E731" i="4"/>
  <c r="E256" i="4"/>
  <c r="E493" i="4"/>
  <c r="E669" i="4"/>
  <c r="E945" i="4"/>
  <c r="E680" i="4"/>
  <c r="E420" i="4"/>
  <c r="E498" i="4"/>
  <c r="E855" i="4"/>
  <c r="E854" i="4"/>
  <c r="E405" i="4"/>
  <c r="E488" i="4"/>
  <c r="E351" i="4"/>
  <c r="E496" i="4"/>
  <c r="E156" i="4"/>
  <c r="E616" i="4"/>
  <c r="E980" i="4"/>
  <c r="E992" i="4"/>
  <c r="E944" i="4"/>
  <c r="E504" i="4"/>
  <c r="E116" i="7"/>
  <c r="E245" i="7"/>
  <c r="E402" i="4"/>
  <c r="E40" i="4"/>
  <c r="E461" i="4"/>
  <c r="E183" i="4"/>
  <c r="E399" i="4"/>
  <c r="E271" i="4"/>
  <c r="E579" i="4"/>
  <c r="E39" i="4"/>
  <c r="E198" i="4"/>
  <c r="E284" i="4"/>
  <c r="E102" i="7"/>
  <c r="E24" i="7"/>
  <c r="E10" i="7"/>
  <c r="E157" i="4"/>
  <c r="E868" i="4"/>
  <c r="E152" i="7"/>
  <c r="E585" i="4"/>
  <c r="E465" i="4"/>
  <c r="E63" i="4"/>
  <c r="E431" i="4"/>
  <c r="E205" i="7"/>
  <c r="E708" i="4"/>
  <c r="E18" i="7"/>
  <c r="E838" i="4"/>
  <c r="E625" i="4"/>
  <c r="E134" i="4"/>
  <c r="E9" i="4"/>
  <c r="E310" i="4"/>
  <c r="E886" i="4"/>
  <c r="E238" i="7"/>
  <c r="E300" i="4"/>
  <c r="E308" i="4"/>
  <c r="E861" i="4"/>
  <c r="E190" i="4"/>
  <c r="E9" i="1"/>
  <c r="D11" i="1"/>
  <c r="E11" i="1" s="1"/>
  <c r="E439" i="4"/>
  <c r="E59" i="7"/>
  <c r="E725" i="4"/>
  <c r="E491" i="4"/>
  <c r="E321" i="4"/>
  <c r="E265" i="4"/>
  <c r="E810" i="4"/>
  <c r="E602" i="4"/>
  <c r="E201" i="4"/>
  <c r="E131" i="4"/>
  <c r="E70" i="4"/>
  <c r="E25" i="4"/>
  <c r="E401" i="4"/>
  <c r="E740" i="4"/>
  <c r="E139" i="4"/>
  <c r="E22" i="4"/>
  <c r="E629" i="4"/>
  <c r="E180" i="7"/>
  <c r="E135" i="4"/>
  <c r="E374" i="4"/>
  <c r="E554" i="4"/>
  <c r="E51" i="7"/>
  <c r="E555" i="4"/>
  <c r="E716" i="4"/>
  <c r="E15" i="4"/>
  <c r="E173" i="4"/>
  <c r="E604" i="4"/>
  <c r="E421" i="4"/>
  <c r="E528" i="4"/>
  <c r="E215" i="4"/>
  <c r="E335" i="4"/>
  <c r="E348" i="4"/>
  <c r="E30" i="4"/>
  <c r="E110" i="4"/>
  <c r="E409" i="4"/>
  <c r="E385" i="4"/>
  <c r="E577" i="4"/>
  <c r="E119" i="4"/>
  <c r="E185" i="4"/>
  <c r="E195" i="7"/>
  <c r="E320" i="4"/>
  <c r="E62" i="4"/>
  <c r="E78" i="4"/>
  <c r="E492" i="4"/>
  <c r="E453" i="4"/>
  <c r="E74" i="4"/>
  <c r="E104" i="7"/>
  <c r="E87" i="4"/>
  <c r="E64" i="4"/>
  <c r="E535" i="4"/>
  <c r="E813" i="4"/>
  <c r="E106" i="4"/>
  <c r="E659" i="4"/>
  <c r="E997" i="4"/>
  <c r="E230" i="7"/>
  <c r="E242" i="7"/>
  <c r="E773" i="4"/>
  <c r="E194" i="7"/>
  <c r="E685" i="4"/>
  <c r="E116" i="4"/>
  <c r="E297" i="4"/>
  <c r="E767" i="4"/>
  <c r="E776" i="4"/>
  <c r="E289" i="4"/>
  <c r="E652" i="4"/>
  <c r="E502" i="4"/>
  <c r="E14" i="4"/>
  <c r="E204" i="4"/>
  <c r="E947" i="4"/>
  <c r="E43" i="4"/>
  <c r="E358" i="4"/>
  <c r="E714" i="4"/>
  <c r="E391" i="4"/>
  <c r="E852" i="4"/>
  <c r="E194" i="4"/>
  <c r="E935" i="4"/>
  <c r="E169" i="4"/>
  <c r="E118" i="7"/>
  <c r="E981" i="4"/>
  <c r="E140" i="4"/>
  <c r="E337" i="4"/>
  <c r="E328" i="4"/>
  <c r="E896" i="4"/>
  <c r="E891" i="4"/>
  <c r="E449" i="4"/>
  <c r="E762" i="4"/>
  <c r="E45" i="7"/>
  <c r="E88" i="7"/>
  <c r="E820" i="4"/>
  <c r="E270" i="4"/>
  <c r="E549" i="4"/>
  <c r="E136" i="7"/>
  <c r="D29" i="1" l="1"/>
  <c r="J17" i="4"/>
  <c r="D10" i="1" s="1"/>
  <c r="J22" i="4"/>
  <c r="D32" i="1" s="1"/>
  <c r="H8" i="7"/>
  <c r="J20" i="4"/>
  <c r="C10" i="8" s="1"/>
  <c r="E10" i="8" s="1"/>
  <c r="J14" i="4"/>
  <c r="D30" i="1" s="1"/>
  <c r="J15" i="4"/>
  <c r="D31" i="1" s="1"/>
  <c r="H9" i="7"/>
  <c r="H10" i="7"/>
  <c r="H11" i="7" s="1"/>
  <c r="H12" i="7" s="1"/>
  <c r="H25" i="1" s="1"/>
  <c r="I13" i="4"/>
  <c r="I15" i="4"/>
  <c r="C31" i="1" s="1"/>
  <c r="I22" i="4"/>
  <c r="C32" i="1" s="1"/>
  <c r="I20" i="4"/>
  <c r="I14" i="4"/>
  <c r="C30" i="1" s="1"/>
  <c r="I17" i="4"/>
  <c r="C10" i="1" s="1"/>
  <c r="W34" i="3" l="1"/>
  <c r="X34" i="3" s="1"/>
  <c r="W120" i="3"/>
  <c r="X120" i="3" s="1"/>
  <c r="W33" i="3"/>
  <c r="X33" i="3" s="1"/>
  <c r="W100" i="3"/>
  <c r="X100" i="3" s="1"/>
  <c r="W141" i="3"/>
  <c r="X141" i="3" s="1"/>
  <c r="W146" i="3"/>
  <c r="X146" i="3" s="1"/>
  <c r="W166" i="3"/>
  <c r="X166" i="3" s="1"/>
  <c r="W118" i="3"/>
  <c r="X118" i="3" s="1"/>
  <c r="W65" i="3"/>
  <c r="X65" i="3" s="1"/>
  <c r="W114" i="3"/>
  <c r="X114" i="3" s="1"/>
  <c r="W12" i="3"/>
  <c r="X12" i="3" s="1"/>
  <c r="W117" i="3"/>
  <c r="X117" i="3" s="1"/>
  <c r="W163" i="3"/>
  <c r="X163" i="3" s="1"/>
  <c r="W17" i="3"/>
  <c r="X17" i="3" s="1"/>
  <c r="W32" i="3"/>
  <c r="X32" i="3" s="1"/>
  <c r="W70" i="3"/>
  <c r="X70" i="3" s="1"/>
  <c r="E10" i="1"/>
  <c r="W57" i="3"/>
  <c r="X57" i="3" s="1"/>
  <c r="W170" i="3"/>
  <c r="X170" i="3" s="1"/>
  <c r="W124" i="3"/>
  <c r="X124" i="3" s="1"/>
  <c r="W88" i="3"/>
  <c r="X88" i="3" s="1"/>
  <c r="W161" i="3"/>
  <c r="X161" i="3" s="1"/>
  <c r="W46" i="3"/>
  <c r="X46" i="3" s="1"/>
  <c r="W101" i="3"/>
  <c r="X101" i="3" s="1"/>
  <c r="W143" i="3"/>
  <c r="X143" i="3" s="1"/>
  <c r="W25" i="3"/>
  <c r="X25" i="3" s="1"/>
  <c r="W30" i="3"/>
  <c r="X30" i="3" s="1"/>
  <c r="W63" i="3"/>
  <c r="X63" i="3" s="1"/>
  <c r="W19" i="3"/>
  <c r="X19" i="3" s="1"/>
  <c r="W157" i="3"/>
  <c r="X157" i="3" s="1"/>
  <c r="W85" i="3"/>
  <c r="X85" i="3" s="1"/>
  <c r="W35" i="3"/>
  <c r="X35" i="3" s="1"/>
  <c r="W89" i="3"/>
  <c r="X89" i="3" s="1"/>
  <c r="C9" i="8"/>
  <c r="E9" i="8" s="1"/>
  <c r="W99" i="3"/>
  <c r="X99" i="3" s="1"/>
  <c r="W95" i="3"/>
  <c r="X95" i="3" s="1"/>
  <c r="W165" i="3"/>
  <c r="X165" i="3" s="1"/>
  <c r="W160" i="3"/>
  <c r="X160" i="3" s="1"/>
  <c r="W49" i="3"/>
  <c r="X49" i="3" s="1"/>
  <c r="W26" i="3"/>
  <c r="X26" i="3" s="1"/>
  <c r="W36" i="3"/>
  <c r="X36" i="3" s="1"/>
  <c r="W168" i="3"/>
  <c r="X168" i="3" s="1"/>
  <c r="W38" i="3"/>
  <c r="X38" i="3" s="1"/>
  <c r="W72" i="3"/>
  <c r="X72" i="3" s="1"/>
  <c r="W109" i="3"/>
  <c r="X109" i="3" s="1"/>
  <c r="W87" i="3"/>
  <c r="X87" i="3" s="1"/>
  <c r="W51" i="3"/>
  <c r="X51" i="3" s="1"/>
  <c r="W78" i="3"/>
  <c r="X78" i="3" s="1"/>
  <c r="W23" i="3"/>
  <c r="X23" i="3" s="1"/>
  <c r="W102" i="3"/>
  <c r="X102" i="3" s="1"/>
  <c r="V169" i="3"/>
  <c r="V101" i="3"/>
  <c r="V94" i="3"/>
  <c r="V89" i="3"/>
  <c r="V77" i="3"/>
  <c r="V66" i="3"/>
  <c r="V58" i="3"/>
  <c r="V19" i="3"/>
  <c r="V80" i="3"/>
  <c r="V57" i="3"/>
  <c r="V111" i="3"/>
  <c r="V159" i="3"/>
  <c r="V151" i="3"/>
  <c r="V147" i="3"/>
  <c r="V91" i="3"/>
  <c r="V82" i="3"/>
  <c r="V75" i="3"/>
  <c r="V71" i="3"/>
  <c r="V119" i="3"/>
  <c r="V162" i="3"/>
  <c r="V161" i="3"/>
  <c r="V55" i="3"/>
  <c r="V32" i="3"/>
  <c r="V144" i="3"/>
  <c r="V117" i="3"/>
  <c r="V102" i="3"/>
  <c r="V95" i="3"/>
  <c r="V81" i="3"/>
  <c r="V53" i="3"/>
  <c r="V52" i="3"/>
  <c r="V28" i="3"/>
  <c r="V8" i="3"/>
  <c r="V11" i="3"/>
  <c r="V49" i="3"/>
  <c r="V48" i="3"/>
  <c r="V136" i="3"/>
  <c r="V86" i="3"/>
  <c r="V9" i="3"/>
  <c r="V51" i="3"/>
  <c r="V25" i="3"/>
  <c r="V107" i="3"/>
  <c r="V76" i="3"/>
  <c r="V34" i="3"/>
  <c r="V33" i="3"/>
  <c r="V29" i="3"/>
  <c r="V22" i="3"/>
  <c r="V44" i="3"/>
  <c r="V134" i="3"/>
  <c r="V122" i="3"/>
  <c r="V79" i="3"/>
  <c r="V30" i="3"/>
  <c r="V20" i="3"/>
  <c r="V17" i="3"/>
  <c r="V42" i="3"/>
  <c r="V10" i="3"/>
  <c r="V65" i="3"/>
  <c r="V12" i="3"/>
  <c r="V83" i="3"/>
  <c r="V69" i="3"/>
  <c r="V18" i="3"/>
  <c r="V106" i="3"/>
  <c r="V43" i="3"/>
  <c r="V100" i="3"/>
  <c r="V116" i="3"/>
  <c r="V88" i="3"/>
  <c r="V152" i="3"/>
  <c r="V127" i="3"/>
  <c r="V72" i="3"/>
  <c r="V168" i="3"/>
  <c r="V143" i="3"/>
  <c r="V118" i="3"/>
  <c r="V153" i="3"/>
  <c r="V128" i="3"/>
  <c r="V103" i="3"/>
  <c r="V40" i="3"/>
  <c r="V99" i="3"/>
  <c r="V112" i="3"/>
  <c r="V84" i="3"/>
  <c r="V7" i="3"/>
  <c r="V167" i="3"/>
  <c r="V131" i="3"/>
  <c r="V45" i="3"/>
  <c r="V137" i="3"/>
  <c r="V26" i="3"/>
  <c r="V172" i="3"/>
  <c r="V98" i="3"/>
  <c r="V16" i="3"/>
  <c r="V24" i="3"/>
  <c r="V36" i="3"/>
  <c r="V64" i="3"/>
  <c r="V93" i="3"/>
  <c r="V31" i="3"/>
  <c r="V109" i="3"/>
  <c r="V59" i="3"/>
  <c r="V54" i="3"/>
  <c r="V132" i="3"/>
  <c r="V27" i="3"/>
  <c r="V46" i="3"/>
  <c r="V78" i="3"/>
  <c r="V13" i="3"/>
  <c r="V74" i="3"/>
  <c r="V21" i="3"/>
  <c r="V23" i="3"/>
  <c r="V39" i="3"/>
  <c r="V139" i="3"/>
  <c r="V61" i="3"/>
  <c r="V73" i="3"/>
  <c r="V14" i="3"/>
  <c r="V56" i="3"/>
  <c r="V90" i="3"/>
  <c r="V126" i="3"/>
  <c r="V142" i="3"/>
  <c r="V97" i="3"/>
  <c r="V149" i="3"/>
  <c r="V166" i="3"/>
  <c r="V38" i="3"/>
  <c r="V50" i="3"/>
  <c r="V15" i="3"/>
  <c r="V41" i="3"/>
  <c r="V63" i="3"/>
  <c r="V96" i="3"/>
  <c r="V156" i="3"/>
  <c r="V70" i="3"/>
  <c r="V133" i="3"/>
  <c r="V163" i="3"/>
  <c r="V148" i="3"/>
  <c r="V141" i="3"/>
  <c r="V113" i="3"/>
  <c r="V173" i="3"/>
  <c r="V123" i="3"/>
  <c r="V67" i="3"/>
  <c r="C22" i="1" s="1"/>
  <c r="V47" i="3"/>
  <c r="V164" i="3"/>
  <c r="V124" i="3"/>
  <c r="V68" i="3"/>
  <c r="V138" i="3"/>
  <c r="V114" i="3"/>
  <c r="V160" i="3"/>
  <c r="V104" i="3"/>
  <c r="V62" i="3"/>
  <c r="V170" i="3"/>
  <c r="V154" i="3"/>
  <c r="V105" i="3"/>
  <c r="V87" i="3"/>
  <c r="V140" i="3"/>
  <c r="V108" i="3"/>
  <c r="V110" i="3"/>
  <c r="V171" i="3"/>
  <c r="V129" i="3"/>
  <c r="V125" i="3"/>
  <c r="V165" i="3"/>
  <c r="V92" i="3"/>
  <c r="V35" i="3"/>
  <c r="V37" i="3"/>
  <c r="V120" i="3"/>
  <c r="V85" i="3"/>
  <c r="V135" i="3"/>
  <c r="V146" i="3"/>
  <c r="V150" i="3"/>
  <c r="V115" i="3"/>
  <c r="V60" i="3"/>
  <c r="V121" i="3"/>
  <c r="V130" i="3"/>
  <c r="V158" i="3"/>
  <c r="V157" i="3"/>
  <c r="V145" i="3"/>
  <c r="V155" i="3"/>
  <c r="C29" i="1"/>
  <c r="W137" i="3"/>
  <c r="X137" i="3" s="1"/>
  <c r="W58" i="3"/>
  <c r="X58" i="3" s="1"/>
  <c r="W39" i="3"/>
  <c r="X39" i="3" s="1"/>
  <c r="W169" i="3"/>
  <c r="X169" i="3" s="1"/>
  <c r="W145" i="3"/>
  <c r="X145" i="3" s="1"/>
  <c r="W61" i="3"/>
  <c r="X61" i="3" s="1"/>
  <c r="W158" i="3"/>
  <c r="X158" i="3" s="1"/>
  <c r="W136" i="3"/>
  <c r="X136" i="3" s="1"/>
  <c r="W132" i="3"/>
  <c r="X132" i="3" s="1"/>
  <c r="W16" i="3"/>
  <c r="X16" i="3" s="1"/>
  <c r="W81" i="3"/>
  <c r="X81" i="3" s="1"/>
  <c r="W7" i="3"/>
  <c r="W40" i="3"/>
  <c r="X40" i="3" s="1"/>
  <c r="W86" i="3"/>
  <c r="X86" i="3" s="1"/>
  <c r="W9" i="3"/>
  <c r="X9" i="3" s="1"/>
  <c r="W59" i="3"/>
  <c r="X59" i="3" s="1"/>
  <c r="W134" i="3"/>
  <c r="X134" i="3" s="1"/>
  <c r="W90" i="3"/>
  <c r="X90" i="3" s="1"/>
  <c r="W135" i="3"/>
  <c r="X135" i="3" s="1"/>
  <c r="W112" i="3"/>
  <c r="X112" i="3" s="1"/>
  <c r="W24" i="3"/>
  <c r="X24" i="3" s="1"/>
  <c r="W156" i="3"/>
  <c r="X156" i="3" s="1"/>
  <c r="W56" i="3"/>
  <c r="X56" i="3" s="1"/>
  <c r="W173" i="3"/>
  <c r="X173" i="3" s="1"/>
  <c r="W164" i="3"/>
  <c r="X164" i="3" s="1"/>
  <c r="W21" i="3"/>
  <c r="X21" i="3" s="1"/>
  <c r="W13" i="3"/>
  <c r="X13" i="3" s="1"/>
  <c r="W172" i="3"/>
  <c r="X172" i="3" s="1"/>
  <c r="W131" i="3"/>
  <c r="X131" i="3" s="1"/>
  <c r="W14" i="3"/>
  <c r="X14" i="3" s="1"/>
  <c r="W103" i="3"/>
  <c r="X103" i="3" s="1"/>
  <c r="W29" i="3"/>
  <c r="X29" i="3" s="1"/>
  <c r="W60" i="3"/>
  <c r="X60" i="3" s="1"/>
  <c r="W152" i="3"/>
  <c r="X152" i="3" s="1"/>
  <c r="W150" i="3"/>
  <c r="X150" i="3" s="1"/>
  <c r="W116" i="3"/>
  <c r="X116" i="3" s="1"/>
  <c r="W140" i="3"/>
  <c r="X140" i="3" s="1"/>
  <c r="W27" i="3"/>
  <c r="X27" i="3" s="1"/>
  <c r="W133" i="3"/>
  <c r="X133" i="3" s="1"/>
  <c r="W41" i="3"/>
  <c r="X41" i="3" s="1"/>
  <c r="W94" i="3"/>
  <c r="X94" i="3" s="1"/>
  <c r="W71" i="3"/>
  <c r="X71" i="3" s="1"/>
  <c r="W22" i="3"/>
  <c r="X22" i="3" s="1"/>
  <c r="W50" i="3"/>
  <c r="X50" i="3" s="1"/>
  <c r="W129" i="3"/>
  <c r="X129" i="3" s="1"/>
  <c r="W11" i="3"/>
  <c r="X11" i="3" s="1"/>
  <c r="W119" i="3"/>
  <c r="X119" i="3" s="1"/>
  <c r="W128" i="3"/>
  <c r="X128" i="3" s="1"/>
  <c r="W68" i="3"/>
  <c r="X68" i="3" s="1"/>
  <c r="W20" i="3"/>
  <c r="X20" i="3" s="1"/>
  <c r="W43" i="3"/>
  <c r="X43" i="3" s="1"/>
  <c r="W18" i="3"/>
  <c r="X18" i="3" s="1"/>
  <c r="W69" i="3"/>
  <c r="X69" i="3" s="1"/>
  <c r="W84" i="3"/>
  <c r="X84" i="3" s="1"/>
  <c r="W139" i="3"/>
  <c r="X139" i="3" s="1"/>
  <c r="W148" i="3"/>
  <c r="X148" i="3" s="1"/>
  <c r="W108" i="3"/>
  <c r="X108" i="3" s="1"/>
  <c r="W91" i="3"/>
  <c r="X91" i="3" s="1"/>
  <c r="W121" i="3"/>
  <c r="X121" i="3" s="1"/>
  <c r="W80" i="3"/>
  <c r="X80" i="3" s="1"/>
  <c r="W159" i="3"/>
  <c r="X159" i="3" s="1"/>
  <c r="W92" i="3"/>
  <c r="X92" i="3" s="1"/>
  <c r="W62" i="3"/>
  <c r="X62" i="3" s="1"/>
  <c r="W10" i="3"/>
  <c r="X10" i="3" s="1"/>
  <c r="W153" i="3"/>
  <c r="X153" i="3" s="1"/>
  <c r="W64" i="3"/>
  <c r="X64" i="3" s="1"/>
  <c r="W79" i="3"/>
  <c r="X79" i="3" s="1"/>
  <c r="W54" i="3"/>
  <c r="X54" i="3" s="1"/>
  <c r="W52" i="3"/>
  <c r="X52" i="3" s="1"/>
  <c r="W130" i="3"/>
  <c r="X130" i="3" s="1"/>
  <c r="W115" i="3"/>
  <c r="X115" i="3" s="1"/>
  <c r="W155" i="3"/>
  <c r="X155" i="3" s="1"/>
  <c r="W107" i="3"/>
  <c r="X107" i="3" s="1"/>
  <c r="W123" i="3"/>
  <c r="X123" i="3" s="1"/>
  <c r="W111" i="3"/>
  <c r="X111" i="3" s="1"/>
  <c r="W171" i="3"/>
  <c r="X171" i="3" s="1"/>
  <c r="W82" i="3"/>
  <c r="X82" i="3" s="1"/>
  <c r="W149" i="3"/>
  <c r="X149" i="3" s="1"/>
  <c r="W44" i="3"/>
  <c r="X44" i="3" s="1"/>
  <c r="W42" i="3"/>
  <c r="X42" i="3" s="1"/>
  <c r="W31" i="3"/>
  <c r="X31" i="3" s="1"/>
  <c r="W154" i="3"/>
  <c r="X154" i="3" s="1"/>
  <c r="W45" i="3"/>
  <c r="X45" i="3" s="1"/>
  <c r="W8" i="3"/>
  <c r="X8" i="3" s="1"/>
  <c r="W127" i="3"/>
  <c r="X127" i="3" s="1"/>
  <c r="C24" i="1"/>
  <c r="C23" i="1"/>
  <c r="W73" i="3"/>
  <c r="X73" i="3" s="1"/>
  <c r="W110" i="3"/>
  <c r="X110" i="3" s="1"/>
  <c r="W105" i="3"/>
  <c r="X105" i="3" s="1"/>
  <c r="W125" i="3"/>
  <c r="X125" i="3" s="1"/>
  <c r="W76" i="3"/>
  <c r="X76" i="3" s="1"/>
  <c r="W106" i="3"/>
  <c r="X106" i="3" s="1"/>
  <c r="W98" i="3"/>
  <c r="X98" i="3" s="1"/>
  <c r="W97" i="3"/>
  <c r="X97" i="3" s="1"/>
  <c r="W122" i="3"/>
  <c r="X122" i="3" s="1"/>
  <c r="W55" i="3"/>
  <c r="X55" i="3" s="1"/>
  <c r="W37" i="3"/>
  <c r="X37" i="3" s="1"/>
  <c r="W66" i="3"/>
  <c r="X66" i="3" s="1"/>
  <c r="W113" i="3"/>
  <c r="X113" i="3" s="1"/>
  <c r="W147" i="3"/>
  <c r="X147" i="3" s="1"/>
  <c r="W53" i="3"/>
  <c r="X53" i="3" s="1"/>
  <c r="W47" i="3"/>
  <c r="X47" i="3" s="1"/>
  <c r="W142" i="3"/>
  <c r="X142" i="3" s="1"/>
  <c r="W48" i="3"/>
  <c r="X48" i="3" s="1"/>
  <c r="W83" i="3"/>
  <c r="X83" i="3" s="1"/>
  <c r="W162" i="3"/>
  <c r="X162" i="3" s="1"/>
  <c r="W77" i="3"/>
  <c r="X77" i="3" s="1"/>
  <c r="W96" i="3"/>
  <c r="X96" i="3" s="1"/>
  <c r="W126" i="3"/>
  <c r="X126" i="3" s="1"/>
  <c r="W74" i="3"/>
  <c r="X74" i="3" s="1"/>
  <c r="W93" i="3"/>
  <c r="X93" i="3" s="1"/>
  <c r="W67" i="3"/>
  <c r="X67" i="3" s="1"/>
  <c r="W75" i="3"/>
  <c r="X75" i="3" s="1"/>
  <c r="W15" i="3"/>
  <c r="X15" i="3" s="1"/>
  <c r="W151" i="3"/>
  <c r="X151" i="3" s="1"/>
  <c r="W138" i="3"/>
  <c r="X138" i="3" s="1"/>
  <c r="W144" i="3"/>
  <c r="X144" i="3" s="1"/>
  <c r="W28" i="3"/>
  <c r="X28" i="3" s="1"/>
  <c r="W104" i="3"/>
  <c r="X104" i="3" s="1"/>
  <c r="W167" i="3"/>
  <c r="X167" i="3" s="1"/>
  <c r="H15" i="1" l="1"/>
  <c r="G15" i="1" s="1"/>
  <c r="H13" i="1"/>
  <c r="G13" i="1" s="1"/>
  <c r="H11" i="1"/>
  <c r="G11" i="1" s="1"/>
  <c r="H9" i="1"/>
  <c r="G9" i="1" s="1"/>
  <c r="H7" i="1"/>
  <c r="G7" i="1" s="1"/>
  <c r="H12" i="1"/>
  <c r="G12" i="1" s="1"/>
  <c r="W175" i="3"/>
  <c r="C8" i="8" s="1"/>
  <c r="E8" i="8" s="1"/>
  <c r="H24" i="1" s="1"/>
  <c r="H8" i="1"/>
  <c r="G8" i="1" s="1"/>
  <c r="H6" i="1"/>
  <c r="G6" i="1" s="1"/>
  <c r="H14" i="1"/>
  <c r="G14" i="1" s="1"/>
  <c r="H10" i="1"/>
  <c r="G10" i="1" s="1"/>
  <c r="X7" i="3"/>
  <c r="V175" i="3"/>
  <c r="C25" i="1"/>
</calcChain>
</file>

<file path=xl/sharedStrings.xml><?xml version="1.0" encoding="utf-8"?>
<sst xmlns="http://schemas.openxmlformats.org/spreadsheetml/2006/main" count="3004" uniqueCount="742">
  <si>
    <t>RiskLens : synthèse pour le comité des risques</t>
  </si>
  <si>
    <t>R-co Conviction Credit Euro, inventaire publié au 30/06/2025. Section obligations à taux fixe EUR, 167 lignes modélisées. Risque à un jour sur chocs observés : courbe BCE, spread crédit Bundesbank.</t>
  </si>
  <si>
    <t>Indicateur</t>
  </si>
  <si>
    <t>Initial</t>
  </si>
  <si>
    <t>Après vente</t>
  </si>
  <si>
    <t>Écart</t>
  </si>
  <si>
    <t>Premiers contributeurs à l'ES</t>
  </si>
  <si>
    <t>ES après (EUR)</t>
  </si>
  <si>
    <t>Valeur du portefeuille modélisé (EUR)</t>
  </si>
  <si>
    <t>Part de l'actif net publié du fonds</t>
  </si>
  <si>
    <t>Niveau de confiance</t>
  </si>
  <si>
    <t>VaR à 1 jour (EUR)</t>
  </si>
  <si>
    <t>Expected Shortfall à 1 jour (EUR)</t>
  </si>
  <si>
    <t>VaR en % de la valeur</t>
  </si>
  <si>
    <t>Duration du portefeuille</t>
  </si>
  <si>
    <t>Stress linéaire (EUR)</t>
  </si>
  <si>
    <t>Stress par revalorisation des flux (EUR)</t>
  </si>
  <si>
    <t>Liquidités (EUR)</t>
  </si>
  <si>
    <t>Stress appliqué</t>
  </si>
  <si>
    <t>Vente simulée</t>
  </si>
  <si>
    <t>Valeur</t>
  </si>
  <si>
    <t>Contrôles</t>
  </si>
  <si>
    <t>Résultat</t>
  </si>
  <si>
    <t>Ligne vendue</t>
  </si>
  <si>
    <t>Lignes « À instruire »</t>
  </si>
  <si>
    <t>Montant vendu (EUR)</t>
  </si>
  <si>
    <t>Lignes « À examiner »</t>
  </si>
  <si>
    <t>ES par M EUR détenu sur cette ligne, avant vente</t>
  </si>
  <si>
    <t>Lignes au-dessus du seuil de revue</t>
  </si>
  <si>
    <t>Réduction d'ES par M EUR vendu</t>
  </si>
  <si>
    <t>Dispersion émetteurs</t>
  </si>
  <si>
    <t>Référence : vente au prorata, par M EUR vendu</t>
  </si>
  <si>
    <t>Rapprochements en écart</t>
  </si>
  <si>
    <t>Efficacité relative au prorata</t>
  </si>
  <si>
    <t>Backtest (Kupiec)</t>
  </si>
  <si>
    <t>Contribution à l'ES par facteur</t>
  </si>
  <si>
    <t>Initial (EUR)</t>
  </si>
  <si>
    <t>Après vente (EUR)</t>
  </si>
  <si>
    <t>Taux 2 ans</t>
  </si>
  <si>
    <t>Taux 5 ans</t>
  </si>
  <si>
    <t>Taux 10 ans</t>
  </si>
  <si>
    <t>Spread crédit</t>
  </si>
  <si>
    <t>Périmètre : section taux fixe EUR de l'inventaire publié ; dérivés, autres sections et passifs exclus. Ce n'est ni la VaR du fonds ni un contrôle de ses limites.</t>
  </si>
  <si>
    <t>Mesure : taux et spread crédit. Le facteur de spread est un indice d'obligations d'entreprises allemandes (Bundesbank), bêta par ligne proportionnel au spread (DTS).</t>
  </si>
  <si>
    <t>Modèle : flux annuels théoriques, courbe AAA BCE interpolée 2/5/10 ans, spread constant ajusté au prix dirty ; options ignorées. ES à 99 % fondée sur 10 journées équivalentes.</t>
  </si>
  <si>
    <t>Paramètres</t>
  </si>
  <si>
    <t>Cellules jaunes : saisie. Les seuils sont des seuils de revue du prototype, pas des limites du fonds.</t>
  </si>
  <si>
    <t>Paramètre</t>
  </si>
  <si>
    <t>Commentaire</t>
  </si>
  <si>
    <t>95 % ou 99 %</t>
  </si>
  <si>
    <t>Choc parallèle de taux (pb)</t>
  </si>
  <si>
    <t>De -300 à +300 pb</t>
  </si>
  <si>
    <t>Choc uniforme de spreads (pb)</t>
  </si>
  <si>
    <t>De -200 à +500 pb ; non appliqué au souverain AAA</t>
  </si>
  <si>
    <t>Ligne à vendre (ISIN)</t>
  </si>
  <si>
    <t>FR0014010XH0</t>
  </si>
  <si>
    <t>Liste déroulante ; vente réinvestie en liquidités, sans frais</t>
  </si>
  <si>
    <t>Montant de la vente (EUR)</t>
  </si>
  <si>
    <t>Entre 0 et la valeur détenue sur la ligne</t>
  </si>
  <si>
    <t>Seuil de spread de revue (pb)</t>
  </si>
  <si>
    <t>Au-delà : suivi crédit</t>
  </si>
  <si>
    <t>Ancienneté maximale d'un prix (jours)</t>
  </si>
  <si>
    <t>Par rapport à la date de référence</t>
  </si>
  <si>
    <t>Seuil de revue par ligne</t>
  </si>
  <si>
    <t>En % du portefeuille modélisé</t>
  </si>
  <si>
    <t>Seuil émetteur, règle 5/10/40</t>
  </si>
  <si>
    <t>En % de l'actif net publié</t>
  </si>
  <si>
    <t>Plafond émetteur, règle 5/10/40</t>
  </si>
  <si>
    <t>Plafond du cumul des émetteurs &gt; 5 %</t>
  </si>
  <si>
    <t>Date de référence</t>
  </si>
  <si>
    <t>Actif net publié du fonds (EUR)</t>
  </si>
  <si>
    <t>Validité des paramètres</t>
  </si>
  <si>
    <t>Les chocs de stress sont hypothétiques et sans probabilité attribuée. Le module VBA facultatif ajoute une vérification indépendante et les exports.</t>
  </si>
  <si>
    <t>Positions modélisées</t>
  </si>
  <si>
    <t>167 lignes de la section taux fixe EUR. Valeurs publiées ; spreads et sensibilités estimés par le modèle de flux (valeurs importées du moteur Python).</t>
  </si>
  <si>
    <t>ISIN</t>
  </si>
  <si>
    <t>Libellé</t>
  </si>
  <si>
    <t>Émetteur</t>
  </si>
  <si>
    <t>Échéance</t>
  </si>
  <si>
    <t>Coupon (%)</t>
  </si>
  <si>
    <t>Nominal (EUR)</t>
  </si>
  <si>
    <t>Prix clean</t>
  </si>
  <si>
    <t>Coupon couru (EUR)</t>
  </si>
  <si>
    <t>Valeur publiée (EUR)</t>
  </si>
  <si>
    <t>Prix dirty</t>
  </si>
  <si>
    <t>Spread calibré (pb)</t>
  </si>
  <si>
    <t>Sensibilité 2 ans</t>
  </si>
  <si>
    <t>Sensibilité 5 ans</t>
  </si>
  <si>
    <t>Sensibilité 10 ans</t>
  </si>
  <si>
    <t>Duration</t>
  </si>
  <si>
    <t>Duration de spread</t>
  </si>
  <si>
    <t>Souverain AAA</t>
  </si>
  <si>
    <t>Montant après vente (EUR)</t>
  </si>
  <si>
    <t>Poids initial</t>
  </si>
  <si>
    <t>Poids après vente</t>
  </si>
  <si>
    <t>Contribution ES initiale (EUR)</t>
  </si>
  <si>
    <t>Contribution ES après (EUR)</t>
  </si>
  <si>
    <t>ES par M EUR détenu</t>
  </si>
  <si>
    <t>Stress linéaire initial (EUR)</t>
  </si>
  <si>
    <t>Stress linéaire après (EUR)</t>
  </si>
  <si>
    <t>Stress revalorisé initial (EUR)</t>
  </si>
  <si>
    <t>Stress revalorisé après (EUR)</t>
  </si>
  <si>
    <t>Au-dessus du seuil de ligne</t>
  </si>
  <si>
    <t>Écart flux / prix dirty</t>
  </si>
  <si>
    <t>Bêta de spread</t>
  </si>
  <si>
    <t>Sensibilité au facteur spread</t>
  </si>
  <si>
    <t>AT0000A3KDQ3</t>
  </si>
  <si>
    <t>KOMM 4.25 04-31</t>
  </si>
  <si>
    <t>KOMM</t>
  </si>
  <si>
    <t>NON</t>
  </si>
  <si>
    <t>AT000B122080</t>
  </si>
  <si>
    <t>VOLK WI 0.875 03-26</t>
  </si>
  <si>
    <t>VOLK WI</t>
  </si>
  <si>
    <t>AT000B122296</t>
  </si>
  <si>
    <t>VOLK WI 5.5 12-35</t>
  </si>
  <si>
    <t>BE0002938190</t>
  </si>
  <si>
    <t>GROU BR 4.0 05-33</t>
  </si>
  <si>
    <t>GROU BR</t>
  </si>
  <si>
    <t>BE0390119825</t>
  </si>
  <si>
    <t>UCB 4.25 03-30</t>
  </si>
  <si>
    <t>UCB</t>
  </si>
  <si>
    <t>BE0390128917</t>
  </si>
  <si>
    <t>FLUV SY 3.875 05-34</t>
  </si>
  <si>
    <t>FLUV SY</t>
  </si>
  <si>
    <t>BE0390149152</t>
  </si>
  <si>
    <t>SILF NV 5.125 07-30</t>
  </si>
  <si>
    <t>SILF NV</t>
  </si>
  <si>
    <t>BE0390161272</t>
  </si>
  <si>
    <t>BPOS SA 3.632 10-34</t>
  </si>
  <si>
    <t>BPOS SA</t>
  </si>
  <si>
    <t>BE0390222884</t>
  </si>
  <si>
    <t>FLUXYS 4.0 11-30</t>
  </si>
  <si>
    <t>FLUXYS</t>
  </si>
  <si>
    <t>BE6327721237</t>
  </si>
  <si>
    <t>VGP 1.5 04-29</t>
  </si>
  <si>
    <t>VGP</t>
  </si>
  <si>
    <t>BE6331562817</t>
  </si>
  <si>
    <t>ALIA FI 0.875 11-28</t>
  </si>
  <si>
    <t>ALIA FI</t>
  </si>
  <si>
    <t>BE6332786449</t>
  </si>
  <si>
    <t>VGP 1.625 01-27</t>
  </si>
  <si>
    <t>BE6343437255</t>
  </si>
  <si>
    <t>ETHI VI 6.75 05-33</t>
  </si>
  <si>
    <t>ETHI VI</t>
  </si>
  <si>
    <t>BE6351290216</t>
  </si>
  <si>
    <t>LONZ FI 3.875 04-36</t>
  </si>
  <si>
    <t>LONZ FI</t>
  </si>
  <si>
    <t>BE6356733327</t>
  </si>
  <si>
    <t>SHUR LU 3.625 10-34</t>
  </si>
  <si>
    <t>SHUR LU</t>
  </si>
  <si>
    <t>BE6363869874</t>
  </si>
  <si>
    <t>ETHI VI 4.75 05-35</t>
  </si>
  <si>
    <t>CH1433226292</t>
  </si>
  <si>
    <t>BANQ CA 3.414 03-30</t>
  </si>
  <si>
    <t>BANQ CA</t>
  </si>
  <si>
    <t>DE0001102473</t>
  </si>
  <si>
    <t>BUND DE 0.0 08-29</t>
  </si>
  <si>
    <t>BUND DE</t>
  </si>
  <si>
    <t>OUI</t>
  </si>
  <si>
    <t>DE000A30VGD9</t>
  </si>
  <si>
    <t>HERA FI 2.625 06-27</t>
  </si>
  <si>
    <t>HERA FI</t>
  </si>
  <si>
    <t>DE000A30VQB2</t>
  </si>
  <si>
    <t>VONO SE 5.0 11-30</t>
  </si>
  <si>
    <t>VONO SE</t>
  </si>
  <si>
    <t>DE000A3L69Y6</t>
  </si>
  <si>
    <t>TRAT FI 3.75 01-31</t>
  </si>
  <si>
    <t>TRAT FI</t>
  </si>
  <si>
    <t>DE000A3LHK80</t>
  </si>
  <si>
    <t>TRAT FI 4.25 05-28</t>
  </si>
  <si>
    <t>DE000HCB0B36</t>
  </si>
  <si>
    <t>HAMB CO 4.75 05-29</t>
  </si>
  <si>
    <t>HAMB CO</t>
  </si>
  <si>
    <t>DE000HCB0B44</t>
  </si>
  <si>
    <t>HAMB CO 4.5 07-28</t>
  </si>
  <si>
    <t>DE000HCB0B69</t>
  </si>
  <si>
    <t>HAMB CO 3.5 03-28</t>
  </si>
  <si>
    <t>DE000MHB66N7</t>
  </si>
  <si>
    <t>MUEN HY 7.125 10-28</t>
  </si>
  <si>
    <t>MUEN HY</t>
  </si>
  <si>
    <t>DK0030512421</t>
  </si>
  <si>
    <t>NYKR 4.625 01-29</t>
  </si>
  <si>
    <t>NYKR</t>
  </si>
  <si>
    <t>ES0200002089</t>
  </si>
  <si>
    <t>ADIF AL 3.9 04-33</t>
  </si>
  <si>
    <t>ADIF AL</t>
  </si>
  <si>
    <t>FR0013222551</t>
  </si>
  <si>
    <t>KLES PR 5.375 12-26</t>
  </si>
  <si>
    <t>KLES PR</t>
  </si>
  <si>
    <t>FR0013232444</t>
  </si>
  <si>
    <t>GROU AS 6.0 01-27</t>
  </si>
  <si>
    <t>GROU AS</t>
  </si>
  <si>
    <t>FR0013430840</t>
  </si>
  <si>
    <t>UMG GRO 1.625 07-29</t>
  </si>
  <si>
    <t>UMG GRO</t>
  </si>
  <si>
    <t>FR0013453974</t>
  </si>
  <si>
    <t>ALTA CO 1.875 01-28</t>
  </si>
  <si>
    <t>ALTA CO</t>
  </si>
  <si>
    <t>FR0013455862</t>
  </si>
  <si>
    <t>APIC PR 4.0 10-29</t>
  </si>
  <si>
    <t>APIC PR</t>
  </si>
  <si>
    <t>FR0013519261</t>
  </si>
  <si>
    <t>LAMON 2 1/8 06/23/31</t>
  </si>
  <si>
    <t>LAMON</t>
  </si>
  <si>
    <t>FR0013523602</t>
  </si>
  <si>
    <t>CASA AS 2.0 07-30</t>
  </si>
  <si>
    <t>CASA AS</t>
  </si>
  <si>
    <t>FR0014001I68</t>
  </si>
  <si>
    <t>BANQ FE 0.25 07-28</t>
  </si>
  <si>
    <t>BANQ FE</t>
  </si>
  <si>
    <t>FR0014004QI5</t>
  </si>
  <si>
    <t>COVI HO 1.0 07-29</t>
  </si>
  <si>
    <t>COVI HO</t>
  </si>
  <si>
    <t>FR0014006TQ7</t>
  </si>
  <si>
    <t>TDF INF 1.75 12-29</t>
  </si>
  <si>
    <t>TDF INF</t>
  </si>
  <si>
    <t>FR0014007YA9</t>
  </si>
  <si>
    <t>CNP ASS 1.25 01-29</t>
  </si>
  <si>
    <t>CNP ASS</t>
  </si>
  <si>
    <t>FR0014008JQ4</t>
  </si>
  <si>
    <t>MERC 2.5 02-29</t>
  </si>
  <si>
    <t>MERC</t>
  </si>
  <si>
    <t>FR001400D4D6</t>
  </si>
  <si>
    <t>FINA AP 7.0 10-27</t>
  </si>
  <si>
    <t>FINA AP</t>
  </si>
  <si>
    <t>FR001400DAO4</t>
  </si>
  <si>
    <t>ORANO 5.375 05-27</t>
  </si>
  <si>
    <t>ORANO</t>
  </si>
  <si>
    <t>FR001400F6E7</t>
  </si>
  <si>
    <t>AYVENS 4.25 01-27</t>
  </si>
  <si>
    <t>AYVENS</t>
  </si>
  <si>
    <t>FR001400IIU3</t>
  </si>
  <si>
    <t>EDENRED 3.625 06-31</t>
  </si>
  <si>
    <t>EDENRED</t>
  </si>
  <si>
    <t>FR001400J150</t>
  </si>
  <si>
    <t>RTE EDF 3.75 07-35</t>
  </si>
  <si>
    <t>RTE EDF</t>
  </si>
  <si>
    <t>FR001400KKX9</t>
  </si>
  <si>
    <t>TIKE CA 6.625 03-30</t>
  </si>
  <si>
    <t>TIKE CA</t>
  </si>
  <si>
    <t>FR001400L263</t>
  </si>
  <si>
    <t>THAL SE 4.25 10-31</t>
  </si>
  <si>
    <t>THAL SE</t>
  </si>
  <si>
    <t>FR001400LCK1</t>
  </si>
  <si>
    <t>INDI GR 4.5 04-30</t>
  </si>
  <si>
    <t>INDI GR</t>
  </si>
  <si>
    <t>FR001400P728</t>
  </si>
  <si>
    <t>SOCI DE 3.125 01-34</t>
  </si>
  <si>
    <t>SOCI DE</t>
  </si>
  <si>
    <t>FR001400RIT6</t>
  </si>
  <si>
    <t>ITM ENT 5.75 07-29</t>
  </si>
  <si>
    <t>ITM ENT</t>
  </si>
  <si>
    <t>FR001400RNN9</t>
  </si>
  <si>
    <t>BERT 6.65 07-29</t>
  </si>
  <si>
    <t>BERT</t>
  </si>
  <si>
    <t>FR001400SGZ5</t>
  </si>
  <si>
    <t>TEREGA 4.0 09-34</t>
  </si>
  <si>
    <t>TEREGA</t>
  </si>
  <si>
    <t>FR001400T118</t>
  </si>
  <si>
    <t>APIC PR 5.375 10-34</t>
  </si>
  <si>
    <t>FR001400U660</t>
  </si>
  <si>
    <t>LA FRAN 3.0 11-30</t>
  </si>
  <si>
    <t>LA FRAN</t>
  </si>
  <si>
    <t>FR001400WRF6</t>
  </si>
  <si>
    <t>IPSOS 3.75 01-30</t>
  </si>
  <si>
    <t>IPSOS</t>
  </si>
  <si>
    <t>FR001400WTD7</t>
  </si>
  <si>
    <t>ITM ENT 4.125 01-30</t>
  </si>
  <si>
    <t>FR001400YPL4</t>
  </si>
  <si>
    <t>TIKE CA 4.25 04-31</t>
  </si>
  <si>
    <t>FR001400YQA5</t>
  </si>
  <si>
    <t>LAGA 4.75 06-30</t>
  </si>
  <si>
    <t>LAGA</t>
  </si>
  <si>
    <t>FR001400ZQ88</t>
  </si>
  <si>
    <t>MUTU AS 4.625 02-36</t>
  </si>
  <si>
    <t>MUTU AS</t>
  </si>
  <si>
    <t>FR0014010J17</t>
  </si>
  <si>
    <t>MALA HU 4.5 06-35</t>
  </si>
  <si>
    <t>MALA HU</t>
  </si>
  <si>
    <t>KLES PR 5.07 07-35</t>
  </si>
  <si>
    <t>IT0005561367</t>
  </si>
  <si>
    <t>Banc If 6.875 09-28</t>
  </si>
  <si>
    <t>Banc If</t>
  </si>
  <si>
    <t>IT0005584260</t>
  </si>
  <si>
    <t>Banc If 5.5 02-29</t>
  </si>
  <si>
    <t>IT0005611139</t>
  </si>
  <si>
    <t>CDP RET 3.875 09-31</t>
  </si>
  <si>
    <t>CDP RET</t>
  </si>
  <si>
    <t>PTGGDDOM0008</t>
  </si>
  <si>
    <t>GALP GA 4.875 07-28</t>
  </si>
  <si>
    <t>GALP GA</t>
  </si>
  <si>
    <t>XS1385945131</t>
  </si>
  <si>
    <t>BANQ FE 2.375 03-26</t>
  </si>
  <si>
    <t>XS1489391109</t>
  </si>
  <si>
    <t>PART IR 1.25 09-26</t>
  </si>
  <si>
    <t>PART IR</t>
  </si>
  <si>
    <t>XS1794675931</t>
  </si>
  <si>
    <t>FAIR FI 2.75 03-28</t>
  </si>
  <si>
    <t>FAIR FI</t>
  </si>
  <si>
    <t>XS2001315766</t>
  </si>
  <si>
    <t>EURO WO 1.375 05-26</t>
  </si>
  <si>
    <t>EURO WO</t>
  </si>
  <si>
    <t>XS2027364327</t>
  </si>
  <si>
    <t>LOGI FI 1.625 07-27</t>
  </si>
  <si>
    <t>LOGI FI</t>
  </si>
  <si>
    <t>XS2168693385</t>
  </si>
  <si>
    <t>JPMO CH 3.4 02-29</t>
  </si>
  <si>
    <t>JPMO CH</t>
  </si>
  <si>
    <t>XS2203802462</t>
  </si>
  <si>
    <t>NE PROP 3.375 07-27</t>
  </si>
  <si>
    <t>NE PROP</t>
  </si>
  <si>
    <t>XS2236273582</t>
  </si>
  <si>
    <t>DZ BANK 1.026 09-30</t>
  </si>
  <si>
    <t>DZ BANK</t>
  </si>
  <si>
    <t>XS2243564478</t>
  </si>
  <si>
    <t>IMMO AG 2.5 10-27</t>
  </si>
  <si>
    <t>IMMO AG</t>
  </si>
  <si>
    <t>XS2244936659</t>
  </si>
  <si>
    <t>INFR WI 1.625 10-28</t>
  </si>
  <si>
    <t>INFR WI</t>
  </si>
  <si>
    <t>XS2247718435</t>
  </si>
  <si>
    <t>BLAC PR 1.25 04-27</t>
  </si>
  <si>
    <t>BLAC PR</t>
  </si>
  <si>
    <t>XS2267889991</t>
  </si>
  <si>
    <t>AUTO PE 2.0 12-28</t>
  </si>
  <si>
    <t>AUTO PE</t>
  </si>
  <si>
    <t>XS2286012849</t>
  </si>
  <si>
    <t>LOGI FI 0.875 01-31</t>
  </si>
  <si>
    <t>XS2293733825</t>
  </si>
  <si>
    <t>TRAF FU 3.875 02-26</t>
  </si>
  <si>
    <t>TRAF FU</t>
  </si>
  <si>
    <t>XS2294495838</t>
  </si>
  <si>
    <t>ATRI FI 2.625 09-27</t>
  </si>
  <si>
    <t>ATRI FI</t>
  </si>
  <si>
    <t>XS2300292963</t>
  </si>
  <si>
    <t>CELL FI 1.25 01-29</t>
  </si>
  <si>
    <t>CELL FI</t>
  </si>
  <si>
    <t>XS2300293003</t>
  </si>
  <si>
    <t>CELL FI 2.0 02-33</t>
  </si>
  <si>
    <t>XS2310411090</t>
  </si>
  <si>
    <t>CITY TR 1.625 03-28</t>
  </si>
  <si>
    <t>CITY TR</t>
  </si>
  <si>
    <t>XS2322438990</t>
  </si>
  <si>
    <t>CZEC GA 0.875 03-31</t>
  </si>
  <si>
    <t>CZEC GA</t>
  </si>
  <si>
    <t>XS2331921390</t>
  </si>
  <si>
    <t>ANIMA 1.5 04-28</t>
  </si>
  <si>
    <t>ANIMA</t>
  </si>
  <si>
    <t>XS2341269970</t>
  </si>
  <si>
    <t>AKER BP 1.125 05-29</t>
  </si>
  <si>
    <t>AKER BP</t>
  </si>
  <si>
    <t>XS2347284742</t>
  </si>
  <si>
    <t>TECH EN 1.125 05-28</t>
  </si>
  <si>
    <t>TECH EN</t>
  </si>
  <si>
    <t>XS2348703864</t>
  </si>
  <si>
    <t>BEVC LU 1.0 01-30</t>
  </si>
  <si>
    <t>BEVC LU</t>
  </si>
  <si>
    <t>XS2351301499</t>
  </si>
  <si>
    <t>ACEF HO 0.75 06-28</t>
  </si>
  <si>
    <t>ACEF HO</t>
  </si>
  <si>
    <t>XS2360853332</t>
  </si>
  <si>
    <t>PROS NV 1.288 07-29</t>
  </si>
  <si>
    <t>PROS NV</t>
  </si>
  <si>
    <t>XS2362994068</t>
  </si>
  <si>
    <t>NEMA SA 2.25 07-28</t>
  </si>
  <si>
    <t>NEMA SA</t>
  </si>
  <si>
    <t>XS2381853436</t>
  </si>
  <si>
    <t>NATL GR 0.75 09-33</t>
  </si>
  <si>
    <t>NATL GR</t>
  </si>
  <si>
    <t>XS2387052744</t>
  </si>
  <si>
    <t>CAST HE 0.875 09-29</t>
  </si>
  <si>
    <t>CAST HE</t>
  </si>
  <si>
    <t>XS2390400807</t>
  </si>
  <si>
    <t>ENEL FI 0.875 09-34</t>
  </si>
  <si>
    <t>ENEL FI</t>
  </si>
  <si>
    <t>XS2393687350</t>
  </si>
  <si>
    <t>CONS EN 5.0 10-28</t>
  </si>
  <si>
    <t>CONS EN</t>
  </si>
  <si>
    <t>XS2430287362</t>
  </si>
  <si>
    <t>PROS NV 2.085 01-30</t>
  </si>
  <si>
    <t>XS2430287529</t>
  </si>
  <si>
    <t>PROS NV 1.207 01-26</t>
  </si>
  <si>
    <t>XS2468979302</t>
  </si>
  <si>
    <t>CETI FI 3.125 04-27</t>
  </si>
  <si>
    <t>CETI FI</t>
  </si>
  <si>
    <t>XS2498554992</t>
  </si>
  <si>
    <t>ALD 4.0 07-27</t>
  </si>
  <si>
    <t>ALD</t>
  </si>
  <si>
    <t>XS2551903425</t>
  </si>
  <si>
    <t>HONE IN 4.125 11-34</t>
  </si>
  <si>
    <t>HONE IN</t>
  </si>
  <si>
    <t>XS2572996606</t>
  </si>
  <si>
    <t>COOP RA 4.0 01-30</t>
  </si>
  <si>
    <t>COOP RA</t>
  </si>
  <si>
    <t>XS2576067081</t>
  </si>
  <si>
    <t>NATL GR 4.275 01-35</t>
  </si>
  <si>
    <t>XS2577384691</t>
  </si>
  <si>
    <t>HOLD IN 4.25 03-30</t>
  </si>
  <si>
    <t>HOLD IN</t>
  </si>
  <si>
    <t>XS2587104444</t>
  </si>
  <si>
    <t>IM GROU 8.0 03-28</t>
  </si>
  <si>
    <t>IM GROU</t>
  </si>
  <si>
    <t>XS2594025814</t>
  </si>
  <si>
    <t>ARCA NV 4.875 02-28</t>
  </si>
  <si>
    <t>ARCA NV</t>
  </si>
  <si>
    <t>XS2613209670</t>
  </si>
  <si>
    <t>SYDN AI 4.375 05-33</t>
  </si>
  <si>
    <t>SYDN AI</t>
  </si>
  <si>
    <t>XS2617457127</t>
  </si>
  <si>
    <t>VOLK BA 4.625 05-31</t>
  </si>
  <si>
    <t>VOLK BA</t>
  </si>
  <si>
    <t>XS2621007660</t>
  </si>
  <si>
    <t>BOOK 4.125 05-33</t>
  </si>
  <si>
    <t>BOOK</t>
  </si>
  <si>
    <t>XS2621757405</t>
  </si>
  <si>
    <t>CORN 3.875 05-26</t>
  </si>
  <si>
    <t>CORN</t>
  </si>
  <si>
    <t>XS2625194225</t>
  </si>
  <si>
    <t>Indu Po 4.75 06-30</t>
  </si>
  <si>
    <t>Indu Po</t>
  </si>
  <si>
    <t>XS2626289222</t>
  </si>
  <si>
    <t>3I GROU 4.875 06-29</t>
  </si>
  <si>
    <t>3I GROU</t>
  </si>
  <si>
    <t>XS2656537664</t>
  </si>
  <si>
    <t>LEASYS 4.5 07-26</t>
  </si>
  <si>
    <t>LEASYS</t>
  </si>
  <si>
    <t>XS2662538425</t>
  </si>
  <si>
    <t>BARC 4.918 08-30</t>
  </si>
  <si>
    <t>BARC</t>
  </si>
  <si>
    <t>XS2698045130</t>
  </si>
  <si>
    <t>ELEC AB 4.5 09-28</t>
  </si>
  <si>
    <t>ELEC AB</t>
  </si>
  <si>
    <t>XS2708354811</t>
  </si>
  <si>
    <t>CA AUTO 4.75 01-27</t>
  </si>
  <si>
    <t>CA AUTO</t>
  </si>
  <si>
    <t>XS2713801780</t>
  </si>
  <si>
    <t>NIBC BA 6.0 11-28</t>
  </si>
  <si>
    <t>NIBC BA</t>
  </si>
  <si>
    <t>XS2723556572</t>
  </si>
  <si>
    <t>MACQ GR 4.747 01-30</t>
  </si>
  <si>
    <t>MACQ GR</t>
  </si>
  <si>
    <t>XS2728561098</t>
  </si>
  <si>
    <t>JDE PEE 4.125 01-30</t>
  </si>
  <si>
    <t>JDE PEE</t>
  </si>
  <si>
    <t>XS2742660660</t>
  </si>
  <si>
    <t>MOTA OP 3.875 01-34</t>
  </si>
  <si>
    <t>MOTA OP</t>
  </si>
  <si>
    <t>XS2753547673</t>
  </si>
  <si>
    <t>LOGI FI 4.625 07-28</t>
  </si>
  <si>
    <t>XS2776519980</t>
  </si>
  <si>
    <t>AUST PA 4.0 06-34</t>
  </si>
  <si>
    <t>AUST PA</t>
  </si>
  <si>
    <t>XS2776890068</t>
  </si>
  <si>
    <t>HONE IN 3.75 03-36</t>
  </si>
  <si>
    <t>XS2778383898</t>
  </si>
  <si>
    <t>CITY TR 6.5 03-29</t>
  </si>
  <si>
    <t>XS2778764006</t>
  </si>
  <si>
    <t>TRAN FI 3.713 03-32</t>
  </si>
  <si>
    <t>TRAN FI</t>
  </si>
  <si>
    <t>XS2792575453</t>
  </si>
  <si>
    <t>CT INVE 6.375 04-30</t>
  </si>
  <si>
    <t>CT INVE</t>
  </si>
  <si>
    <t>XS2805234700</t>
  </si>
  <si>
    <t>FLUT TR 5.0 04-29</t>
  </si>
  <si>
    <t>FLUT TR</t>
  </si>
  <si>
    <t>XS2807518639</t>
  </si>
  <si>
    <t>TDC NET 5.186 08-29</t>
  </si>
  <si>
    <t>TDC NET</t>
  </si>
  <si>
    <t>XS2815976126</t>
  </si>
  <si>
    <t>CPI PRO 7.0 05-29</t>
  </si>
  <si>
    <t>CPI PRO</t>
  </si>
  <si>
    <t>XS2816031160</t>
  </si>
  <si>
    <t>Gene Mo 4.0 07-30</t>
  </si>
  <si>
    <t>Gene Mo</t>
  </si>
  <si>
    <t>XS2823261834</t>
  </si>
  <si>
    <t>EATO CA 3.802 05-36</t>
  </si>
  <si>
    <t>EATO CA</t>
  </si>
  <si>
    <t>XS2825539617</t>
  </si>
  <si>
    <t>AVIN AS 3.5 05-34</t>
  </si>
  <si>
    <t>AVIN AS</t>
  </si>
  <si>
    <t>XS2828685631</t>
  </si>
  <si>
    <t>GREN FI 5.75 07-29</t>
  </si>
  <si>
    <t>GREN FI</t>
  </si>
  <si>
    <t>XS2835773255</t>
  </si>
  <si>
    <t>INTL PE 10.75 12-29</t>
  </si>
  <si>
    <t>INTL PE</t>
  </si>
  <si>
    <t>XS2844398482</t>
  </si>
  <si>
    <t>KS AKTU 4.25 06-29</t>
  </si>
  <si>
    <t>KS AKTU</t>
  </si>
  <si>
    <t>XS2852136063</t>
  </si>
  <si>
    <t>Koni DS 3.625 07-34</t>
  </si>
  <si>
    <t>Koni DS</t>
  </si>
  <si>
    <t>XS2855975285</t>
  </si>
  <si>
    <t>GRAN CI 4.375 01-30</t>
  </si>
  <si>
    <t>GRAN CI</t>
  </si>
  <si>
    <t>XS2860457071</t>
  </si>
  <si>
    <t>AROU 4.8 07-29</t>
  </si>
  <si>
    <t>AROU</t>
  </si>
  <si>
    <t>XS2875106168</t>
  </si>
  <si>
    <t>ZIMM BI 3.518 12-32</t>
  </si>
  <si>
    <t>ZIMM BI</t>
  </si>
  <si>
    <t>XS2887896574</t>
  </si>
  <si>
    <t>MTU AER 3.875 09-31</t>
  </si>
  <si>
    <t>MTU AER</t>
  </si>
  <si>
    <t>XS2893175625</t>
  </si>
  <si>
    <t>IGT LOT 4.25 03-30</t>
  </si>
  <si>
    <t>IGT LOT</t>
  </si>
  <si>
    <t>XS2894910665</t>
  </si>
  <si>
    <t>NATL GR 3.631 09-31</t>
  </si>
  <si>
    <t>XS2905583014</t>
  </si>
  <si>
    <t>FCC SER 3.715 10-31</t>
  </si>
  <si>
    <t>FCC SER</t>
  </si>
  <si>
    <t>XS2919072962</t>
  </si>
  <si>
    <t>ASK CHE 10.0 11-29</t>
  </si>
  <si>
    <t>ASK CHE</t>
  </si>
  <si>
    <t>XS2919214937</t>
  </si>
  <si>
    <t>GATW 3.625 10-33</t>
  </si>
  <si>
    <t>GATW</t>
  </si>
  <si>
    <t>XS2923451194</t>
  </si>
  <si>
    <t>LOUI DR 3.5 10-31</t>
  </si>
  <si>
    <t>LOUI DR</t>
  </si>
  <si>
    <t>XS2925845393</t>
  </si>
  <si>
    <t>LEASYS 3.375 01-29</t>
  </si>
  <si>
    <t>XS2938562068</t>
  </si>
  <si>
    <t>KION GR 4.0 11-29</t>
  </si>
  <si>
    <t>KION GR</t>
  </si>
  <si>
    <t>XS3003232272</t>
  </si>
  <si>
    <t>FAST AB 4.0 02-32</t>
  </si>
  <si>
    <t>FAST AB</t>
  </si>
  <si>
    <t>XS3003295519</t>
  </si>
  <si>
    <t>KPN 3.375 02-35</t>
  </si>
  <si>
    <t>KPN</t>
  </si>
  <si>
    <t>XS3004195007</t>
  </si>
  <si>
    <t>AIR PRO 2.95 05-31</t>
  </si>
  <si>
    <t>AIR PRO</t>
  </si>
  <si>
    <t>XS3019303133</t>
  </si>
  <si>
    <t>VAR ENE 3.875 03-31</t>
  </si>
  <si>
    <t>VAR ENE</t>
  </si>
  <si>
    <t>XS3024074950</t>
  </si>
  <si>
    <t>MANC AI 4.0 03-35</t>
  </si>
  <si>
    <t>MANC AI</t>
  </si>
  <si>
    <t>XS3027988263</t>
  </si>
  <si>
    <t>SSE 3.5 03-32</t>
  </si>
  <si>
    <t>SSE</t>
  </si>
  <si>
    <t>XS3032046016</t>
  </si>
  <si>
    <t>INVE AB 3.5 03-34</t>
  </si>
  <si>
    <t>INVE AB</t>
  </si>
  <si>
    <t>XS3040316971</t>
  </si>
  <si>
    <t>INFR WI 3.75 04-30</t>
  </si>
  <si>
    <t>XS3040333638</t>
  </si>
  <si>
    <t>HLD EUR 4.125 04-30</t>
  </si>
  <si>
    <t>HLD EUR</t>
  </si>
  <si>
    <t>XS3047452316</t>
  </si>
  <si>
    <t>LOTT GR 4.875 01-31</t>
  </si>
  <si>
    <t>LOTT GR</t>
  </si>
  <si>
    <t>XS3060660050</t>
  </si>
  <si>
    <t>FISE FU 3.5 06-32</t>
  </si>
  <si>
    <t>FISE FU</t>
  </si>
  <si>
    <t>XS3064423174</t>
  </si>
  <si>
    <t>ALPH 3.0 05-33</t>
  </si>
  <si>
    <t>ALPH</t>
  </si>
  <si>
    <t>XS3071337847</t>
  </si>
  <si>
    <t>CYR 4.75 05-30</t>
  </si>
  <si>
    <t>CYR</t>
  </si>
  <si>
    <t>XS3074456891</t>
  </si>
  <si>
    <t>INFO 3.375 06-31</t>
  </si>
  <si>
    <t>INFO</t>
  </si>
  <si>
    <t>XS3077018714</t>
  </si>
  <si>
    <t>NEXI 3.875 05-31</t>
  </si>
  <si>
    <t>NEXI</t>
  </si>
  <si>
    <t>XS3080462222</t>
  </si>
  <si>
    <t>CESK DR 3.75 07-30</t>
  </si>
  <si>
    <t>CESK DR</t>
  </si>
  <si>
    <t>XS3086867440</t>
  </si>
  <si>
    <t>ELM BV 3.375 06-30</t>
  </si>
  <si>
    <t>ELM BV</t>
  </si>
  <si>
    <t>XS3087726595</t>
  </si>
  <si>
    <t>NIBC BA 3.5 06-30</t>
  </si>
  <si>
    <t>XS3090952519</t>
  </si>
  <si>
    <t>WERF 3.625 02-32</t>
  </si>
  <si>
    <t>WERF</t>
  </si>
  <si>
    <t>XS3100767915</t>
  </si>
  <si>
    <t>SES 4.125 06-30</t>
  </si>
  <si>
    <t>SES</t>
  </si>
  <si>
    <t>LIQUIDITES</t>
  </si>
  <si>
    <t>Liquidités issues des ventes simulées</t>
  </si>
  <si>
    <t>Total</t>
  </si>
  <si>
    <t>Distribution des pertes historiques</t>
  </si>
  <si>
    <t>Perte du jour = valeur x (sensibilités aux taux x variations de taux + sensibilité spread x variation du spread). Pertes positives. Poids de queue : part de chaque scénario dans l'ES.</t>
  </si>
  <si>
    <t>Date</t>
  </si>
  <si>
    <t>Perte initiale (EUR)</t>
  </si>
  <si>
    <t>Perte après vente (EUR)</t>
  </si>
  <si>
    <t>Poids de queue initial</t>
  </si>
  <si>
    <t>Poids de queue après</t>
  </si>
  <si>
    <t>Grandeur</t>
  </si>
  <si>
    <t>Nombre de scénarios</t>
  </si>
  <si>
    <t>Masse de queue (journées)</t>
  </si>
  <si>
    <t>Seuil de queue (EUR)</t>
  </si>
  <si>
    <t>Sensibilité 2 ans du portefeuille</t>
  </si>
  <si>
    <t>Sensibilité 5 ans du portefeuille</t>
  </si>
  <si>
    <t>Sensibilité 10 ans du portefeuille</t>
  </si>
  <si>
    <t>Variation moyenne en queue, 2 ans</t>
  </si>
  <si>
    <t>Variation moyenne en queue, 5 ans</t>
  </si>
  <si>
    <t>Variation moyenne en queue, 10 ans</t>
  </si>
  <si>
    <t>VaR (EUR)</t>
  </si>
  <si>
    <t>Expected Shortfall (EUR)</t>
  </si>
  <si>
    <t>Scénarios au-delà du seuil</t>
  </si>
  <si>
    <t>Scénarios égaux au seuil</t>
  </si>
  <si>
    <t>Somme des poids de queue</t>
  </si>
  <si>
    <t>Sensibilité spread du portefeuille</t>
  </si>
  <si>
    <t>Variation moyenne en queue, spread</t>
  </si>
  <si>
    <t>Historique des variations de taux et de spread</t>
  </si>
  <si>
    <t>Courbe AAA de la BCE, zéro-coupon continu ; spread crédit Bundesbank si raccordé. Variation entre deux dates d'observation communes successives, sans remplissage. Décimales.</t>
  </si>
  <si>
    <t>Date précédente</t>
  </si>
  <si>
    <t>Variation 2 ans</t>
  </si>
  <si>
    <t>Variation 5 ans</t>
  </si>
  <si>
    <t>Variation 10 ans</t>
  </si>
  <si>
    <t>Variation du spread</t>
  </si>
  <si>
    <t>Flux du modèle</t>
  </si>
  <si>
    <t>Coupons annuels et remboursement à l'échéance, en % du nominal. Valeur actuelle après calibration du spread ; la somme par titre égale le prix dirty.</t>
  </si>
  <si>
    <t>Date du flux</t>
  </si>
  <si>
    <t>Temps (années)</t>
  </si>
  <si>
    <t>Montant (% nominal)</t>
  </si>
  <si>
    <t>Valeur actuelle (% nominal)</t>
  </si>
  <si>
    <t>Contrôle glissant de la VaR (portefeuille initial)</t>
  </si>
  <si>
    <t>Chaque VaR n'utilise que les 250 pertes strictement antérieures. P&amp;L modélisé à positions constantes : ce test vérifie le modèle de taux, pas les pertes réalisées par le fonds.</t>
  </si>
  <si>
    <t>Perte (EUR)</t>
  </si>
  <si>
    <t>VaR prévue (EUR)</t>
  </si>
  <si>
    <t>Exception</t>
  </si>
  <si>
    <t>Synthèse</t>
  </si>
  <si>
    <t>Prévisions</t>
  </si>
  <si>
    <t>Exceptions observées</t>
  </si>
  <si>
    <t>Exceptions attendues</t>
  </si>
  <si>
    <t>Statistique de Kupiec (LR)</t>
  </si>
  <si>
    <t>p-value (khi-deux, 1 degré)</t>
  </si>
  <si>
    <t>Conclusion à 5 %</t>
  </si>
  <si>
    <t>Contrôles et rapprochements</t>
  </si>
  <si>
    <t>Rapprochements recalculés par formules. Les alertes portent sur l'inventaire publié complet.</t>
  </si>
  <si>
    <t>Contrôle</t>
  </si>
  <si>
    <t>Mesure</t>
  </si>
  <si>
    <t>Attendu</t>
  </si>
  <si>
    <t>Total de l'inventaire = sous-total publié (EUR)</t>
  </si>
  <si>
    <t>Somme des poids après vente</t>
  </si>
  <si>
    <t>Contributions par ligne moins ES après vente (EUR)</t>
  </si>
  <si>
    <t>Contributions par facteur moins ES après vente (EUR)</t>
  </si>
  <si>
    <t>Somme des poids de queue après vente</t>
  </si>
  <si>
    <t>Flux actualisés moins prix dirty (écart maximal)</t>
  </si>
  <si>
    <t>Dernière vérification VBA indépendante</t>
  </si>
  <si>
    <t>Ligne en alerte</t>
  </si>
  <si>
    <t>Suite</t>
  </si>
  <si>
    <t>Constat</t>
  </si>
  <si>
    <t>Données indisponibles, hors du périmètre des calculs :</t>
  </si>
  <si>
    <t>Spread crédit approché</t>
  </si>
  <si>
    <t>Le facteur de spread est un indice d'obligations d'entreprises allemandes (Bundesbank) : il ne reflète ni la composition ni la notation exacte du fonds.</t>
  </si>
  <si>
    <t>Remplacer par un indice crédit euro sous licence si l'équipe en dispose</t>
  </si>
  <si>
    <t>Dérivés et couvertures</t>
  </si>
  <si>
    <t>Les instruments à terme du fonds ne sont pas intégrés ; une couverture de duration réduirait le risque de taux.</t>
  </si>
  <si>
    <t>Extraire la section des instruments financiers à terme de l'inventaire</t>
  </si>
  <si>
    <t>Notations</t>
  </si>
  <si>
    <t>Aucune notation ni historique de migration dans les sources publiques importées.</t>
  </si>
  <si>
    <t>Raccorder un référentiel de notations pour suivre les passages en haut rendement</t>
  </si>
  <si>
    <t>Données ESG</t>
  </si>
  <si>
    <t>Aucune donnée ESG émetteur importée ; l'absence de donnée n'est pas une mauvaise note.</t>
  </si>
  <si>
    <t>Raccorder une source ESG documentée</t>
  </si>
  <si>
    <t>Autres sections du fonds</t>
  </si>
  <si>
    <t>Taux variable, autres devises et liquidités du fonds hors périmètre.</t>
  </si>
  <si>
    <t>Étendre l'extraction à l'inventaire complet</t>
  </si>
  <si>
    <t>Inventaire publié, section taux fixe EUR</t>
  </si>
  <si>
    <t>169 lignes extraites du PDF. Les indicateurs se recalculent avec les seuils de l'onglet Paramètres.</t>
  </si>
  <si>
    <t>Date du prix</t>
  </si>
  <si>
    <t>Page</t>
  </si>
  <si>
    <t>Code entre parenthèses</t>
  </si>
  <si>
    <t>Écart de rapprochement (EUR)</t>
  </si>
  <si>
    <t>Dans le modèle</t>
  </si>
  <si>
    <t>Motif d'exclusion</t>
  </si>
  <si>
    <t>Échu</t>
  </si>
  <si>
    <t>Valorisation nulle</t>
  </si>
  <si>
    <t>Prix ancien</t>
  </si>
  <si>
    <t>Spread élevé</t>
  </si>
  <si>
    <t>Écart de valorisation</t>
  </si>
  <si>
    <t>Rang d'alerte</t>
  </si>
  <si>
    <t>366</t>
  </si>
  <si>
    <t>EUR</t>
  </si>
  <si>
    <t>FR0012317451</t>
  </si>
  <si>
    <t>AGRIPOLE 5.0 11-19</t>
  </si>
  <si>
    <t>AGRIPOLE</t>
  </si>
  <si>
    <t>Échéance dépassée ; Valorisation nulle ; Prix daté du 16/12/2019</t>
  </si>
  <si>
    <t>EXA</t>
  </si>
  <si>
    <t>999</t>
  </si>
  <si>
    <t>IT0005440646</t>
  </si>
  <si>
    <t>CMC RAV 2.0 12-26</t>
  </si>
  <si>
    <t>CMC RAV</t>
  </si>
  <si>
    <t>UST</t>
  </si>
  <si>
    <t>Dispersion par émetteur (règle de type 5/10/40, illustrative)</t>
  </si>
  <si>
    <t>En % de l'actif net publié. Seule la section taux fixe EUR est connue : ces ratios sont des minimums. Émetteurs regroupés par libellé abrégé, faute d'identifiant émetteur.</t>
  </si>
  <si>
    <t>Valeur (EUR)</t>
  </si>
  <si>
    <t>Poids dans l'actif net</t>
  </si>
  <si>
    <t>Souverain</t>
  </si>
  <si>
    <t>Statut</t>
  </si>
  <si>
    <t>Poids hors souverain</t>
  </si>
  <si>
    <t>Plus gros émetteur non souverain</t>
  </si>
  <si>
    <t>Son poids dans l'actif net</t>
  </si>
  <si>
    <t>Émetteurs non souverains au-delà de 5 %</t>
  </si>
  <si>
    <t>Cumul de ces émetteurs</t>
  </si>
  <si>
    <t>Émetteurs au-delà du plafond</t>
  </si>
  <si>
    <t>Conclusion</t>
  </si>
  <si>
    <t>Sources, méthode et traçabilité</t>
  </si>
  <si>
    <t>Inventaire</t>
  </si>
  <si>
    <t>R-co Conviction Credit Euro, inventaire au 30/06/2025 (Rothschild &amp; Co Asset Management)</t>
  </si>
  <si>
    <t>Adresse du PDF</t>
  </si>
  <si>
    <t>https://docs.am.eu.rothschildandco.com/RASA_88e4b412-e3e1-e411-80c8-005056924e5f_FR_EN.pdf</t>
  </si>
  <si>
    <t>SHA-256 du PDF</t>
  </si>
  <si>
    <t>9863e148ff46fb90108eb0dc91b20e115c727489119e8c69410915f157817641</t>
  </si>
  <si>
    <t>Courbes de taux</t>
  </si>
  <si>
    <t>BCE, courbe zéro-coupon AAA zone euro : YC.B.U2.EUR.4F.G_N_A.SV_C_YM.SR_2Y, SR_5Y, SR_10Y</t>
  </si>
  <si>
    <t>Bundesbank : BBSIS.D.I.UMR.RD.EUR.X2000 (obligations d'entreprises, Nicht-MFIs) moins BBSIS.D.I.UMR.RD.EUR.S1311.B.A604 (titres fédéraux cotés), séries quotidiennes</t>
  </si>
  <si>
    <t>Méthode de spread</t>
  </si>
  <si>
    <t>Bêta proportionnel au spread calibré (Duration Times Spread)</t>
  </si>
  <si>
    <t>Manifeste généré le</t>
  </si>
  <si>
    <t>2026-10-06</t>
  </si>
  <si>
    <t>SHA-256 inventory-fixed-eur.csv</t>
  </si>
  <si>
    <t>ff6ea8e447bb1ce947b9fd3d78e8c5810ee8d64beea9e84fda1659baa757b52a</t>
  </si>
  <si>
    <t>SHA-256 ecb-curves.csv</t>
  </si>
  <si>
    <t>a29a08d03198bd10fc55abc01e1209c23909cd6d67414f3f07a748c84119e7e5</t>
  </si>
  <si>
    <t>SHA-256 spread-credit.csv</t>
  </si>
  <si>
    <t>cb9808ff04a73603ef4c6f1569864b423e5995178f5c160a02eed920ce15613d</t>
  </si>
  <si>
    <t>Univers modélisé</t>
  </si>
  <si>
    <t>Toutes les lignes de la section taux fixe EUR valorisées au 30/06/2025, à prix positif, d'échéance comprise entre la date de référence et 12 ans. Aucun filtre sur le code entre parenthèses.</t>
  </si>
  <si>
    <t>Lignes exclues</t>
  </si>
  <si>
    <t>2 ligne(s), listées avec leur motif dans l'onglet Inventaire.</t>
  </si>
  <si>
    <t>Calibration</t>
  </si>
  <si>
    <t>Spread continu constant ajusté par dichotomie au prix dirty publié (valeur / nominal).</t>
  </si>
  <si>
    <t>Sensibilités</t>
  </si>
  <si>
    <t>Dérivées du prix par rapport aux nœuds 2, 5 et 10 ans ; taux constant au-delà de 10 ans.</t>
  </si>
  <si>
    <t>VaR et ES</t>
  </si>
  <si>
    <t>VaR : perte au rang arrondi supérieur de confiance x N. ES : moyenne pondérée des N x (1 - confiance) pires pertes.</t>
  </si>
  <si>
    <t>Contributions</t>
  </si>
  <si>
    <t>Allocation d'Euler sur les mêmes journées de queue que l'ES ; la somme égale l'ES.</t>
  </si>
  <si>
    <t>Généré le</t>
  </si>
  <si>
    <t>06/10/2026 23:54 UTC</t>
  </si>
  <si>
    <t>Avertissement</t>
  </si>
  <si>
    <t>Projet personnel, sans lien avec Rothschild &amp; Co. Aucune recommandation d'investissement.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</si>
</sst>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%;\(0.00%\);&quot;-&quot;"/>
    <numFmt numFmtId="165" formatCode="#,##0;\(#,##0\);&quot;-&quot;"/>
    <numFmt numFmtId="167" formatCode="0.000"/>
    <numFmt numFmtId="168" formatCode="0.0000"/>
    <numFmt numFmtId="169" formatCode="#,##0.00;\(#,##0.00\);&quot;-&quot;"/>
    <numFmt numFmtId="170" formatCode="0.0"/>
    <numFmt numFmtId="171" formatCode="0.0000%"/>
    <numFmt numFmtId="172" formatCode="0.000000000"/>
    <numFmt numFmtId="173" formatCode="0.000000%"/>
    <numFmt numFmtId="174" formatCode="0.000000"/>
    <numFmt numFmtId="175" formatCode="0.00&quot;x&quot;"/>
  </numFmts>
  <fonts count="8" x14ac:knownFonts="1">
    <font>
      <sz val="11"/>
      <color theme="1"/>
      <name val="Calibri"/>
      <family val="2"/>
      <scheme val="minor"/>
    </font>
    <font>
      <b/>
      <sz val="14"/>
      <color rgb="FF19334A"/>
      <name val="Arial"/>
      <family val="2"/>
    </font>
    <font>
      <i/>
      <sz val="9"/>
      <color rgb="FF5B6B7A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i/>
      <sz val="8"/>
      <color rgb="FF5B6B7A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9334A"/>
      </patternFill>
    </fill>
    <fill>
      <patternFill patternType="solid">
        <fgColor rgb="FFFFF2CD"/>
      </patternFill>
    </fill>
  </fills>
  <borders count="3">
    <border>
      <left/>
      <right/>
      <top/>
      <bottom/>
      <diagonal/>
    </border>
    <border>
      <left/>
      <right/>
      <top style="thin">
        <color rgb="FF19334A"/>
      </top>
      <bottom/>
      <diagonal/>
    </border>
    <border>
      <left/>
      <right/>
      <top/>
      <bottom style="thin">
        <color rgb="FFC9D2D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2" xfId="0" applyFont="1" applyBorder="1"/>
    <xf numFmtId="165" fontId="4" fillId="0" borderId="2" xfId="0" applyNumberFormat="1" applyFont="1" applyBorder="1"/>
    <xf numFmtId="164" fontId="4" fillId="0" borderId="2" xfId="0" applyNumberFormat="1" applyFont="1" applyBorder="1"/>
    <xf numFmtId="2" fontId="4" fillId="0" borderId="2" xfId="0" applyNumberFormat="1" applyFont="1" applyBorder="1"/>
    <xf numFmtId="0" fontId="7" fillId="0" borderId="0" xfId="0" applyFont="1"/>
    <xf numFmtId="0" fontId="4" fillId="0" borderId="0" xfId="0" applyFont="1"/>
    <xf numFmtId="0" fontId="4" fillId="0" borderId="2" xfId="0" applyFont="1" applyBorder="1" applyAlignment="1">
      <alignment horizontal="right"/>
    </xf>
    <xf numFmtId="165" fontId="4" fillId="0" borderId="2" xfId="0" applyNumberFormat="1" applyFont="1" applyBorder="1" applyAlignment="1">
      <alignment horizontal="right"/>
    </xf>
    <xf numFmtId="175" fontId="4" fillId="0" borderId="2" xfId="0" applyNumberFormat="1" applyFont="1" applyBorder="1" applyAlignment="1">
      <alignment horizontal="right"/>
    </xf>
    <xf numFmtId="165" fontId="4" fillId="0" borderId="0" xfId="0" applyNumberFormat="1" applyFont="1"/>
    <xf numFmtId="0" fontId="6" fillId="0" borderId="0" xfId="0" applyFont="1"/>
    <xf numFmtId="164" fontId="5" fillId="3" borderId="0" xfId="0" applyNumberFormat="1" applyFont="1" applyFill="1" applyAlignment="1">
      <alignment horizontal="right"/>
    </xf>
    <xf numFmtId="165" fontId="5" fillId="3" borderId="0" xfId="0" applyNumberFormat="1" applyFont="1" applyFill="1" applyAlignment="1">
      <alignment horizontal="right"/>
    </xf>
    <xf numFmtId="0" fontId="5" fillId="3" borderId="0" xfId="0" applyFont="1" applyFill="1" applyAlignment="1">
      <alignment horizontal="right"/>
    </xf>
    <xf numFmtId="1" fontId="5" fillId="3" borderId="0" xfId="0" applyNumberFormat="1" applyFont="1" applyFill="1" applyAlignment="1">
      <alignment horizontal="right"/>
    </xf>
    <xf numFmtId="14" fontId="4" fillId="0" borderId="0" xfId="0" applyNumberFormat="1" applyFont="1"/>
    <xf numFmtId="167" fontId="4" fillId="0" borderId="0" xfId="0" applyNumberFormat="1" applyFont="1"/>
    <xf numFmtId="168" fontId="4" fillId="0" borderId="0" xfId="0" applyNumberFormat="1" applyFont="1"/>
    <xf numFmtId="169" fontId="4" fillId="0" borderId="0" xfId="0" applyNumberFormat="1" applyFont="1"/>
    <xf numFmtId="170" fontId="5" fillId="0" borderId="0" xfId="0" applyNumberFormat="1" applyFont="1"/>
    <xf numFmtId="168" fontId="5" fillId="0" borderId="0" xfId="0" applyNumberFormat="1" applyFont="1"/>
    <xf numFmtId="0" fontId="5" fillId="0" borderId="0" xfId="0" applyFont="1"/>
    <xf numFmtId="171" fontId="4" fillId="0" borderId="0" xfId="0" applyNumberFormat="1" applyFont="1"/>
    <xf numFmtId="172" fontId="4" fillId="0" borderId="0" xfId="0" applyNumberFormat="1" applyFont="1"/>
    <xf numFmtId="167" fontId="5" fillId="0" borderId="0" xfId="0" applyNumberFormat="1" applyFont="1"/>
    <xf numFmtId="0" fontId="0" fillId="0" borderId="1" xfId="0" applyBorder="1"/>
    <xf numFmtId="0" fontId="7" fillId="0" borderId="1" xfId="0" applyFont="1" applyBorder="1"/>
    <xf numFmtId="169" fontId="7" fillId="0" borderId="1" xfId="0" applyNumberFormat="1" applyFont="1" applyBorder="1"/>
    <xf numFmtId="165" fontId="7" fillId="0" borderId="1" xfId="0" applyNumberFormat="1" applyFont="1" applyBorder="1"/>
    <xf numFmtId="171" fontId="7" fillId="0" borderId="1" xfId="0" applyNumberFormat="1" applyFont="1" applyBorder="1"/>
    <xf numFmtId="1" fontId="4" fillId="0" borderId="0" xfId="0" applyNumberFormat="1" applyFont="1"/>
    <xf numFmtId="2" fontId="4" fillId="0" borderId="0" xfId="0" applyNumberFormat="1" applyFont="1"/>
    <xf numFmtId="173" fontId="4" fillId="0" borderId="0" xfId="0" applyNumberFormat="1" applyFont="1"/>
    <xf numFmtId="174" fontId="4" fillId="0" borderId="0" xfId="0" applyNumberFormat="1" applyFont="1"/>
    <xf numFmtId="173" fontId="5" fillId="0" borderId="0" xfId="0" applyNumberFormat="1" applyFont="1"/>
    <xf numFmtId="174" fontId="5" fillId="0" borderId="0" xfId="0" applyNumberFormat="1" applyFont="1"/>
    <xf numFmtId="170" fontId="4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9"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ont>
        <b/>
        <sz val="9"/>
        <name val="Arial"/>
      </font>
      <fill>
        <patternFill patternType="solid">
          <fgColor rgb="FFEEF2F6"/>
        </patternFill>
      </fill>
    </dxf>
    <dxf>
      <fill>
        <patternFill patternType="solid">
          <f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Contribution à l'ES par facteur (EUR)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Comité!$C$28</c:f>
              <c:strCache>
                <c:ptCount val="1"/>
                <c:pt idx="0">
                  <c:v>Initial (EUR)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Comité!$B$29:$B$32</c:f>
              <c:strCache>
                <c:ptCount val="4"/>
                <c:pt idx="0">
                  <c:v>Taux 2 ans</c:v>
                </c:pt>
                <c:pt idx="1">
                  <c:v>Taux 5 ans</c:v>
                </c:pt>
                <c:pt idx="2">
                  <c:v>Taux 10 ans</c:v>
                </c:pt>
                <c:pt idx="3">
                  <c:v>Spread crédit</c:v>
                </c:pt>
              </c:strCache>
            </c:strRef>
          </c:cat>
          <c:val>
            <c:numRef>
              <c:f>Comité!$C$29:$C$32</c:f>
              <c:numCache>
                <c:formatCode>#\ ##0;\(#\ ##0\);"-"</c:formatCode>
                <c:ptCount val="4"/>
                <c:pt idx="0">
                  <c:v>1812072.0407663898</c:v>
                </c:pt>
                <c:pt idx="1">
                  <c:v>6351136.6646147147</c:v>
                </c:pt>
                <c:pt idx="2">
                  <c:v>3859657.3933812338</c:v>
                </c:pt>
                <c:pt idx="3">
                  <c:v>17251933.971730132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F-444E-9175-5DEE6BCF0138}"/>
            </c:ext>
          </c:extLst>
        </c:ser>
        <c:ser>
          <c:idx val="1"/>
          <c:order val="1"/>
          <c:tx>
            <c:strRef>
              <c:f>Comité!$D$28</c:f>
              <c:strCache>
                <c:ptCount val="1"/>
                <c:pt idx="0">
                  <c:v>Après vente (EUR)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Comité!$B$29:$B$32</c:f>
              <c:strCache>
                <c:ptCount val="4"/>
                <c:pt idx="0">
                  <c:v>Taux 2 ans</c:v>
                </c:pt>
                <c:pt idx="1">
                  <c:v>Taux 5 ans</c:v>
                </c:pt>
                <c:pt idx="2">
                  <c:v>Taux 10 ans</c:v>
                </c:pt>
                <c:pt idx="3">
                  <c:v>Spread crédit</c:v>
                </c:pt>
              </c:strCache>
            </c:strRef>
          </c:cat>
          <c:val>
            <c:numRef>
              <c:f>Comité!$D$29:$D$32</c:f>
              <c:numCache>
                <c:formatCode>#\ ##0;\(#\ ##0\);"-"</c:formatCode>
                <c:ptCount val="4"/>
                <c:pt idx="0">
                  <c:v>1806877.3790835463</c:v>
                </c:pt>
                <c:pt idx="1">
                  <c:v>6334827.7018611412</c:v>
                </c:pt>
                <c:pt idx="2">
                  <c:v>3741392.3197818869</c:v>
                </c:pt>
                <c:pt idx="3">
                  <c:v>16792486.982769031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2F-444E-9175-5DEE6BCF0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\ ##0;\(#\ 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27</xdr:row>
      <xdr:rowOff>0</xdr:rowOff>
    </xdr:from>
    <xdr:ext cx="432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44"/>
  <sheetViews>
    <sheetView showGridLines="0" tabSelected="1" workbookViewId="0"/>
  </sheetViews>
  <sheetFormatPr baseColWidth="10" defaultColWidth="8.83203125" defaultRowHeight="15" x14ac:dyDescent="0.2"/>
  <cols>
    <col min="1" max="1" width="2" customWidth="1"/>
    <col min="2" max="2" width="40" customWidth="1"/>
    <col min="3" max="5" width="17" customWidth="1"/>
    <col min="6" max="6" width="3" customWidth="1"/>
    <col min="7" max="7" width="32" customWidth="1"/>
    <col min="8" max="8" width="34" customWidth="1"/>
  </cols>
  <sheetData>
    <row r="2" spans="2:8" ht="18" x14ac:dyDescent="0.2">
      <c r="B2" s="1" t="s">
        <v>0</v>
      </c>
    </row>
    <row r="3" spans="2:8" x14ac:dyDescent="0.2">
      <c r="B3" s="2" t="s">
        <v>1</v>
      </c>
    </row>
    <row r="5" spans="2:8" ht="30" customHeight="1" x14ac:dyDescent="0.2">
      <c r="B5" s="3" t="s">
        <v>2</v>
      </c>
      <c r="C5" s="3" t="s">
        <v>3</v>
      </c>
      <c r="D5" s="3" t="s">
        <v>4</v>
      </c>
      <c r="E5" s="3" t="s">
        <v>5</v>
      </c>
      <c r="G5" s="3" t="s">
        <v>6</v>
      </c>
      <c r="H5" s="3" t="s">
        <v>7</v>
      </c>
    </row>
    <row r="6" spans="2:8" x14ac:dyDescent="0.2">
      <c r="B6" s="4" t="s">
        <v>8</v>
      </c>
      <c r="C6" s="5">
        <f>RL_NAV</f>
        <v>2592226795.7800007</v>
      </c>
      <c r="D6" s="5">
        <f>RL_NAV</f>
        <v>2592226795.7800007</v>
      </c>
      <c r="E6" s="5">
        <f t="shared" ref="E6:E15" si="0">D6-C6</f>
        <v>0</v>
      </c>
      <c r="G6" s="4" t="str">
        <f>INDEX(Positions!$C$7:$C$173,MATCH(H6,Positions!$W$7:$W$173,0))</f>
        <v>MALA HU 4.5 06-35</v>
      </c>
      <c r="H6" s="5">
        <f>LARGE(Positions!$W$7:$W$173,1)</f>
        <v>793821.24560952641</v>
      </c>
    </row>
    <row r="7" spans="2:8" x14ac:dyDescent="0.2">
      <c r="B7" s="4" t="s">
        <v>9</v>
      </c>
      <c r="C7" s="6">
        <f>RL_NAV/RL_Actif_Net</f>
        <v>0.66015836706215547</v>
      </c>
      <c r="D7" s="6">
        <f>RL_NAV/RL_Actif_Net</f>
        <v>0.66015836706215547</v>
      </c>
      <c r="E7" s="6">
        <f t="shared" si="0"/>
        <v>0</v>
      </c>
      <c r="G7" s="4" t="str">
        <f>INDEX(Positions!$C$7:$C$173,MATCH(H7,Positions!$W$7:$W$173,0))</f>
        <v>BUND DE 0.0 08-29</v>
      </c>
      <c r="H7" s="5">
        <f>LARGE(Positions!$W$7:$W$173,2)</f>
        <v>765111.87067756651</v>
      </c>
    </row>
    <row r="8" spans="2:8" x14ac:dyDescent="0.2">
      <c r="B8" s="4" t="s">
        <v>10</v>
      </c>
      <c r="C8" s="6">
        <f>RL_Confiance</f>
        <v>0.99</v>
      </c>
      <c r="D8" s="6">
        <f>RL_Confiance</f>
        <v>0.99</v>
      </c>
      <c r="E8" s="6">
        <f t="shared" si="0"/>
        <v>0</v>
      </c>
      <c r="G8" s="4" t="str">
        <f>INDEX(Positions!$C$7:$C$173,MATCH(H8,Positions!$W$7:$W$173,0))</f>
        <v>APIC PR 5.375 10-34</v>
      </c>
      <c r="H8" s="5">
        <f>LARGE(Positions!$W$7:$W$173,3)</f>
        <v>709084.50556370406</v>
      </c>
    </row>
    <row r="9" spans="2:8" x14ac:dyDescent="0.2">
      <c r="B9" s="4" t="s">
        <v>11</v>
      </c>
      <c r="C9" s="5">
        <f>Calculs!I16</f>
        <v>20982291.93790577</v>
      </c>
      <c r="D9" s="5">
        <f>Calculs!J16</f>
        <v>20535073.5328479</v>
      </c>
      <c r="E9" s="5">
        <f t="shared" si="0"/>
        <v>-447218.40505786985</v>
      </c>
      <c r="G9" s="4" t="str">
        <f>INDEX(Positions!$C$7:$C$173,MATCH(H9,Positions!$W$7:$W$173,0))</f>
        <v>VOLK WI 5.5 12-35</v>
      </c>
      <c r="H9" s="5">
        <f>LARGE(Positions!$W$7:$W$173,4)</f>
        <v>597869.32595173887</v>
      </c>
    </row>
    <row r="10" spans="2:8" x14ac:dyDescent="0.2">
      <c r="B10" s="4" t="s">
        <v>12</v>
      </c>
      <c r="C10" s="5">
        <f>Calculs!I17</f>
        <v>29274800.070492469</v>
      </c>
      <c r="D10" s="5">
        <f>Calculs!J17</f>
        <v>28675584.383495606</v>
      </c>
      <c r="E10" s="5">
        <f t="shared" si="0"/>
        <v>-599215.68699686229</v>
      </c>
      <c r="G10" s="4" t="str">
        <f>INDEX(Positions!$C$7:$C$173,MATCH(H10,Positions!$W$7:$W$173,0))</f>
        <v>TEREGA 4.0 09-34</v>
      </c>
      <c r="H10" s="5">
        <f>LARGE(Positions!$W$7:$W$173,5)</f>
        <v>559101.05956688733</v>
      </c>
    </row>
    <row r="11" spans="2:8" x14ac:dyDescent="0.2">
      <c r="B11" s="4" t="s">
        <v>13</v>
      </c>
      <c r="C11" s="6">
        <f>C9/RL_NAV</f>
        <v>8.0943117986681419E-3</v>
      </c>
      <c r="D11" s="6">
        <f>D9/RL_NAV</f>
        <v>7.9217889292240336E-3</v>
      </c>
      <c r="E11" s="6">
        <f t="shared" si="0"/>
        <v>-1.7252286944410833E-4</v>
      </c>
      <c r="G11" s="4" t="str">
        <f>INDEX(Positions!$C$7:$C$173,MATCH(H11,Positions!$W$7:$W$173,0))</f>
        <v>EATO CA 3.802 05-36</v>
      </c>
      <c r="H11" s="5">
        <f>LARGE(Positions!$W$7:$W$173,6)</f>
        <v>538687.32763138169</v>
      </c>
    </row>
    <row r="12" spans="2:8" x14ac:dyDescent="0.2">
      <c r="B12" s="4" t="s">
        <v>14</v>
      </c>
      <c r="C12" s="7">
        <f>Calculs!I10+Calculs!I11+Calculs!I12</f>
        <v>4.8994040010431075</v>
      </c>
      <c r="D12" s="7">
        <f>Calculs!J10+Calculs!J11+Calculs!J12</f>
        <v>4.8407486377389546</v>
      </c>
      <c r="E12" s="7">
        <f t="shared" si="0"/>
        <v>-5.8655363304152885E-2</v>
      </c>
      <c r="G12" s="4" t="str">
        <f>INDEX(Positions!$C$7:$C$173,MATCH(H12,Positions!$W$7:$W$173,0))</f>
        <v>WERF 3.625 02-32</v>
      </c>
      <c r="H12" s="5">
        <f>LARGE(Positions!$W$7:$W$173,7)</f>
        <v>521813.22712066682</v>
      </c>
    </row>
    <row r="13" spans="2:8" x14ac:dyDescent="0.2">
      <c r="B13" s="4" t="s">
        <v>15</v>
      </c>
      <c r="C13" s="5">
        <f>Positions!Y175</f>
        <v>305562031.7256428</v>
      </c>
      <c r="D13" s="5">
        <f>Positions!Z175</f>
        <v>301760831.61381191</v>
      </c>
      <c r="E13" s="5">
        <f t="shared" si="0"/>
        <v>-3801200.1118308902</v>
      </c>
      <c r="G13" s="4" t="str">
        <f>INDEX(Positions!$C$7:$C$173,MATCH(H13,Positions!$W$7:$W$173,0))</f>
        <v>ASK CHE 10.0 11-29</v>
      </c>
      <c r="H13" s="5">
        <f>LARGE(Positions!$W$7:$W$173,8)</f>
        <v>470387.1086554791</v>
      </c>
    </row>
    <row r="14" spans="2:8" x14ac:dyDescent="0.2">
      <c r="B14" s="4" t="s">
        <v>16</v>
      </c>
      <c r="C14" s="5">
        <f>Positions!AA175</f>
        <v>283116696.50466722</v>
      </c>
      <c r="D14" s="5">
        <f>Positions!AB175</f>
        <v>279717741.51715124</v>
      </c>
      <c r="E14" s="5">
        <f t="shared" si="0"/>
        <v>-3398954.987515986</v>
      </c>
      <c r="G14" s="4" t="str">
        <f>INDEX(Positions!$C$7:$C$173,MATCH(H14,Positions!$W$7:$W$173,0))</f>
        <v>AUST PA 4.0 06-34</v>
      </c>
      <c r="H14" s="5">
        <f>LARGE(Positions!$W$7:$W$173,9)</f>
        <v>470110.00396154448</v>
      </c>
    </row>
    <row r="15" spans="2:8" x14ac:dyDescent="0.2">
      <c r="B15" s="4" t="s">
        <v>17</v>
      </c>
      <c r="C15" s="5">
        <f>Positions!J174</f>
        <v>0</v>
      </c>
      <c r="D15" s="5">
        <f>Positions!S174</f>
        <v>20000000</v>
      </c>
      <c r="E15" s="5">
        <f t="shared" si="0"/>
        <v>20000000</v>
      </c>
      <c r="G15" s="4" t="str">
        <f>INDEX(Positions!$C$7:$C$173,MATCH(H15,Positions!$W$7:$W$173,0))</f>
        <v>LAGA 4.75 06-30</v>
      </c>
      <c r="H15" s="5">
        <f>LARGE(Positions!$W$7:$W$173,10)</f>
        <v>448258.08669542475</v>
      </c>
    </row>
    <row r="17" spans="2:8" x14ac:dyDescent="0.2">
      <c r="B17" s="8" t="s">
        <v>18</v>
      </c>
      <c r="C17" s="9" t="str">
        <f>"Taux "&amp;TEXT(RL_Choc_Taux,"+0;-0")&amp;" pb, spreads "&amp;TEXT(RL_Choc_Spread,"+0;-0")&amp;" pb"</f>
        <v>Taux +100 pb, spreads +150 pb</v>
      </c>
    </row>
    <row r="19" spans="2:8" ht="30" customHeight="1" x14ac:dyDescent="0.2">
      <c r="B19" s="3" t="s">
        <v>19</v>
      </c>
      <c r="C19" s="3" t="s">
        <v>20</v>
      </c>
      <c r="D19" s="3"/>
      <c r="E19" s="3"/>
      <c r="G19" s="3" t="s">
        <v>21</v>
      </c>
      <c r="H19" s="3" t="s">
        <v>22</v>
      </c>
    </row>
    <row r="20" spans="2:8" x14ac:dyDescent="0.2">
      <c r="B20" s="4" t="s">
        <v>23</v>
      </c>
      <c r="C20" s="10" t="str">
        <f>INDEX(Positions!$C$7:$C$173,MATCH(RL_ISIN_Vente,RL_Liste_ISIN,0))</f>
        <v>KLES PR 5.07 07-35</v>
      </c>
      <c r="G20" s="4" t="s">
        <v>24</v>
      </c>
      <c r="H20" s="10">
        <f>COUNTIF(Inventaire!$W$7:$W$175,"À instruire")</f>
        <v>2</v>
      </c>
    </row>
    <row r="21" spans="2:8" x14ac:dyDescent="0.2">
      <c r="B21" s="4" t="s">
        <v>25</v>
      </c>
      <c r="C21" s="11">
        <f>RL_Montant_Vente</f>
        <v>20000000</v>
      </c>
      <c r="G21" s="4" t="s">
        <v>26</v>
      </c>
      <c r="H21" s="10">
        <f>COUNTIF(Inventaire!$W$7:$W$175,"À examiner")</f>
        <v>4</v>
      </c>
    </row>
    <row r="22" spans="2:8" x14ac:dyDescent="0.2">
      <c r="B22" s="4" t="s">
        <v>27</v>
      </c>
      <c r="C22" s="11">
        <f>INDEX(Positions!$V$7:$V$173,MATCH(RL_ISIN_Vente,RL_Liste_ISIN,0))/INDEX(Positions!$J$7:$J$173,MATCH(RL_ISIN_Vente,RL_Liste_ISIN,0))*1000000</f>
        <v>29960.784349843088</v>
      </c>
      <c r="G22" s="4" t="s">
        <v>28</v>
      </c>
      <c r="H22" s="10">
        <f>COUNTIF(Positions!$AC$7:$AC$173,"OUI")</f>
        <v>0</v>
      </c>
    </row>
    <row r="23" spans="2:8" x14ac:dyDescent="0.2">
      <c r="B23" s="4" t="s">
        <v>29</v>
      </c>
      <c r="C23" s="11">
        <f>IF(RL_Montant_Vente&gt;0,(C10-D10)/RL_Montant_Vente*1000000,0)</f>
        <v>29960.784349843114</v>
      </c>
      <c r="G23" s="4" t="s">
        <v>30</v>
      </c>
      <c r="H23" s="10" t="str">
        <f>Émetteurs!$J$12</f>
        <v>Aucun dépassement sur la section connue</v>
      </c>
    </row>
    <row r="24" spans="2:8" x14ac:dyDescent="0.2">
      <c r="B24" s="4" t="s">
        <v>31</v>
      </c>
      <c r="C24" s="11">
        <f>C10/RL_NAV*1000000</f>
        <v>11293.302005113981</v>
      </c>
      <c r="G24" s="4" t="s">
        <v>32</v>
      </c>
      <c r="H24" s="10">
        <f>COUNTIF(Contrôles!$E$6:$E$11,"ÉCART")</f>
        <v>0</v>
      </c>
    </row>
    <row r="25" spans="2:8" x14ac:dyDescent="0.2">
      <c r="B25" s="4" t="s">
        <v>33</v>
      </c>
      <c r="C25" s="12">
        <f>IF(C24&gt;0,C23/C24,0)</f>
        <v>2.6529693739063984</v>
      </c>
      <c r="G25" s="4" t="s">
        <v>34</v>
      </c>
      <c r="H25" s="10" t="str">
        <f>Backtest!$H$12</f>
        <v>Calibration non rejetée</v>
      </c>
    </row>
    <row r="28" spans="2:8" ht="30" customHeight="1" x14ac:dyDescent="0.2">
      <c r="B28" s="3" t="s">
        <v>35</v>
      </c>
      <c r="C28" s="3" t="s">
        <v>36</v>
      </c>
      <c r="D28" s="3" t="s">
        <v>37</v>
      </c>
      <c r="E28" s="3"/>
    </row>
    <row r="29" spans="2:8" x14ac:dyDescent="0.2">
      <c r="B29" s="9" t="s">
        <v>38</v>
      </c>
      <c r="C29" s="13">
        <f>RL_NAV*Calculs!I10*Calculs!I13</f>
        <v>1812072.0407663898</v>
      </c>
      <c r="D29" s="13">
        <f>RL_NAV*Calculs!J10*Calculs!J13</f>
        <v>1806877.3790835463</v>
      </c>
    </row>
    <row r="30" spans="2:8" x14ac:dyDescent="0.2">
      <c r="B30" s="9" t="s">
        <v>39</v>
      </c>
      <c r="C30" s="13">
        <f>RL_NAV*Calculs!I11*Calculs!I14</f>
        <v>6351136.6646147147</v>
      </c>
      <c r="D30" s="13">
        <f>RL_NAV*Calculs!J11*Calculs!J14</f>
        <v>6334827.7018611412</v>
      </c>
    </row>
    <row r="31" spans="2:8" x14ac:dyDescent="0.2">
      <c r="B31" s="9" t="s">
        <v>40</v>
      </c>
      <c r="C31" s="13">
        <f>RL_NAV*Calculs!I12*Calculs!I15</f>
        <v>3859657.3933812338</v>
      </c>
      <c r="D31" s="13">
        <f>RL_NAV*Calculs!J12*Calculs!J15</f>
        <v>3741392.3197818869</v>
      </c>
    </row>
    <row r="32" spans="2:8" x14ac:dyDescent="0.2">
      <c r="B32" s="9" t="s">
        <v>41</v>
      </c>
      <c r="C32" s="13">
        <f>RL_NAV*Calculs!I21*Calculs!I22</f>
        <v>17251933.971730132</v>
      </c>
      <c r="D32" s="13">
        <f>RL_NAV*Calculs!J21*Calculs!J22</f>
        <v>16792486.982769031</v>
      </c>
    </row>
    <row r="42" spans="2:2" x14ac:dyDescent="0.2">
      <c r="B42" s="14" t="s">
        <v>42</v>
      </c>
    </row>
    <row r="43" spans="2:2" x14ac:dyDescent="0.2">
      <c r="B43" s="14" t="s">
        <v>43</v>
      </c>
    </row>
    <row r="44" spans="2:2" x14ac:dyDescent="0.2">
      <c r="B44" s="14" t="s">
        <v>44</v>
      </c>
    </row>
  </sheetData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D22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38" customWidth="1"/>
    <col min="3" max="3" width="20" customWidth="1"/>
    <col min="4" max="4" width="70" customWidth="1"/>
  </cols>
  <sheetData>
    <row r="2" spans="2:4" ht="18" x14ac:dyDescent="0.2">
      <c r="B2" s="1" t="s">
        <v>45</v>
      </c>
    </row>
    <row r="3" spans="2:4" x14ac:dyDescent="0.2">
      <c r="B3" s="2" t="s">
        <v>46</v>
      </c>
    </row>
    <row r="5" spans="2:4" ht="30" customHeight="1" x14ac:dyDescent="0.2">
      <c r="B5" s="3" t="s">
        <v>47</v>
      </c>
      <c r="C5" s="3" t="s">
        <v>20</v>
      </c>
      <c r="D5" s="3" t="s">
        <v>48</v>
      </c>
    </row>
    <row r="6" spans="2:4" x14ac:dyDescent="0.2">
      <c r="B6" s="9" t="s">
        <v>10</v>
      </c>
      <c r="C6" s="15">
        <v>0.99</v>
      </c>
      <c r="D6" s="14" t="s">
        <v>49</v>
      </c>
    </row>
    <row r="7" spans="2:4" x14ac:dyDescent="0.2">
      <c r="B7" s="9" t="s">
        <v>50</v>
      </c>
      <c r="C7" s="16">
        <v>100</v>
      </c>
      <c r="D7" s="14" t="s">
        <v>51</v>
      </c>
    </row>
    <row r="8" spans="2:4" x14ac:dyDescent="0.2">
      <c r="B8" s="9" t="s">
        <v>52</v>
      </c>
      <c r="C8" s="16">
        <v>150</v>
      </c>
      <c r="D8" s="14" t="s">
        <v>53</v>
      </c>
    </row>
    <row r="9" spans="2:4" x14ac:dyDescent="0.2">
      <c r="B9" s="9" t="s">
        <v>54</v>
      </c>
      <c r="C9" s="17" t="s">
        <v>55</v>
      </c>
      <c r="D9" s="14" t="s">
        <v>56</v>
      </c>
    </row>
    <row r="10" spans="2:4" x14ac:dyDescent="0.2">
      <c r="B10" s="9" t="s">
        <v>57</v>
      </c>
      <c r="C10" s="16">
        <v>20000000</v>
      </c>
      <c r="D10" s="14" t="s">
        <v>58</v>
      </c>
    </row>
    <row r="11" spans="2:4" x14ac:dyDescent="0.2">
      <c r="B11" s="9" t="s">
        <v>59</v>
      </c>
      <c r="C11" s="16">
        <v>600</v>
      </c>
      <c r="D11" s="14" t="s">
        <v>60</v>
      </c>
    </row>
    <row r="12" spans="2:4" x14ac:dyDescent="0.2">
      <c r="B12" s="9" t="s">
        <v>61</v>
      </c>
      <c r="C12" s="18">
        <v>5</v>
      </c>
      <c r="D12" s="14" t="s">
        <v>62</v>
      </c>
    </row>
    <row r="13" spans="2:4" x14ac:dyDescent="0.2">
      <c r="B13" s="9" t="s">
        <v>63</v>
      </c>
      <c r="C13" s="15">
        <v>0.1</v>
      </c>
      <c r="D13" s="14" t="s">
        <v>64</v>
      </c>
    </row>
    <row r="14" spans="2:4" x14ac:dyDescent="0.2">
      <c r="B14" s="9" t="s">
        <v>65</v>
      </c>
      <c r="C14" s="15">
        <v>0.05</v>
      </c>
      <c r="D14" s="14" t="s">
        <v>66</v>
      </c>
    </row>
    <row r="15" spans="2:4" x14ac:dyDescent="0.2">
      <c r="B15" s="9" t="s">
        <v>67</v>
      </c>
      <c r="C15" s="15">
        <v>0.1</v>
      </c>
      <c r="D15" s="14" t="s">
        <v>66</v>
      </c>
    </row>
    <row r="16" spans="2:4" x14ac:dyDescent="0.2">
      <c r="B16" s="9" t="s">
        <v>68</v>
      </c>
      <c r="C16" s="15">
        <v>0.4</v>
      </c>
      <c r="D16" s="14" t="s">
        <v>66</v>
      </c>
    </row>
    <row r="18" spans="2:3" x14ac:dyDescent="0.2">
      <c r="B18" s="8" t="s">
        <v>69</v>
      </c>
      <c r="C18" s="19">
        <v>45838</v>
      </c>
    </row>
    <row r="19" spans="2:3" x14ac:dyDescent="0.2">
      <c r="B19" s="8" t="s">
        <v>70</v>
      </c>
      <c r="C19" s="13">
        <v>3926674151.4099998</v>
      </c>
    </row>
    <row r="20" spans="2:3" x14ac:dyDescent="0.2">
      <c r="B20" s="8" t="s">
        <v>71</v>
      </c>
      <c r="C20" s="8" t="str">
        <f>IF(AND(OR(RL_Confiance=0.95,RL_Confiance=0.99),RL_Choc_Taux&gt;=-300,RL_Choc_Taux&lt;=300,RL_Choc_Spread&gt;=-200,RL_Choc_Spread&lt;=500,ISNUMBER(MATCH(RL_ISIN_Vente,RL_Liste_ISIN,0)),RL_Montant_Vente&gt;=0,RL_Montant_Vente&lt;=IFERROR(INDEX(Positions!$J$7:$J$173,MATCH(RL_ISIN_Vente,RL_Liste_ISIN,0)),0),RL_Spread_Revue&gt;0,RL_Age_Prix&gt;=0,RL_Seuil_Ligne&gt;0,RL_Seuil_Emetteur_5&gt;0,RL_Seuil_Emetteur_10&gt;0,RL_Seuil_Cumul_40&gt;0),"OK","À CORRIGER")</f>
        <v>OK</v>
      </c>
    </row>
    <row r="22" spans="2:3" x14ac:dyDescent="0.2">
      <c r="B22" s="14" t="s">
        <v>72</v>
      </c>
    </row>
  </sheetData>
  <conditionalFormatting sqref="C20">
    <cfRule type="cellIs" dxfId="8" priority="1" operator="notEqual">
      <formula>"OK"</formula>
    </cfRule>
  </conditionalFormatting>
  <dataValidations count="2">
    <dataValidation type="list" sqref="C6" xr:uid="{00000000-0002-0000-0100-000000000000}">
      <formula1>"0.95,0.99"</formula1>
    </dataValidation>
    <dataValidation type="list" sqref="C9" xr:uid="{00000000-0002-0000-0100-000001000000}">
      <formula1>RL_Liste_ISIN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F175"/>
  <sheetViews>
    <sheetView showGridLines="0"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3" width="24" customWidth="1"/>
    <col min="4" max="4" width="14" customWidth="1"/>
    <col min="5" max="5" width="11" customWidth="1"/>
    <col min="6" max="6" width="9" customWidth="1"/>
    <col min="7" max="7" width="14" customWidth="1"/>
    <col min="8" max="8" width="9" customWidth="1"/>
    <col min="9" max="9" width="13" customWidth="1"/>
    <col min="10" max="10" width="15" customWidth="1"/>
    <col min="11" max="11" width="9" customWidth="1"/>
    <col min="12" max="15" width="10" customWidth="1"/>
    <col min="16" max="16" width="9" customWidth="1"/>
    <col min="17" max="17" width="10" customWidth="1"/>
    <col min="18" max="18" width="9" customWidth="1"/>
    <col min="19" max="19" width="15" customWidth="1"/>
    <col min="20" max="21" width="9" customWidth="1"/>
    <col min="22" max="23" width="14" customWidth="1"/>
    <col min="24" max="24" width="12" customWidth="1"/>
    <col min="25" max="28" width="14" customWidth="1"/>
    <col min="29" max="30" width="11" customWidth="1"/>
    <col min="31" max="31" width="9" customWidth="1"/>
    <col min="32" max="32" width="11" customWidth="1"/>
  </cols>
  <sheetData>
    <row r="2" spans="2:32" ht="18" x14ac:dyDescent="0.2">
      <c r="B2" s="1" t="s">
        <v>73</v>
      </c>
    </row>
    <row r="3" spans="2:32" x14ac:dyDescent="0.2">
      <c r="B3" s="2" t="s">
        <v>74</v>
      </c>
    </row>
    <row r="6" spans="2:32" ht="30" customHeight="1" x14ac:dyDescent="0.2">
      <c r="B6" s="3" t="s">
        <v>75</v>
      </c>
      <c r="C6" s="3" t="s">
        <v>76</v>
      </c>
      <c r="D6" s="3" t="s">
        <v>77</v>
      </c>
      <c r="E6" s="3" t="s">
        <v>78</v>
      </c>
      <c r="F6" s="3" t="s">
        <v>79</v>
      </c>
      <c r="G6" s="3" t="s">
        <v>80</v>
      </c>
      <c r="H6" s="3" t="s">
        <v>81</v>
      </c>
      <c r="I6" s="3" t="s">
        <v>82</v>
      </c>
      <c r="J6" s="3" t="s">
        <v>83</v>
      </c>
      <c r="K6" s="3" t="s">
        <v>84</v>
      </c>
      <c r="L6" s="3" t="s">
        <v>85</v>
      </c>
      <c r="M6" s="3" t="s">
        <v>86</v>
      </c>
      <c r="N6" s="3" t="s">
        <v>87</v>
      </c>
      <c r="O6" s="3" t="s">
        <v>88</v>
      </c>
      <c r="P6" s="3" t="s">
        <v>89</v>
      </c>
      <c r="Q6" s="3" t="s">
        <v>90</v>
      </c>
      <c r="R6" s="3" t="s">
        <v>91</v>
      </c>
      <c r="S6" s="3" t="s">
        <v>92</v>
      </c>
      <c r="T6" s="3" t="s">
        <v>93</v>
      </c>
      <c r="U6" s="3" t="s">
        <v>94</v>
      </c>
      <c r="V6" s="3" t="s">
        <v>95</v>
      </c>
      <c r="W6" s="3" t="s">
        <v>96</v>
      </c>
      <c r="X6" s="3" t="s">
        <v>97</v>
      </c>
      <c r="Y6" s="3" t="s">
        <v>98</v>
      </c>
      <c r="Z6" s="3" t="s">
        <v>99</v>
      </c>
      <c r="AA6" s="3" t="s">
        <v>100</v>
      </c>
      <c r="AB6" s="3" t="s">
        <v>101</v>
      </c>
      <c r="AC6" s="3" t="s">
        <v>102</v>
      </c>
      <c r="AD6" s="3" t="s">
        <v>103</v>
      </c>
      <c r="AE6" s="3" t="s">
        <v>104</v>
      </c>
      <c r="AF6" s="3" t="s">
        <v>105</v>
      </c>
    </row>
    <row r="7" spans="2:32" x14ac:dyDescent="0.2">
      <c r="B7" s="9" t="s">
        <v>106</v>
      </c>
      <c r="C7" s="9" t="s">
        <v>107</v>
      </c>
      <c r="D7" s="9" t="s">
        <v>108</v>
      </c>
      <c r="E7" s="19">
        <v>47939</v>
      </c>
      <c r="F7" s="20">
        <v>4.25</v>
      </c>
      <c r="G7" s="13">
        <v>19900000</v>
      </c>
      <c r="H7" s="21">
        <v>101.3925</v>
      </c>
      <c r="I7" s="22">
        <v>213175.34</v>
      </c>
      <c r="J7" s="22">
        <v>20390282.84</v>
      </c>
      <c r="K7" s="21">
        <f t="shared" ref="K7:K38" si="0">J7/G7*100</f>
        <v>102.4637328643216</v>
      </c>
      <c r="L7" s="23">
        <v>167.86978336163961</v>
      </c>
      <c r="M7" s="24">
        <v>0.24601555038003761</v>
      </c>
      <c r="N7" s="24">
        <v>4.2259685541108443</v>
      </c>
      <c r="O7" s="24">
        <v>0.70300248646041119</v>
      </c>
      <c r="P7" s="21">
        <f t="shared" ref="P7:P38" si="1">SUM(M7:O7)</f>
        <v>5.1749865909512929</v>
      </c>
      <c r="Q7" s="21">
        <f t="shared" ref="Q7:Q38" si="2">IF(R7="OUI",0,P7)</f>
        <v>5.1749865909512929</v>
      </c>
      <c r="R7" s="25" t="s">
        <v>109</v>
      </c>
      <c r="S7" s="13">
        <f t="shared" ref="S7:S38" si="3">IF(B7=RL_ISIN_Vente,J7-RL_Montant_Vente,J7)</f>
        <v>20390282.84</v>
      </c>
      <c r="T7" s="26">
        <f t="shared" ref="T7:T38" si="4">J7/RL_NAV</f>
        <v>7.8659332096999504E-3</v>
      </c>
      <c r="U7" s="26">
        <f t="shared" ref="U7:U38" si="5">S7/RL_NAV</f>
        <v>7.8659332096999504E-3</v>
      </c>
      <c r="V7" s="13">
        <f>RL_NAV*T7*(M7*Calculs!$I$13+N7*Calculs!$I$14+O7*Calculs!$I$15+AF7*Calculs!$I$22)</f>
        <v>282373.36510985589</v>
      </c>
      <c r="W7" s="13">
        <f>RL_NAV*U7*(M7*Calculs!$J$13+N7*Calculs!$J$14+O7*Calculs!$J$15+AF7*Calculs!$J$22)</f>
        <v>282373.36510985589</v>
      </c>
      <c r="X7" s="13">
        <f t="shared" ref="X7:X38" si="6">IF(S7&gt;0,W7/S7*1000000,0)</f>
        <v>13848.428063779418</v>
      </c>
      <c r="Y7" s="13">
        <f t="shared" ref="Y7:Y38" si="7">RL_NAV*T7*(P7*RL_Choc_Taux+Q7*RL_Choc_Spread)/10000</f>
        <v>2637986.0070676059</v>
      </c>
      <c r="Z7" s="13">
        <f t="shared" ref="Z7:Z38" si="8">RL_NAV*U7*(P7*RL_Choc_Taux+Q7*RL_Choc_Spread)/10000</f>
        <v>2637986.0070676059</v>
      </c>
      <c r="AA7" s="13">
        <f>RL_NAV*T7*(1-SUMPRODUCT((Flux!$B$7:$B$926=B7)*Flux!$F$7:$F$926*EXP(-(RL_Choc_Taux+IF(Q7&gt;0,RL_Choc_Spread,0))/10000*Flux!$D$7:$D$926))/K7)</f>
        <v>2464033.3330159974</v>
      </c>
      <c r="AB7" s="13">
        <f>RL_NAV*U7*(1-SUMPRODUCT((Flux!$B$7:$B$926=B7)*Flux!$F$7:$F$926*EXP(-(RL_Choc_Taux+IF(Q7&gt;0,RL_Choc_Spread,0))/10000*Flux!$D$7:$D$926))/K7)</f>
        <v>2464033.3330159974</v>
      </c>
      <c r="AC7" s="9" t="str">
        <f t="shared" ref="AC7:AC38" si="9">IF(U7&gt;RL_Seuil_Ligne,"OUI","")</f>
        <v/>
      </c>
      <c r="AD7" s="27">
        <f>SUMIF(Flux!$B$7:$B$926,B7,Flux!$F$7:$F$926)-K7</f>
        <v>0</v>
      </c>
      <c r="AE7" s="28">
        <v>1.554349845941108</v>
      </c>
      <c r="AF7" s="21">
        <f t="shared" ref="AF7:AF38" si="10">Q7*AE7</f>
        <v>8.0437396103924428</v>
      </c>
    </row>
    <row r="8" spans="2:32" x14ac:dyDescent="0.2">
      <c r="B8" s="9" t="s">
        <v>110</v>
      </c>
      <c r="C8" s="9" t="s">
        <v>111</v>
      </c>
      <c r="D8" s="9" t="s">
        <v>112</v>
      </c>
      <c r="E8" s="19">
        <v>46104</v>
      </c>
      <c r="F8" s="20">
        <v>0.875</v>
      </c>
      <c r="G8" s="13">
        <v>10200000</v>
      </c>
      <c r="H8" s="21">
        <v>98.808499999999995</v>
      </c>
      <c r="I8" s="22">
        <v>24696.58</v>
      </c>
      <c r="J8" s="22">
        <v>10103163.58</v>
      </c>
      <c r="K8" s="21">
        <f t="shared" si="0"/>
        <v>99.050623333333334</v>
      </c>
      <c r="L8" s="23">
        <v>66.119016362633971</v>
      </c>
      <c r="M8" s="24">
        <v>0.72826830937713893</v>
      </c>
      <c r="N8" s="24">
        <v>0</v>
      </c>
      <c r="O8" s="24">
        <v>0</v>
      </c>
      <c r="P8" s="21">
        <f t="shared" si="1"/>
        <v>0.72826830937713893</v>
      </c>
      <c r="Q8" s="21">
        <f t="shared" si="2"/>
        <v>0.72826830937713893</v>
      </c>
      <c r="R8" s="25" t="s">
        <v>109</v>
      </c>
      <c r="S8" s="13">
        <f t="shared" si="3"/>
        <v>10103163.58</v>
      </c>
      <c r="T8" s="26">
        <f t="shared" si="4"/>
        <v>3.8974844317045797E-3</v>
      </c>
      <c r="U8" s="26">
        <f t="shared" si="5"/>
        <v>3.8974844317045797E-3</v>
      </c>
      <c r="V8" s="13">
        <f>RL_NAV*T8*(M8*Calculs!$I$13+N8*Calculs!$I$14+O8*Calculs!$I$15+AF8*Calculs!$I$22)</f>
        <v>11709.906881673456</v>
      </c>
      <c r="W8" s="13">
        <f>RL_NAV*U8*(M8*Calculs!$J$13+N8*Calculs!$J$14+O8*Calculs!$J$15+AF8*Calculs!$J$22)</f>
        <v>11709.906881673456</v>
      </c>
      <c r="X8" s="13">
        <f t="shared" si="6"/>
        <v>1159.0336817721263</v>
      </c>
      <c r="Y8" s="13">
        <f t="shared" si="7"/>
        <v>183945.34649418204</v>
      </c>
      <c r="Z8" s="13">
        <f t="shared" si="8"/>
        <v>183945.34649418204</v>
      </c>
      <c r="AA8" s="13">
        <f>RL_NAV*T8*(1-SUMPRODUCT((Flux!$B$7:$B$926=B8)*Flux!$F$7:$F$926*EXP(-(RL_Choc_Taux+IF(Q8&gt;0,RL_Choc_Spread,0))/10000*Flux!$D$7:$D$926))/K8)</f>
        <v>182280.94332054706</v>
      </c>
      <c r="AB8" s="13">
        <f>RL_NAV*U8*(1-SUMPRODUCT((Flux!$B$7:$B$926=B8)*Flux!$F$7:$F$926*EXP(-(RL_Choc_Taux+IF(Q8&gt;0,RL_Choc_Spread,0))/10000*Flux!$D$7:$D$926))/K8)</f>
        <v>182280.94332054706</v>
      </c>
      <c r="AC8" s="9" t="str">
        <f t="shared" si="9"/>
        <v/>
      </c>
      <c r="AD8" s="27">
        <f>SUMIF(Flux!$B$7:$B$926,B8,Flux!$F$7:$F$926)-K8</f>
        <v>0</v>
      </c>
      <c r="AE8" s="28">
        <v>0.61221311446883331</v>
      </c>
      <c r="AF8" s="21">
        <f t="shared" si="10"/>
        <v>0.44585540985273009</v>
      </c>
    </row>
    <row r="9" spans="2:32" x14ac:dyDescent="0.2">
      <c r="B9" s="9" t="s">
        <v>113</v>
      </c>
      <c r="C9" s="9" t="s">
        <v>114</v>
      </c>
      <c r="D9" s="9" t="s">
        <v>112</v>
      </c>
      <c r="E9" s="19">
        <v>49647</v>
      </c>
      <c r="F9" s="20">
        <v>5.5</v>
      </c>
      <c r="G9" s="13">
        <v>21300000</v>
      </c>
      <c r="H9" s="21">
        <v>102.19499999999999</v>
      </c>
      <c r="I9" s="22">
        <v>965288.29</v>
      </c>
      <c r="J9" s="22">
        <v>22732823.289999999</v>
      </c>
      <c r="K9" s="21">
        <f t="shared" si="0"/>
        <v>106.72686990610327</v>
      </c>
      <c r="L9" s="23">
        <v>233.13591012152111</v>
      </c>
      <c r="M9" s="24">
        <v>0.30335586963154593</v>
      </c>
      <c r="N9" s="24">
        <v>0.88019325771802137</v>
      </c>
      <c r="O9" s="24">
        <v>6.8010578382637519</v>
      </c>
      <c r="P9" s="21">
        <f t="shared" si="1"/>
        <v>7.9846069656133194</v>
      </c>
      <c r="Q9" s="21">
        <f t="shared" si="2"/>
        <v>7.9846069656133194</v>
      </c>
      <c r="R9" s="25" t="s">
        <v>109</v>
      </c>
      <c r="S9" s="13">
        <f t="shared" si="3"/>
        <v>22732823.289999999</v>
      </c>
      <c r="T9" s="26">
        <f t="shared" si="4"/>
        <v>8.7696120289350275E-3</v>
      </c>
      <c r="U9" s="26">
        <f t="shared" si="5"/>
        <v>8.7696120289350275E-3</v>
      </c>
      <c r="V9" s="13">
        <f>RL_NAV*T9*(M9*Calculs!$I$13+N9*Calculs!$I$14+O9*Calculs!$I$15+AF9*Calculs!$I$22)</f>
        <v>597869.32595173887</v>
      </c>
      <c r="W9" s="13">
        <f>RL_NAV*U9*(M9*Calculs!$J$13+N9*Calculs!$J$14+O9*Calculs!$J$15+AF9*Calculs!$J$22)</f>
        <v>597869.32595173887</v>
      </c>
      <c r="X9" s="13">
        <f t="shared" si="6"/>
        <v>26299.827272872753</v>
      </c>
      <c r="Y9" s="13">
        <f t="shared" si="7"/>
        <v>4537816.4797347663</v>
      </c>
      <c r="Z9" s="13">
        <f t="shared" si="8"/>
        <v>4537816.4797347663</v>
      </c>
      <c r="AA9" s="13">
        <f>RL_NAV*T9*(1-SUMPRODUCT((Flux!$B$7:$B$926=B9)*Flux!$F$7:$F$926*EXP(-(RL_Choc_Taux+IF(Q9&gt;0,RL_Choc_Spread,0))/10000*Flux!$D$7:$D$926))/K9)</f>
        <v>4042749.1934317336</v>
      </c>
      <c r="AB9" s="13">
        <f>RL_NAV*U9*(1-SUMPRODUCT((Flux!$B$7:$B$926=B9)*Flux!$F$7:$F$926*EXP(-(RL_Choc_Taux+IF(Q9&gt;0,RL_Choc_Spread,0))/10000*Flux!$D$7:$D$926))/K9)</f>
        <v>4042749.1934317336</v>
      </c>
      <c r="AC9" s="9" t="str">
        <f t="shared" si="9"/>
        <v/>
      </c>
      <c r="AD9" s="27">
        <f>SUMIF(Flux!$B$7:$B$926,B9,Flux!$F$7:$F$926)-K9</f>
        <v>0</v>
      </c>
      <c r="AE9" s="28">
        <v>2.1586658344585299</v>
      </c>
      <c r="AF9" s="21">
        <f t="shared" si="10"/>
        <v>17.236098258249065</v>
      </c>
    </row>
    <row r="10" spans="2:32" x14ac:dyDescent="0.2">
      <c r="B10" s="9" t="s">
        <v>115</v>
      </c>
      <c r="C10" s="9" t="s">
        <v>116</v>
      </c>
      <c r="D10" s="9" t="s">
        <v>117</v>
      </c>
      <c r="E10" s="19">
        <v>48714</v>
      </c>
      <c r="F10" s="20">
        <v>4</v>
      </c>
      <c r="G10" s="13">
        <v>20000000</v>
      </c>
      <c r="H10" s="21">
        <v>104.15</v>
      </c>
      <c r="I10" s="22">
        <v>105205.48</v>
      </c>
      <c r="J10" s="22">
        <v>20935205.48</v>
      </c>
      <c r="K10" s="21">
        <f t="shared" si="0"/>
        <v>104.6760274</v>
      </c>
      <c r="L10" s="23">
        <v>91.413756554638326</v>
      </c>
      <c r="M10" s="24">
        <v>0.22856527863417961</v>
      </c>
      <c r="N10" s="24">
        <v>3.10161114479176</v>
      </c>
      <c r="O10" s="24">
        <v>3.5597892310097921</v>
      </c>
      <c r="P10" s="21">
        <f t="shared" si="1"/>
        <v>6.8899656544357315</v>
      </c>
      <c r="Q10" s="21">
        <f t="shared" si="2"/>
        <v>6.8899656544357315</v>
      </c>
      <c r="R10" s="25" t="s">
        <v>109</v>
      </c>
      <c r="S10" s="13">
        <f t="shared" si="3"/>
        <v>20935205.48</v>
      </c>
      <c r="T10" s="26">
        <f t="shared" si="4"/>
        <v>8.0761473163078693E-3</v>
      </c>
      <c r="U10" s="26">
        <f t="shared" si="5"/>
        <v>8.0761473163078693E-3</v>
      </c>
      <c r="V10" s="13">
        <f>RL_NAV*T10*(M10*Calculs!$I$13+N10*Calculs!$I$14+O10*Calculs!$I$15+AF10*Calculs!$I$22)</f>
        <v>270150.98373940447</v>
      </c>
      <c r="W10" s="13">
        <f>RL_NAV*U10*(M10*Calculs!$J$13+N10*Calculs!$J$14+O10*Calculs!$J$15+AF10*Calculs!$J$22)</f>
        <v>270150.98373940447</v>
      </c>
      <c r="X10" s="13">
        <f t="shared" si="6"/>
        <v>12904.147704568146</v>
      </c>
      <c r="Y10" s="13">
        <f t="shared" si="7"/>
        <v>3606071.1681438675</v>
      </c>
      <c r="Z10" s="13">
        <f t="shared" si="8"/>
        <v>3606071.1681438675</v>
      </c>
      <c r="AA10" s="13">
        <f>RL_NAV*T10*(1-SUMPRODUCT((Flux!$B$7:$B$926=B10)*Flux!$F$7:$F$926*EXP(-(RL_Choc_Taux+IF(Q10&gt;0,RL_Choc_Spread,0))/10000*Flux!$D$7:$D$926))/K10)</f>
        <v>3289571.0527874883</v>
      </c>
      <c r="AB10" s="13">
        <f>RL_NAV*U10*(1-SUMPRODUCT((Flux!$B$7:$B$926=B10)*Flux!$F$7:$F$926*EXP(-(RL_Choc_Taux+IF(Q10&gt;0,RL_Choc_Spread,0))/10000*Flux!$D$7:$D$926))/K10)</f>
        <v>3289571.0527874883</v>
      </c>
      <c r="AC10" s="9" t="str">
        <f t="shared" si="9"/>
        <v/>
      </c>
      <c r="AD10" s="27">
        <f>SUMIF(Flux!$B$7:$B$926,B10,Flux!$F$7:$F$926)-K10</f>
        <v>0</v>
      </c>
      <c r="AE10" s="28">
        <v>0.84642367180220701</v>
      </c>
      <c r="AF10" s="21">
        <f t="shared" si="10"/>
        <v>5.8318300278185884</v>
      </c>
    </row>
    <row r="11" spans="2:32" x14ac:dyDescent="0.2">
      <c r="B11" s="9" t="s">
        <v>118</v>
      </c>
      <c r="C11" s="9" t="s">
        <v>119</v>
      </c>
      <c r="D11" s="9" t="s">
        <v>120</v>
      </c>
      <c r="E11" s="19">
        <v>47562</v>
      </c>
      <c r="F11" s="20">
        <v>4.25</v>
      </c>
      <c r="G11" s="13">
        <v>13300000</v>
      </c>
      <c r="H11" s="21">
        <v>102.4315</v>
      </c>
      <c r="I11" s="22">
        <v>161057.53</v>
      </c>
      <c r="J11" s="22">
        <v>13784447.029999999</v>
      </c>
      <c r="K11" s="21">
        <f t="shared" si="0"/>
        <v>103.64245887218044</v>
      </c>
      <c r="L11" s="23">
        <v>149.2471493669473</v>
      </c>
      <c r="M11" s="24">
        <v>0.60318469118645912</v>
      </c>
      <c r="N11" s="24">
        <v>3.729911695744025</v>
      </c>
      <c r="O11" s="24">
        <v>0</v>
      </c>
      <c r="P11" s="21">
        <f t="shared" si="1"/>
        <v>4.3330963869304844</v>
      </c>
      <c r="Q11" s="21">
        <f t="shared" si="2"/>
        <v>4.3330963869304844</v>
      </c>
      <c r="R11" s="25" t="s">
        <v>109</v>
      </c>
      <c r="S11" s="13">
        <f t="shared" si="3"/>
        <v>13784447.029999999</v>
      </c>
      <c r="T11" s="26">
        <f t="shared" si="4"/>
        <v>5.3176084177666491E-3</v>
      </c>
      <c r="U11" s="26">
        <f t="shared" si="5"/>
        <v>5.3176084177666491E-3</v>
      </c>
      <c r="V11" s="13">
        <f>RL_NAV*T11*(M11*Calculs!$I$13+N11*Calculs!$I$14+O11*Calculs!$I$15+AF11*Calculs!$I$22)</f>
        <v>148718.34431415275</v>
      </c>
      <c r="W11" s="13">
        <f>RL_NAV*U11*(M11*Calculs!$J$13+N11*Calculs!$J$14+O11*Calculs!$J$15+AF11*Calculs!$J$22)</f>
        <v>148718.34431415275</v>
      </c>
      <c r="X11" s="13">
        <f t="shared" si="6"/>
        <v>10788.850941244667</v>
      </c>
      <c r="Y11" s="13">
        <f t="shared" si="7"/>
        <v>1493233.440538191</v>
      </c>
      <c r="Z11" s="13">
        <f t="shared" si="8"/>
        <v>1493233.440538191</v>
      </c>
      <c r="AA11" s="13">
        <f>RL_NAV*T11*(1-SUMPRODUCT((Flux!$B$7:$B$926=B11)*Flux!$F$7:$F$926*EXP(-(RL_Choc_Taux+IF(Q11&gt;0,RL_Choc_Spread,0))/10000*Flux!$D$7:$D$926))/K11)</f>
        <v>1411148.2345452898</v>
      </c>
      <c r="AB11" s="13">
        <f>RL_NAV*U11*(1-SUMPRODUCT((Flux!$B$7:$B$926=B11)*Flux!$F$7:$F$926*EXP(-(RL_Choc_Taux+IF(Q11&gt;0,RL_Choc_Spread,0))/10000*Flux!$D$7:$D$926))/K11)</f>
        <v>1411148.2345452898</v>
      </c>
      <c r="AC11" s="9" t="str">
        <f t="shared" si="9"/>
        <v/>
      </c>
      <c r="AD11" s="27">
        <f>SUMIF(Flux!$B$7:$B$926,B11,Flux!$F$7:$F$926)-K11</f>
        <v>0</v>
      </c>
      <c r="AE11" s="28">
        <v>1.3819180496939569</v>
      </c>
      <c r="AF11" s="21">
        <f t="shared" si="10"/>
        <v>5.9879841081629062</v>
      </c>
    </row>
    <row r="12" spans="2:32" x14ac:dyDescent="0.2">
      <c r="B12" s="9" t="s">
        <v>121</v>
      </c>
      <c r="C12" s="9" t="s">
        <v>122</v>
      </c>
      <c r="D12" s="9" t="s">
        <v>123</v>
      </c>
      <c r="E12" s="19">
        <v>49066</v>
      </c>
      <c r="F12" s="20">
        <v>3.875</v>
      </c>
      <c r="G12" s="13">
        <v>10500000</v>
      </c>
      <c r="H12" s="21">
        <v>101.8145</v>
      </c>
      <c r="I12" s="22">
        <v>67998.289999999994</v>
      </c>
      <c r="J12" s="22">
        <v>10758520.789999999</v>
      </c>
      <c r="K12" s="21">
        <f t="shared" si="0"/>
        <v>102.46210276190475</v>
      </c>
      <c r="L12" s="23">
        <v>105.6200707747654</v>
      </c>
      <c r="M12" s="24">
        <v>0.22623465082667499</v>
      </c>
      <c r="N12" s="24">
        <v>2.146580422405548</v>
      </c>
      <c r="O12" s="24">
        <v>5.2305457834581448</v>
      </c>
      <c r="P12" s="21">
        <f t="shared" si="1"/>
        <v>7.6033608566903679</v>
      </c>
      <c r="Q12" s="21">
        <f t="shared" si="2"/>
        <v>7.6033608566903679</v>
      </c>
      <c r="R12" s="25" t="s">
        <v>109</v>
      </c>
      <c r="S12" s="13">
        <f t="shared" si="3"/>
        <v>10758520.789999999</v>
      </c>
      <c r="T12" s="26">
        <f t="shared" si="4"/>
        <v>4.1503007404731194E-3</v>
      </c>
      <c r="U12" s="26">
        <f t="shared" si="5"/>
        <v>4.1503007404731194E-3</v>
      </c>
      <c r="V12" s="13">
        <f>RL_NAV*T12*(M12*Calculs!$I$13+N12*Calculs!$I$14+O12*Calculs!$I$15+AF12*Calculs!$I$22)</f>
        <v>164126.80231759558</v>
      </c>
      <c r="W12" s="13">
        <f>RL_NAV*U12*(M12*Calculs!$J$13+N12*Calculs!$J$14+O12*Calculs!$J$15+AF12*Calculs!$J$22)</f>
        <v>164126.80231759558</v>
      </c>
      <c r="X12" s="13">
        <f t="shared" si="6"/>
        <v>15255.517512235581</v>
      </c>
      <c r="Y12" s="13">
        <f t="shared" si="7"/>
        <v>2045022.8962643882</v>
      </c>
      <c r="Z12" s="13">
        <f t="shared" si="8"/>
        <v>2045022.8962643882</v>
      </c>
      <c r="AA12" s="13">
        <f>RL_NAV*T12*(1-SUMPRODUCT((Flux!$B$7:$B$926=B12)*Flux!$F$7:$F$926*EXP(-(RL_Choc_Taux+IF(Q12&gt;0,RL_Choc_Spread,0))/10000*Flux!$D$7:$D$926))/K12)</f>
        <v>1846188.7285437111</v>
      </c>
      <c r="AB12" s="13">
        <f>RL_NAV*U12*(1-SUMPRODUCT((Flux!$B$7:$B$926=B12)*Flux!$F$7:$F$926*EXP(-(RL_Choc_Taux+IF(Q12&gt;0,RL_Choc_Spread,0))/10000*Flux!$D$7:$D$926))/K12)</f>
        <v>1846188.7285437111</v>
      </c>
      <c r="AC12" s="9" t="str">
        <f t="shared" si="9"/>
        <v/>
      </c>
      <c r="AD12" s="27">
        <f>SUMIF(Flux!$B$7:$B$926,B12,Flux!$F$7:$F$926)-K12</f>
        <v>0</v>
      </c>
      <c r="AE12" s="28">
        <v>0.97796361828486511</v>
      </c>
      <c r="AF12" s="21">
        <f t="shared" si="10"/>
        <v>7.4358102945344235</v>
      </c>
    </row>
    <row r="13" spans="2:32" x14ac:dyDescent="0.2">
      <c r="B13" s="9" t="s">
        <v>124</v>
      </c>
      <c r="C13" s="9" t="s">
        <v>125</v>
      </c>
      <c r="D13" s="9" t="s">
        <v>126</v>
      </c>
      <c r="E13" s="19">
        <v>47681</v>
      </c>
      <c r="F13" s="20">
        <v>5.125</v>
      </c>
      <c r="G13" s="13">
        <v>15000000</v>
      </c>
      <c r="H13" s="21">
        <v>106.0515</v>
      </c>
      <c r="I13" s="22">
        <v>737157.53</v>
      </c>
      <c r="J13" s="22">
        <v>16644882.529999999</v>
      </c>
      <c r="K13" s="21">
        <f t="shared" si="0"/>
        <v>110.96588353333333</v>
      </c>
      <c r="L13" s="23">
        <v>156.79600907189791</v>
      </c>
      <c r="M13" s="24">
        <v>0.26909160066545879</v>
      </c>
      <c r="N13" s="24">
        <v>4.0796470376624612</v>
      </c>
      <c r="O13" s="24">
        <v>3.6324153017425642E-2</v>
      </c>
      <c r="P13" s="21">
        <f t="shared" si="1"/>
        <v>4.3850627913453462</v>
      </c>
      <c r="Q13" s="21">
        <f t="shared" si="2"/>
        <v>4.3850627913453462</v>
      </c>
      <c r="R13" s="25" t="s">
        <v>109</v>
      </c>
      <c r="S13" s="13">
        <f t="shared" si="3"/>
        <v>16644882.529999999</v>
      </c>
      <c r="T13" s="26">
        <f t="shared" si="4"/>
        <v>6.4210749449457628E-3</v>
      </c>
      <c r="U13" s="26">
        <f t="shared" si="5"/>
        <v>6.4210749449457628E-3</v>
      </c>
      <c r="V13" s="13">
        <f>RL_NAV*T13*(M13*Calculs!$I$13+N13*Calculs!$I$14+O13*Calculs!$I$15+AF13*Calculs!$I$22)</f>
        <v>187645.79124926822</v>
      </c>
      <c r="W13" s="13">
        <f>RL_NAV*U13*(M13*Calculs!$J$13+N13*Calculs!$J$14+O13*Calculs!$J$15+AF13*Calculs!$J$22)</f>
        <v>187645.79124926822</v>
      </c>
      <c r="X13" s="13">
        <f t="shared" si="6"/>
        <v>11273.482459913055</v>
      </c>
      <c r="Y13" s="13">
        <f t="shared" si="7"/>
        <v>1824721.3762154297</v>
      </c>
      <c r="Z13" s="13">
        <f t="shared" si="8"/>
        <v>1824721.3762154297</v>
      </c>
      <c r="AA13" s="13">
        <f>RL_NAV*T13*(1-SUMPRODUCT((Flux!$B$7:$B$926=B13)*Flux!$F$7:$F$926*EXP(-(RL_Choc_Taux+IF(Q13&gt;0,RL_Choc_Spread,0))/10000*Flux!$D$7:$D$926))/K13)</f>
        <v>1718599.7420856694</v>
      </c>
      <c r="AB13" s="13">
        <f>RL_NAV*U13*(1-SUMPRODUCT((Flux!$B$7:$B$926=B13)*Flux!$F$7:$F$926*EXP(-(RL_Choc_Taux+IF(Q13&gt;0,RL_Choc_Spread,0))/10000*Flux!$D$7:$D$926))/K13)</f>
        <v>1718599.7420856694</v>
      </c>
      <c r="AC13" s="9" t="str">
        <f t="shared" si="9"/>
        <v/>
      </c>
      <c r="AD13" s="27">
        <f>SUMIF(Flux!$B$7:$B$926,B13,Flux!$F$7:$F$926)-K13</f>
        <v>0</v>
      </c>
      <c r="AE13" s="28">
        <v>1.4518148988138699</v>
      </c>
      <c r="AF13" s="21">
        <f t="shared" si="10"/>
        <v>6.3662994927095093</v>
      </c>
    </row>
    <row r="14" spans="2:32" x14ac:dyDescent="0.2">
      <c r="B14" s="9" t="s">
        <v>127</v>
      </c>
      <c r="C14" s="9" t="s">
        <v>128</v>
      </c>
      <c r="D14" s="9" t="s">
        <v>129</v>
      </c>
      <c r="E14" s="19">
        <v>49233</v>
      </c>
      <c r="F14" s="20">
        <v>3.6320000000000001</v>
      </c>
      <c r="G14" s="13">
        <v>20000000</v>
      </c>
      <c r="H14" s="21">
        <v>100.1425</v>
      </c>
      <c r="I14" s="22">
        <v>515445.48</v>
      </c>
      <c r="J14" s="22">
        <v>20543945.48</v>
      </c>
      <c r="K14" s="21">
        <f t="shared" si="0"/>
        <v>102.7197274</v>
      </c>
      <c r="L14" s="23">
        <v>99.390855753995339</v>
      </c>
      <c r="M14" s="24">
        <v>0.21426040397155779</v>
      </c>
      <c r="N14" s="24">
        <v>1.567965097274461</v>
      </c>
      <c r="O14" s="24">
        <v>6.0582222195284361</v>
      </c>
      <c r="P14" s="21">
        <f t="shared" si="1"/>
        <v>7.8404477207744545</v>
      </c>
      <c r="Q14" s="21">
        <f t="shared" si="2"/>
        <v>7.8404477207744545</v>
      </c>
      <c r="R14" s="25" t="s">
        <v>109</v>
      </c>
      <c r="S14" s="13">
        <f t="shared" si="3"/>
        <v>20543945.48</v>
      </c>
      <c r="T14" s="26">
        <f t="shared" si="4"/>
        <v>7.92521144887646E-3</v>
      </c>
      <c r="U14" s="26">
        <f t="shared" si="5"/>
        <v>7.92521144887646E-3</v>
      </c>
      <c r="V14" s="13">
        <f>RL_NAV*T14*(M14*Calculs!$I$13+N14*Calculs!$I$14+O14*Calculs!$I$15+AF14*Calculs!$I$22)</f>
        <v>312078.67450332938</v>
      </c>
      <c r="W14" s="13">
        <f>RL_NAV*U14*(M14*Calculs!$J$13+N14*Calculs!$J$14+O14*Calculs!$J$15+AF14*Calculs!$J$22)</f>
        <v>312078.67450332938</v>
      </c>
      <c r="X14" s="13">
        <f t="shared" si="6"/>
        <v>15190.785762508234</v>
      </c>
      <c r="Y14" s="13">
        <f t="shared" si="7"/>
        <v>4026843.2628595177</v>
      </c>
      <c r="Z14" s="13">
        <f t="shared" si="8"/>
        <v>4026843.2628595177</v>
      </c>
      <c r="AA14" s="13">
        <f>RL_NAV*T14*(1-SUMPRODUCT((Flux!$B$7:$B$926=B14)*Flux!$F$7:$F$926*EXP(-(RL_Choc_Taux+IF(Q14&gt;0,RL_Choc_Spread,0))/10000*Flux!$D$7:$D$926))/K14)</f>
        <v>3616564.0312132197</v>
      </c>
      <c r="AB14" s="13">
        <f>RL_NAV*U14*(1-SUMPRODUCT((Flux!$B$7:$B$926=B14)*Flux!$F$7:$F$926*EXP(-(RL_Choc_Taux+IF(Q14&gt;0,RL_Choc_Spread,0))/10000*Flux!$D$7:$D$926))/K14)</f>
        <v>3616564.0312132197</v>
      </c>
      <c r="AC14" s="9" t="str">
        <f t="shared" si="9"/>
        <v/>
      </c>
      <c r="AD14" s="27">
        <f>SUMIF(Flux!$B$7:$B$926,B14,Flux!$F$7:$F$926)-K14</f>
        <v>0</v>
      </c>
      <c r="AE14" s="28">
        <v>0.92028570142588306</v>
      </c>
      <c r="AF14" s="21">
        <f t="shared" si="10"/>
        <v>7.2154519302058846</v>
      </c>
    </row>
    <row r="15" spans="2:32" x14ac:dyDescent="0.2">
      <c r="B15" s="9" t="s">
        <v>130</v>
      </c>
      <c r="C15" s="9" t="s">
        <v>131</v>
      </c>
      <c r="D15" s="9" t="s">
        <v>132</v>
      </c>
      <c r="E15" s="19">
        <v>47815</v>
      </c>
      <c r="F15" s="20">
        <v>4</v>
      </c>
      <c r="G15" s="13">
        <v>22000000</v>
      </c>
      <c r="H15" s="21">
        <v>101.229</v>
      </c>
      <c r="I15" s="22">
        <v>84383.56</v>
      </c>
      <c r="J15" s="22">
        <v>22354763.559999999</v>
      </c>
      <c r="K15" s="21">
        <f t="shared" si="0"/>
        <v>101.61256163636364</v>
      </c>
      <c r="L15" s="23">
        <v>188.62034709161429</v>
      </c>
      <c r="M15" s="24">
        <v>0.23429772752352851</v>
      </c>
      <c r="N15" s="24">
        <v>4.2589292930297233</v>
      </c>
      <c r="O15" s="24">
        <v>0.36657621276525437</v>
      </c>
      <c r="P15" s="21">
        <f t="shared" si="1"/>
        <v>4.8598032333185062</v>
      </c>
      <c r="Q15" s="21">
        <f t="shared" si="2"/>
        <v>4.8598032333185062</v>
      </c>
      <c r="R15" s="25" t="s">
        <v>109</v>
      </c>
      <c r="S15" s="13">
        <f t="shared" si="3"/>
        <v>22354763.559999999</v>
      </c>
      <c r="T15" s="26">
        <f t="shared" si="4"/>
        <v>8.6237684126991877E-3</v>
      </c>
      <c r="U15" s="26">
        <f t="shared" si="5"/>
        <v>8.6237684126991877E-3</v>
      </c>
      <c r="V15" s="13">
        <f>RL_NAV*T15*(M15*Calculs!$I$13+N15*Calculs!$I$14+O15*Calculs!$I$15+AF15*Calculs!$I$22)</f>
        <v>314115.67798831966</v>
      </c>
      <c r="W15" s="13">
        <f>RL_NAV*U15*(M15*Calculs!$J$13+N15*Calculs!$J$14+O15*Calculs!$J$15+AF15*Calculs!$J$22)</f>
        <v>314115.67798831966</v>
      </c>
      <c r="X15" s="13">
        <f t="shared" si="6"/>
        <v>14051.397911019538</v>
      </c>
      <c r="Y15" s="13">
        <f t="shared" si="7"/>
        <v>2715993.8057239675</v>
      </c>
      <c r="Z15" s="13">
        <f t="shared" si="8"/>
        <v>2715993.8057239675</v>
      </c>
      <c r="AA15" s="13">
        <f>RL_NAV*T15*(1-SUMPRODUCT((Flux!$B$7:$B$926=B15)*Flux!$F$7:$F$926*EXP(-(RL_Choc_Taux+IF(Q15&gt;0,RL_Choc_Spread,0))/10000*Flux!$D$7:$D$926))/K15)</f>
        <v>2546343.2645579581</v>
      </c>
      <c r="AB15" s="13">
        <f>RL_NAV*U15*(1-SUMPRODUCT((Flux!$B$7:$B$926=B15)*Flux!$F$7:$F$926*EXP(-(RL_Choc_Taux+IF(Q15&gt;0,RL_Choc_Spread,0))/10000*Flux!$D$7:$D$926))/K15)</f>
        <v>2546343.2645579581</v>
      </c>
      <c r="AC15" s="9" t="str">
        <f t="shared" si="9"/>
        <v/>
      </c>
      <c r="AD15" s="27">
        <f>SUMIF(Flux!$B$7:$B$926,B15,Flux!$F$7:$F$926)-K15</f>
        <v>0</v>
      </c>
      <c r="AE15" s="28">
        <v>1.746484695292726</v>
      </c>
      <c r="AF15" s="21">
        <f t="shared" si="10"/>
        <v>8.4875719691248754</v>
      </c>
    </row>
    <row r="16" spans="2:32" x14ac:dyDescent="0.2">
      <c r="B16" s="9" t="s">
        <v>133</v>
      </c>
      <c r="C16" s="9" t="s">
        <v>134</v>
      </c>
      <c r="D16" s="9" t="s">
        <v>135</v>
      </c>
      <c r="E16" s="19">
        <v>47216</v>
      </c>
      <c r="F16" s="20">
        <v>1.5</v>
      </c>
      <c r="G16" s="13">
        <v>8100000</v>
      </c>
      <c r="H16" s="21">
        <v>92.007499999999993</v>
      </c>
      <c r="I16" s="22">
        <v>28294.52</v>
      </c>
      <c r="J16" s="22">
        <v>7480902.0199999996</v>
      </c>
      <c r="K16" s="21">
        <f t="shared" si="0"/>
        <v>92.356815061728398</v>
      </c>
      <c r="L16" s="23">
        <v>171.41808092591441</v>
      </c>
      <c r="M16" s="24">
        <v>1.5422139657808609</v>
      </c>
      <c r="N16" s="24">
        <v>2.1379392219600981</v>
      </c>
      <c r="O16" s="24">
        <v>0</v>
      </c>
      <c r="P16" s="21">
        <f t="shared" si="1"/>
        <v>3.680153187740959</v>
      </c>
      <c r="Q16" s="21">
        <f t="shared" si="2"/>
        <v>3.680153187740959</v>
      </c>
      <c r="R16" s="25" t="s">
        <v>109</v>
      </c>
      <c r="S16" s="13">
        <f t="shared" si="3"/>
        <v>7480902.0199999996</v>
      </c>
      <c r="T16" s="26">
        <f t="shared" si="4"/>
        <v>2.8858979593060635E-3</v>
      </c>
      <c r="U16" s="26">
        <f t="shared" si="5"/>
        <v>2.8858979593060635E-3</v>
      </c>
      <c r="V16" s="13">
        <f>RL_NAV*T16*(M16*Calculs!$I$13+N16*Calculs!$I$14+O16*Calculs!$I$15+AF16*Calculs!$I$22)</f>
        <v>74302.408486376487</v>
      </c>
      <c r="W16" s="13">
        <f>RL_NAV*U16*(M16*Calculs!$J$13+N16*Calculs!$J$14+O16*Calculs!$J$15+AF16*Calculs!$J$22)</f>
        <v>74302.408486376487</v>
      </c>
      <c r="X16" s="13">
        <f t="shared" si="6"/>
        <v>9932.2793277777073</v>
      </c>
      <c r="Y16" s="13">
        <f t="shared" si="7"/>
        <v>688271.63540201937</v>
      </c>
      <c r="Z16" s="13">
        <f t="shared" si="8"/>
        <v>688271.63540201937</v>
      </c>
      <c r="AA16" s="13">
        <f>RL_NAV*T16*(1-SUMPRODUCT((Flux!$B$7:$B$926=B16)*Flux!$F$7:$F$926*EXP(-(RL_Choc_Taux+IF(Q16&gt;0,RL_Choc_Spread,0))/10000*Flux!$D$7:$D$926))/K16)</f>
        <v>657103.18390819558</v>
      </c>
      <c r="AB16" s="13">
        <f>RL_NAV*U16*(1-SUMPRODUCT((Flux!$B$7:$B$926=B16)*Flux!$F$7:$F$926*EXP(-(RL_Choc_Taux+IF(Q16&gt;0,RL_Choc_Spread,0))/10000*Flux!$D$7:$D$926))/K16)</f>
        <v>657103.18390819558</v>
      </c>
      <c r="AC16" s="9" t="str">
        <f t="shared" si="9"/>
        <v/>
      </c>
      <c r="AD16" s="27">
        <f>SUMIF(Flux!$B$7:$B$926,B16,Flux!$F$7:$F$926)-K16</f>
        <v>0</v>
      </c>
      <c r="AE16" s="28">
        <v>1.5872044530177261</v>
      </c>
      <c r="AF16" s="21">
        <f t="shared" si="10"/>
        <v>5.8411555273698301</v>
      </c>
    </row>
    <row r="17" spans="2:32" x14ac:dyDescent="0.2">
      <c r="B17" s="9" t="s">
        <v>136</v>
      </c>
      <c r="C17" s="9" t="s">
        <v>137</v>
      </c>
      <c r="D17" s="9" t="s">
        <v>138</v>
      </c>
      <c r="E17" s="19">
        <v>47065</v>
      </c>
      <c r="F17" s="20">
        <v>0.875</v>
      </c>
      <c r="G17" s="13">
        <v>12000000</v>
      </c>
      <c r="H17" s="21">
        <v>92.796999999999997</v>
      </c>
      <c r="I17" s="22">
        <v>67890.41</v>
      </c>
      <c r="J17" s="22">
        <v>11203530.41</v>
      </c>
      <c r="K17" s="21">
        <f t="shared" si="0"/>
        <v>93.362753416666663</v>
      </c>
      <c r="L17" s="23">
        <v>113.271595999491</v>
      </c>
      <c r="M17" s="24">
        <v>1.8212433851165239</v>
      </c>
      <c r="N17" s="24">
        <v>1.483515038419905</v>
      </c>
      <c r="O17" s="24">
        <v>0</v>
      </c>
      <c r="P17" s="21">
        <f t="shared" si="1"/>
        <v>3.3047584235364287</v>
      </c>
      <c r="Q17" s="21">
        <f t="shared" si="2"/>
        <v>3.3047584235364287</v>
      </c>
      <c r="R17" s="25" t="s">
        <v>109</v>
      </c>
      <c r="S17" s="13">
        <f t="shared" si="3"/>
        <v>11203530.41</v>
      </c>
      <c r="T17" s="26">
        <f t="shared" si="4"/>
        <v>4.3219715297437393E-3</v>
      </c>
      <c r="U17" s="26">
        <f t="shared" si="5"/>
        <v>4.3219715297437393E-3</v>
      </c>
      <c r="V17" s="13">
        <f>RL_NAV*T17*(M17*Calculs!$I$13+N17*Calculs!$I$14+O17*Calculs!$I$15+AF17*Calculs!$I$22)</f>
        <v>77704.780590620212</v>
      </c>
      <c r="W17" s="13">
        <f>RL_NAV*U17*(M17*Calculs!$J$13+N17*Calculs!$J$14+O17*Calculs!$J$15+AF17*Calculs!$J$22)</f>
        <v>77704.780590620212</v>
      </c>
      <c r="X17" s="13">
        <f t="shared" si="6"/>
        <v>6935.7405877403435</v>
      </c>
      <c r="Y17" s="13">
        <f t="shared" si="7"/>
        <v>925624.0373948511</v>
      </c>
      <c r="Z17" s="13">
        <f t="shared" si="8"/>
        <v>925624.0373948511</v>
      </c>
      <c r="AA17" s="13">
        <f>RL_NAV*T17*(1-SUMPRODUCT((Flux!$B$7:$B$926=B17)*Flux!$F$7:$F$926*EXP(-(RL_Choc_Taux+IF(Q17&gt;0,RL_Choc_Spread,0))/10000*Flux!$D$7:$D$926))/K17)</f>
        <v>888006.14735091559</v>
      </c>
      <c r="AB17" s="13">
        <f>RL_NAV*U17*(1-SUMPRODUCT((Flux!$B$7:$B$926=B17)*Flux!$F$7:$F$926*EXP(-(RL_Choc_Taux+IF(Q17&gt;0,RL_Choc_Spread,0))/10000*Flux!$D$7:$D$926))/K17)</f>
        <v>888006.14735091559</v>
      </c>
      <c r="AC17" s="9" t="str">
        <f t="shared" si="9"/>
        <v/>
      </c>
      <c r="AD17" s="27">
        <f>SUMIF(Flux!$B$7:$B$926,B17,Flux!$F$7:$F$926)-K17</f>
        <v>0</v>
      </c>
      <c r="AE17" s="28">
        <v>1.048811074069361</v>
      </c>
      <c r="AF17" s="21">
        <f t="shared" si="10"/>
        <v>3.46606723172901</v>
      </c>
    </row>
    <row r="18" spans="2:32" x14ac:dyDescent="0.2">
      <c r="B18" s="9" t="s">
        <v>139</v>
      </c>
      <c r="C18" s="9" t="s">
        <v>140</v>
      </c>
      <c r="D18" s="9" t="s">
        <v>135</v>
      </c>
      <c r="E18" s="19">
        <v>46404</v>
      </c>
      <c r="F18" s="20">
        <v>1.625</v>
      </c>
      <c r="G18" s="13">
        <v>4800000</v>
      </c>
      <c r="H18" s="21">
        <v>98.055499999999995</v>
      </c>
      <c r="I18" s="22">
        <v>35473.97</v>
      </c>
      <c r="J18" s="22">
        <v>4742137.97</v>
      </c>
      <c r="K18" s="21">
        <f t="shared" si="0"/>
        <v>98.794541041666662</v>
      </c>
      <c r="L18" s="23">
        <v>103.1262720386152</v>
      </c>
      <c r="M18" s="24">
        <v>1.533444639542537</v>
      </c>
      <c r="N18" s="24">
        <v>0</v>
      </c>
      <c r="O18" s="24">
        <v>0</v>
      </c>
      <c r="P18" s="21">
        <f t="shared" si="1"/>
        <v>1.533444639542537</v>
      </c>
      <c r="Q18" s="21">
        <f t="shared" si="2"/>
        <v>1.533444639542537</v>
      </c>
      <c r="R18" s="25" t="s">
        <v>109</v>
      </c>
      <c r="S18" s="13">
        <f t="shared" si="3"/>
        <v>4742137.97</v>
      </c>
      <c r="T18" s="26">
        <f t="shared" si="4"/>
        <v>1.8293684710457949E-3</v>
      </c>
      <c r="U18" s="26">
        <f t="shared" si="5"/>
        <v>1.8293684710457949E-3</v>
      </c>
      <c r="V18" s="13">
        <f>RL_NAV*T18*(M18*Calculs!$I$13+N18*Calculs!$I$14+O18*Calculs!$I$15+AF18*Calculs!$I$22)</f>
        <v>14313.957047988588</v>
      </c>
      <c r="W18" s="13">
        <f>RL_NAV*U18*(M18*Calculs!$J$13+N18*Calculs!$J$14+O18*Calculs!$J$15+AF18*Calculs!$J$22)</f>
        <v>14313.957047988588</v>
      </c>
      <c r="X18" s="13">
        <f t="shared" si="6"/>
        <v>3018.4606897864228</v>
      </c>
      <c r="Y18" s="13">
        <f t="shared" si="7"/>
        <v>181795.1512516907</v>
      </c>
      <c r="Z18" s="13">
        <f t="shared" si="8"/>
        <v>181795.1512516907</v>
      </c>
      <c r="AA18" s="13">
        <f>RL_NAV*T18*(1-SUMPRODUCT((Flux!$B$7:$B$926=B18)*Flux!$F$7:$F$926*EXP(-(RL_Choc_Taux+IF(Q18&gt;0,RL_Choc_Spread,0))/10000*Flux!$D$7:$D$926))/K18)</f>
        <v>178331.7282857261</v>
      </c>
      <c r="AB18" s="13">
        <f>RL_NAV*U18*(1-SUMPRODUCT((Flux!$B$7:$B$926=B18)*Flux!$F$7:$F$926*EXP(-(RL_Choc_Taux+IF(Q18&gt;0,RL_Choc_Spread,0))/10000*Flux!$D$7:$D$926))/K18)</f>
        <v>178331.7282857261</v>
      </c>
      <c r="AC18" s="9" t="str">
        <f t="shared" si="9"/>
        <v/>
      </c>
      <c r="AD18" s="27">
        <f>SUMIF(Flux!$B$7:$B$926,B18,Flux!$F$7:$F$926)-K18</f>
        <v>0</v>
      </c>
      <c r="AE18" s="28">
        <v>0.95487288924643687</v>
      </c>
      <c r="AF18" s="21">
        <f t="shared" si="10"/>
        <v>1.4642447134594432</v>
      </c>
    </row>
    <row r="19" spans="2:32" x14ac:dyDescent="0.2">
      <c r="B19" s="9" t="s">
        <v>141</v>
      </c>
      <c r="C19" s="9" t="s">
        <v>142</v>
      </c>
      <c r="D19" s="9" t="s">
        <v>143</v>
      </c>
      <c r="E19" s="19">
        <v>48704</v>
      </c>
      <c r="F19" s="20">
        <v>6.75</v>
      </c>
      <c r="G19" s="13">
        <v>8700000</v>
      </c>
      <c r="H19" s="21">
        <v>115.82</v>
      </c>
      <c r="I19" s="22">
        <v>93316.44</v>
      </c>
      <c r="J19" s="22">
        <v>10169656.439999999</v>
      </c>
      <c r="K19" s="21">
        <f t="shared" si="0"/>
        <v>116.89260275862068</v>
      </c>
      <c r="L19" s="23">
        <v>183.97954365949579</v>
      </c>
      <c r="M19" s="24">
        <v>0.33828174216571322</v>
      </c>
      <c r="N19" s="24">
        <v>2.9898300585505981</v>
      </c>
      <c r="O19" s="24">
        <v>3.067454897540137</v>
      </c>
      <c r="P19" s="21">
        <f t="shared" si="1"/>
        <v>6.3955666982564487</v>
      </c>
      <c r="Q19" s="21">
        <f t="shared" si="2"/>
        <v>6.3955666982564487</v>
      </c>
      <c r="R19" s="25" t="s">
        <v>109</v>
      </c>
      <c r="S19" s="13">
        <f t="shared" si="3"/>
        <v>10169656.439999999</v>
      </c>
      <c r="T19" s="26">
        <f t="shared" si="4"/>
        <v>3.923135296863541E-3</v>
      </c>
      <c r="U19" s="26">
        <f t="shared" si="5"/>
        <v>3.923135296863541E-3</v>
      </c>
      <c r="V19" s="13">
        <f>RL_NAV*T19*(M19*Calculs!$I$13+N19*Calculs!$I$14+O19*Calculs!$I$15+AF19*Calculs!$I$22)</f>
        <v>183217.40137326563</v>
      </c>
      <c r="W19" s="13">
        <f>RL_NAV*U19*(M19*Calculs!$J$13+N19*Calculs!$J$14+O19*Calculs!$J$15+AF19*Calculs!$J$22)</f>
        <v>183217.40137326563</v>
      </c>
      <c r="X19" s="13">
        <f t="shared" si="6"/>
        <v>18016.085642050031</v>
      </c>
      <c r="Y19" s="13">
        <f t="shared" si="7"/>
        <v>1626017.9015093308</v>
      </c>
      <c r="Z19" s="13">
        <f t="shared" si="8"/>
        <v>1626017.9015093308</v>
      </c>
      <c r="AA19" s="13">
        <f>RL_NAV*T19*(1-SUMPRODUCT((Flux!$B$7:$B$926=B19)*Flux!$F$7:$F$926*EXP(-(RL_Choc_Taux+IF(Q19&gt;0,RL_Choc_Spread,0))/10000*Flux!$D$7:$D$926))/K19)</f>
        <v>1487885.0957146201</v>
      </c>
      <c r="AB19" s="13">
        <f>RL_NAV*U19*(1-SUMPRODUCT((Flux!$B$7:$B$926=B19)*Flux!$F$7:$F$926*EXP(-(RL_Choc_Taux+IF(Q19&gt;0,RL_Choc_Spread,0))/10000*Flux!$D$7:$D$926))/K19)</f>
        <v>1487885.0957146201</v>
      </c>
      <c r="AC19" s="9" t="str">
        <f t="shared" si="9"/>
        <v/>
      </c>
      <c r="AD19" s="27">
        <f>SUMIF(Flux!$B$7:$B$926,B19,Flux!$F$7:$F$926)-K19</f>
        <v>0</v>
      </c>
      <c r="AE19" s="28">
        <v>1.7035142931434799</v>
      </c>
      <c r="AF19" s="21">
        <f t="shared" si="10"/>
        <v>10.894939283232313</v>
      </c>
    </row>
    <row r="20" spans="2:32" x14ac:dyDescent="0.2">
      <c r="B20" s="9" t="s">
        <v>144</v>
      </c>
      <c r="C20" s="9" t="s">
        <v>145</v>
      </c>
      <c r="D20" s="9" t="s">
        <v>146</v>
      </c>
      <c r="E20" s="19">
        <v>49789</v>
      </c>
      <c r="F20" s="20">
        <v>3.875</v>
      </c>
      <c r="G20" s="13">
        <v>20000000</v>
      </c>
      <c r="H20" s="21">
        <v>101.1815</v>
      </c>
      <c r="I20" s="22">
        <v>146506.85</v>
      </c>
      <c r="J20" s="22">
        <v>20382806.850000001</v>
      </c>
      <c r="K20" s="21">
        <f t="shared" si="0"/>
        <v>101.91403425000001</v>
      </c>
      <c r="L20" s="23">
        <v>105.0646808863344</v>
      </c>
      <c r="M20" s="24">
        <v>0.22796917194427671</v>
      </c>
      <c r="N20" s="24">
        <v>0.70212527736388231</v>
      </c>
      <c r="O20" s="24">
        <v>8.0326598543936161</v>
      </c>
      <c r="P20" s="21">
        <f t="shared" si="1"/>
        <v>8.9627543037017752</v>
      </c>
      <c r="Q20" s="21">
        <f t="shared" si="2"/>
        <v>8.9627543037017752</v>
      </c>
      <c r="R20" s="25" t="s">
        <v>109</v>
      </c>
      <c r="S20" s="13">
        <f t="shared" si="3"/>
        <v>20382806.850000001</v>
      </c>
      <c r="T20" s="26">
        <f t="shared" si="4"/>
        <v>7.8630492066442889E-3</v>
      </c>
      <c r="U20" s="26">
        <f t="shared" si="5"/>
        <v>7.8630492066442889E-3</v>
      </c>
      <c r="V20" s="13">
        <f>RL_NAV*T20*(M20*Calculs!$I$13+N20*Calculs!$I$14+O20*Calculs!$I$15+AF20*Calculs!$I$22)</f>
        <v>363031.86188127258</v>
      </c>
      <c r="W20" s="13">
        <f>RL_NAV*U20*(M20*Calculs!$J$13+N20*Calculs!$J$14+O20*Calculs!$J$15+AF20*Calculs!$J$22)</f>
        <v>363031.86188127258</v>
      </c>
      <c r="X20" s="13">
        <f t="shared" si="6"/>
        <v>17810.690380028431</v>
      </c>
      <c r="Y20" s="13">
        <f t="shared" si="7"/>
        <v>4567152.2454089886</v>
      </c>
      <c r="Z20" s="13">
        <f t="shared" si="8"/>
        <v>4567152.2454089886</v>
      </c>
      <c r="AA20" s="13">
        <f>RL_NAV*T20*(1-SUMPRODUCT((Flux!$B$7:$B$926=B20)*Flux!$F$7:$F$926*EXP(-(RL_Choc_Taux+IF(Q20&gt;0,RL_Choc_Spread,0))/10000*Flux!$D$7:$D$926))/K20)</f>
        <v>4039055.5760390488</v>
      </c>
      <c r="AB20" s="13">
        <f>RL_NAV*U20*(1-SUMPRODUCT((Flux!$B$7:$B$926=B20)*Flux!$F$7:$F$926*EXP(-(RL_Choc_Taux+IF(Q20&gt;0,RL_Choc_Spread,0))/10000*Flux!$D$7:$D$926))/K20)</f>
        <v>4039055.5760390488</v>
      </c>
      <c r="AC20" s="9" t="str">
        <f t="shared" si="9"/>
        <v/>
      </c>
      <c r="AD20" s="27">
        <f>SUMIF(Flux!$B$7:$B$926,B20,Flux!$F$7:$F$926)-K20</f>
        <v>0</v>
      </c>
      <c r="AE20" s="28">
        <v>0.97282111931791126</v>
      </c>
      <c r="AF20" s="21">
        <f t="shared" si="10"/>
        <v>8.7191566738985866</v>
      </c>
    </row>
    <row r="21" spans="2:32" x14ac:dyDescent="0.2">
      <c r="B21" s="9" t="s">
        <v>147</v>
      </c>
      <c r="C21" s="9" t="s">
        <v>148</v>
      </c>
      <c r="D21" s="9" t="s">
        <v>149</v>
      </c>
      <c r="E21" s="19">
        <v>49239</v>
      </c>
      <c r="F21" s="20">
        <v>3.625</v>
      </c>
      <c r="G21" s="13">
        <v>20000000</v>
      </c>
      <c r="H21" s="21">
        <v>97.722999999999999</v>
      </c>
      <c r="I21" s="22">
        <v>502534.25</v>
      </c>
      <c r="J21" s="22">
        <v>20047134.25</v>
      </c>
      <c r="K21" s="21">
        <f t="shared" si="0"/>
        <v>100.23567125</v>
      </c>
      <c r="L21" s="23">
        <v>128.9452962915741</v>
      </c>
      <c r="M21" s="24">
        <v>0.21769780366248279</v>
      </c>
      <c r="N21" s="24">
        <v>1.5479283117883971</v>
      </c>
      <c r="O21" s="24">
        <v>6.071167354961414</v>
      </c>
      <c r="P21" s="21">
        <f t="shared" si="1"/>
        <v>7.8367934704122941</v>
      </c>
      <c r="Q21" s="21">
        <f t="shared" si="2"/>
        <v>7.8367934704122941</v>
      </c>
      <c r="R21" s="25" t="s">
        <v>109</v>
      </c>
      <c r="S21" s="13">
        <f t="shared" si="3"/>
        <v>20047134.25</v>
      </c>
      <c r="T21" s="26">
        <f t="shared" si="4"/>
        <v>7.7335572190811415E-3</v>
      </c>
      <c r="U21" s="26">
        <f t="shared" si="5"/>
        <v>7.7335572190811415E-3</v>
      </c>
      <c r="V21" s="13">
        <f>RL_NAV*T21*(M21*Calculs!$I$13+N21*Calculs!$I$14+O21*Calculs!$I$15+AF21*Calculs!$I$22)</f>
        <v>351655.95924877672</v>
      </c>
      <c r="W21" s="13">
        <f>RL_NAV*U21*(M21*Calculs!$J$13+N21*Calculs!$J$14+O21*Calculs!$J$15+AF21*Calculs!$J$22)</f>
        <v>351655.95924877672</v>
      </c>
      <c r="X21" s="13">
        <f t="shared" si="6"/>
        <v>17541.457789597869</v>
      </c>
      <c r="Y21" s="13">
        <f t="shared" si="7"/>
        <v>3927631.2697719666</v>
      </c>
      <c r="Z21" s="13">
        <f t="shared" si="8"/>
        <v>3927631.2697719666</v>
      </c>
      <c r="AA21" s="13">
        <f>RL_NAV*T21*(1-SUMPRODUCT((Flux!$B$7:$B$926=B21)*Flux!$F$7:$F$926*EXP(-(RL_Choc_Taux+IF(Q21&gt;0,RL_Choc_Spread,0))/10000*Flux!$D$7:$D$926))/K21)</f>
        <v>3527113.2788876691</v>
      </c>
      <c r="AB21" s="13">
        <f>RL_NAV*U21*(1-SUMPRODUCT((Flux!$B$7:$B$926=B21)*Flux!$F$7:$F$926*EXP(-(RL_Choc_Taux+IF(Q21&gt;0,RL_Choc_Spread,0))/10000*Flux!$D$7:$D$926))/K21)</f>
        <v>3527113.2788876691</v>
      </c>
      <c r="AC21" s="9" t="str">
        <f t="shared" si="9"/>
        <v/>
      </c>
      <c r="AD21" s="27">
        <f>SUMIF(Flux!$B$7:$B$926,B21,Flux!$F$7:$F$926)-K21</f>
        <v>0</v>
      </c>
      <c r="AE21" s="28">
        <v>1.1939379286256859</v>
      </c>
      <c r="AF21" s="21">
        <f t="shared" si="10"/>
        <v>9.3566449631313553</v>
      </c>
    </row>
    <row r="22" spans="2:32" x14ac:dyDescent="0.2">
      <c r="B22" s="9" t="s">
        <v>150</v>
      </c>
      <c r="C22" s="9" t="s">
        <v>151</v>
      </c>
      <c r="D22" s="9" t="s">
        <v>143</v>
      </c>
      <c r="E22" s="19">
        <v>49436</v>
      </c>
      <c r="F22" s="20">
        <v>4.75</v>
      </c>
      <c r="G22" s="13">
        <v>15100000</v>
      </c>
      <c r="H22" s="21">
        <v>101.71599999999999</v>
      </c>
      <c r="I22" s="22">
        <v>109579.86</v>
      </c>
      <c r="J22" s="22">
        <v>15468695.859999999</v>
      </c>
      <c r="K22" s="21">
        <f t="shared" si="0"/>
        <v>102.44169443708608</v>
      </c>
      <c r="L22" s="23">
        <v>184.01861126016891</v>
      </c>
      <c r="M22" s="24">
        <v>0.27147449309586269</v>
      </c>
      <c r="N22" s="24">
        <v>1.000746354927964</v>
      </c>
      <c r="O22" s="24">
        <v>6.7577848282021904</v>
      </c>
      <c r="P22" s="21">
        <f t="shared" si="1"/>
        <v>8.0300056762260166</v>
      </c>
      <c r="Q22" s="21">
        <f t="shared" si="2"/>
        <v>8.0300056762260166</v>
      </c>
      <c r="R22" s="25" t="s">
        <v>109</v>
      </c>
      <c r="S22" s="13">
        <f t="shared" si="3"/>
        <v>15468695.859999999</v>
      </c>
      <c r="T22" s="26">
        <f t="shared" si="4"/>
        <v>5.9673389246581998E-3</v>
      </c>
      <c r="U22" s="26">
        <f t="shared" si="5"/>
        <v>5.9673389246581998E-3</v>
      </c>
      <c r="V22" s="13">
        <f>RL_NAV*T22*(M22*Calculs!$I$13+N22*Calculs!$I$14+O22*Calculs!$I$15+AF22*Calculs!$I$22)</f>
        <v>347112.28335442574</v>
      </c>
      <c r="W22" s="13">
        <f>RL_NAV*U22*(M22*Calculs!$J$13+N22*Calculs!$J$14+O22*Calculs!$J$15+AF22*Calculs!$J$22)</f>
        <v>347112.28335442574</v>
      </c>
      <c r="X22" s="13">
        <f t="shared" si="6"/>
        <v>22439.660492130573</v>
      </c>
      <c r="Y22" s="13">
        <f t="shared" si="7"/>
        <v>3105342.8889903468</v>
      </c>
      <c r="Z22" s="13">
        <f t="shared" si="8"/>
        <v>3105342.8889903468</v>
      </c>
      <c r="AA22" s="13">
        <f>RL_NAV*T22*(1-SUMPRODUCT((Flux!$B$7:$B$926=B22)*Flux!$F$7:$F$926*EXP(-(RL_Choc_Taux+IF(Q22&gt;0,RL_Choc_Spread,0))/10000*Flux!$D$7:$D$926))/K22)</f>
        <v>2778388.7544504814</v>
      </c>
      <c r="AB22" s="13">
        <f>RL_NAV*U22*(1-SUMPRODUCT((Flux!$B$7:$B$926=B22)*Flux!$F$7:$F$926*EXP(-(RL_Choc_Taux+IF(Q22&gt;0,RL_Choc_Spread,0))/10000*Flux!$D$7:$D$926))/K22)</f>
        <v>2778388.7544504814</v>
      </c>
      <c r="AC22" s="9" t="str">
        <f t="shared" si="9"/>
        <v/>
      </c>
      <c r="AD22" s="27">
        <f>SUMIF(Flux!$B$7:$B$926,B22,Flux!$F$7:$F$926)-K22</f>
        <v>0</v>
      </c>
      <c r="AE22" s="28">
        <v>1.703876030186749</v>
      </c>
      <c r="AF22" s="21">
        <f t="shared" si="10"/>
        <v>13.682134193985046</v>
      </c>
    </row>
    <row r="23" spans="2:32" x14ac:dyDescent="0.2">
      <c r="B23" s="9" t="s">
        <v>152</v>
      </c>
      <c r="C23" s="9" t="s">
        <v>153</v>
      </c>
      <c r="D23" s="9" t="s">
        <v>154</v>
      </c>
      <c r="E23" s="19">
        <v>47569</v>
      </c>
      <c r="F23" s="20">
        <v>3.4140000000000001</v>
      </c>
      <c r="G23" s="13">
        <v>14100000</v>
      </c>
      <c r="H23" s="21">
        <v>101.07</v>
      </c>
      <c r="I23" s="22">
        <v>127926.79</v>
      </c>
      <c r="J23" s="22">
        <v>14378796.789999999</v>
      </c>
      <c r="K23" s="21">
        <f t="shared" si="0"/>
        <v>101.97728219858155</v>
      </c>
      <c r="L23" s="23">
        <v>99.487672431725869</v>
      </c>
      <c r="M23" s="24">
        <v>0.55067862938353918</v>
      </c>
      <c r="N23" s="24">
        <v>3.8701407222081641</v>
      </c>
      <c r="O23" s="24">
        <v>0</v>
      </c>
      <c r="P23" s="21">
        <f t="shared" si="1"/>
        <v>4.4208193515917031</v>
      </c>
      <c r="Q23" s="21">
        <f t="shared" si="2"/>
        <v>4.4208193515917031</v>
      </c>
      <c r="R23" s="25" t="s">
        <v>109</v>
      </c>
      <c r="S23" s="13">
        <f t="shared" si="3"/>
        <v>14378796.789999999</v>
      </c>
      <c r="T23" s="26">
        <f t="shared" si="4"/>
        <v>5.5468899609431828E-3</v>
      </c>
      <c r="U23" s="26">
        <f t="shared" si="5"/>
        <v>5.5468899609431828E-3</v>
      </c>
      <c r="V23" s="13">
        <f>RL_NAV*T23*(M23*Calculs!$I$13+N23*Calculs!$I$14+O23*Calculs!$I$15+AF23*Calculs!$I$22)</f>
        <v>126111.3050228559</v>
      </c>
      <c r="W23" s="13">
        <f>RL_NAV*U23*(M23*Calculs!$J$13+N23*Calculs!$J$14+O23*Calculs!$J$15+AF23*Calculs!$J$22)</f>
        <v>126111.3050228559</v>
      </c>
      <c r="X23" s="13">
        <f t="shared" si="6"/>
        <v>8770.643807315113</v>
      </c>
      <c r="Y23" s="13">
        <f t="shared" si="7"/>
        <v>1589151.5775459164</v>
      </c>
      <c r="Z23" s="13">
        <f t="shared" si="8"/>
        <v>1589151.5775459164</v>
      </c>
      <c r="AA23" s="13">
        <f>RL_NAV*T23*(1-SUMPRODUCT((Flux!$B$7:$B$926=B23)*Flux!$F$7:$F$926*EXP(-(RL_Choc_Taux+IF(Q23&gt;0,RL_Choc_Spread,0))/10000*Flux!$D$7:$D$926))/K23)</f>
        <v>1500927.4107301058</v>
      </c>
      <c r="AB23" s="13">
        <f>RL_NAV*U23*(1-SUMPRODUCT((Flux!$B$7:$B$926=B23)*Flux!$F$7:$F$926*EXP(-(RL_Choc_Taux+IF(Q23&gt;0,RL_Choc_Spread,0))/10000*Flux!$D$7:$D$926))/K23)</f>
        <v>1500927.4107301058</v>
      </c>
      <c r="AC23" s="9" t="str">
        <f t="shared" si="9"/>
        <v/>
      </c>
      <c r="AD23" s="27">
        <f>SUMIF(Flux!$B$7:$B$926,B23,Flux!$F$7:$F$926)-K23</f>
        <v>0</v>
      </c>
      <c r="AE23" s="28">
        <v>0.92118215214561017</v>
      </c>
      <c r="AF23" s="21">
        <f t="shared" si="10"/>
        <v>4.0723798845462058</v>
      </c>
    </row>
    <row r="24" spans="2:32" x14ac:dyDescent="0.2">
      <c r="B24" s="9" t="s">
        <v>155</v>
      </c>
      <c r="C24" s="9" t="s">
        <v>156</v>
      </c>
      <c r="D24" s="9" t="s">
        <v>157</v>
      </c>
      <c r="E24" s="19">
        <v>47345</v>
      </c>
      <c r="F24" s="20">
        <v>0</v>
      </c>
      <c r="G24" s="13">
        <v>209900000</v>
      </c>
      <c r="H24" s="21">
        <v>91.968000000000004</v>
      </c>
      <c r="I24" s="22">
        <v>0</v>
      </c>
      <c r="J24" s="22">
        <v>193040832</v>
      </c>
      <c r="K24" s="21">
        <f t="shared" si="0"/>
        <v>91.968000000000004</v>
      </c>
      <c r="L24" s="23">
        <v>-3.5988870150518468</v>
      </c>
      <c r="M24" s="24">
        <v>1.2021051405287959</v>
      </c>
      <c r="N24" s="24">
        <v>2.9238359956792812</v>
      </c>
      <c r="O24" s="24">
        <v>0</v>
      </c>
      <c r="P24" s="21">
        <f t="shared" si="1"/>
        <v>4.1259411362080769</v>
      </c>
      <c r="Q24" s="21">
        <f t="shared" si="2"/>
        <v>0</v>
      </c>
      <c r="R24" s="25" t="s">
        <v>158</v>
      </c>
      <c r="S24" s="13">
        <f t="shared" si="3"/>
        <v>193040832</v>
      </c>
      <c r="T24" s="26">
        <f t="shared" si="4"/>
        <v>7.4469113703422712E-2</v>
      </c>
      <c r="U24" s="26">
        <f t="shared" si="5"/>
        <v>7.4469113703422712E-2</v>
      </c>
      <c r="V24" s="13">
        <f>RL_NAV*T24*(M24*Calculs!$I$13+N24*Calculs!$I$14+O24*Calculs!$I$15+AF24*Calculs!$I$22)</f>
        <v>765111.87067756651</v>
      </c>
      <c r="W24" s="13">
        <f>RL_NAV*U24*(M24*Calculs!$J$13+N24*Calculs!$J$14+O24*Calculs!$J$15+AF24*Calculs!$J$22)</f>
        <v>765111.87067756651</v>
      </c>
      <c r="X24" s="13">
        <f t="shared" si="6"/>
        <v>3963.4716798027816</v>
      </c>
      <c r="Y24" s="13">
        <f t="shared" si="7"/>
        <v>7964751.097166324</v>
      </c>
      <c r="Z24" s="13">
        <f t="shared" si="8"/>
        <v>7964751.097166324</v>
      </c>
      <c r="AA24" s="13">
        <f>RL_NAV*T24*(1-SUMPRODUCT((Flux!$B$7:$B$926=B24)*Flux!$F$7:$F$926*EXP(-(RL_Choc_Taux+IF(Q24&gt;0,RL_Choc_Spread,0))/10000*Flux!$D$7:$D$926))/K24)</f>
        <v>7802677.2923335973</v>
      </c>
      <c r="AB24" s="13">
        <f>RL_NAV*U24*(1-SUMPRODUCT((Flux!$B$7:$B$926=B24)*Flux!$F$7:$F$926*EXP(-(RL_Choc_Taux+IF(Q24&gt;0,RL_Choc_Spread,0))/10000*Flux!$D$7:$D$926))/K24)</f>
        <v>7802677.2923335973</v>
      </c>
      <c r="AC24" s="9" t="str">
        <f t="shared" si="9"/>
        <v/>
      </c>
      <c r="AD24" s="27">
        <f>SUMIF(Flux!$B$7:$B$926,B24,Flux!$F$7:$F$926)-K24</f>
        <v>0</v>
      </c>
      <c r="AE24" s="28">
        <v>0</v>
      </c>
      <c r="AF24" s="21">
        <f t="shared" si="10"/>
        <v>0</v>
      </c>
    </row>
    <row r="25" spans="2:32" x14ac:dyDescent="0.2">
      <c r="B25" s="9" t="s">
        <v>159</v>
      </c>
      <c r="C25" s="9" t="s">
        <v>160</v>
      </c>
      <c r="D25" s="9" t="s">
        <v>161</v>
      </c>
      <c r="E25" s="19">
        <v>46547</v>
      </c>
      <c r="F25" s="20">
        <v>2.625</v>
      </c>
      <c r="G25" s="13">
        <v>15100000</v>
      </c>
      <c r="H25" s="21">
        <v>99.72</v>
      </c>
      <c r="I25" s="22">
        <v>24977.05</v>
      </c>
      <c r="J25" s="22">
        <v>15082697.050000001</v>
      </c>
      <c r="K25" s="21">
        <f t="shared" si="0"/>
        <v>99.885410927152321</v>
      </c>
      <c r="L25" s="23">
        <v>88.569291154863492</v>
      </c>
      <c r="M25" s="24">
        <v>1.91554086173504</v>
      </c>
      <c r="N25" s="24">
        <v>0</v>
      </c>
      <c r="O25" s="24">
        <v>0</v>
      </c>
      <c r="P25" s="21">
        <f t="shared" si="1"/>
        <v>1.91554086173504</v>
      </c>
      <c r="Q25" s="21">
        <f t="shared" si="2"/>
        <v>1.91554086173504</v>
      </c>
      <c r="R25" s="25" t="s">
        <v>109</v>
      </c>
      <c r="S25" s="13">
        <f t="shared" si="3"/>
        <v>15082697.050000001</v>
      </c>
      <c r="T25" s="26">
        <f t="shared" si="4"/>
        <v>5.8184326597324676E-3</v>
      </c>
      <c r="U25" s="26">
        <f t="shared" si="5"/>
        <v>5.8184326597324676E-3</v>
      </c>
      <c r="V25" s="13">
        <f>RL_NAV*T25*(M25*Calculs!$I$13+N25*Calculs!$I$14+O25*Calculs!$I$15+AF25*Calculs!$I$22)</f>
        <v>52586.988007122767</v>
      </c>
      <c r="W25" s="13">
        <f>RL_NAV*U25*(M25*Calculs!$J$13+N25*Calculs!$J$14+O25*Calculs!$J$15+AF25*Calculs!$J$22)</f>
        <v>52586.988007122767</v>
      </c>
      <c r="X25" s="13">
        <f t="shared" si="6"/>
        <v>3486.5772237414772</v>
      </c>
      <c r="Y25" s="13">
        <f t="shared" si="7"/>
        <v>722288.06261113868</v>
      </c>
      <c r="Z25" s="13">
        <f t="shared" si="8"/>
        <v>722288.06261113868</v>
      </c>
      <c r="AA25" s="13">
        <f>RL_NAV*T25*(1-SUMPRODUCT((Flux!$B$7:$B$926=B25)*Flux!$F$7:$F$926*EXP(-(RL_Choc_Taux+IF(Q25&gt;0,RL_Choc_Spread,0))/10000*Flux!$D$7:$D$926))/K25)</f>
        <v>705153.34038130392</v>
      </c>
      <c r="AB25" s="13">
        <f>RL_NAV*U25*(1-SUMPRODUCT((Flux!$B$7:$B$926=B25)*Flux!$F$7:$F$926*EXP(-(RL_Choc_Taux+IF(Q25&gt;0,RL_Choc_Spread,0))/10000*Flux!$D$7:$D$926))/K25)</f>
        <v>705153.34038130392</v>
      </c>
      <c r="AC25" s="9" t="str">
        <f t="shared" si="9"/>
        <v/>
      </c>
      <c r="AD25" s="27">
        <f>SUMIF(Flux!$B$7:$B$926,B25,Flux!$F$7:$F$926)-K25</f>
        <v>0</v>
      </c>
      <c r="AE25" s="28">
        <v>0.82008602921169926</v>
      </c>
      <c r="AF25" s="21">
        <f t="shared" si="10"/>
        <v>1.5709082990930456</v>
      </c>
    </row>
    <row r="26" spans="2:32" x14ac:dyDescent="0.2">
      <c r="B26" s="9" t="s">
        <v>162</v>
      </c>
      <c r="C26" s="9" t="s">
        <v>163</v>
      </c>
      <c r="D26" s="9" t="s">
        <v>164</v>
      </c>
      <c r="E26" s="19">
        <v>47810</v>
      </c>
      <c r="F26" s="20">
        <v>5</v>
      </c>
      <c r="G26" s="13">
        <v>12000000</v>
      </c>
      <c r="H26" s="21">
        <v>108.36</v>
      </c>
      <c r="I26" s="22">
        <v>363287.67</v>
      </c>
      <c r="J26" s="22">
        <v>13366487.67</v>
      </c>
      <c r="K26" s="21">
        <f t="shared" si="0"/>
        <v>111.38739724999999</v>
      </c>
      <c r="L26" s="23">
        <v>104.85314502784379</v>
      </c>
      <c r="M26" s="24">
        <v>0.27287538551936757</v>
      </c>
      <c r="N26" s="24">
        <v>4.1455107253372789</v>
      </c>
      <c r="O26" s="24">
        <v>0.34087963330872523</v>
      </c>
      <c r="P26" s="21">
        <f t="shared" si="1"/>
        <v>4.7592657441653721</v>
      </c>
      <c r="Q26" s="21">
        <f t="shared" si="2"/>
        <v>4.7592657441653721</v>
      </c>
      <c r="R26" s="25" t="s">
        <v>109</v>
      </c>
      <c r="S26" s="13">
        <f t="shared" si="3"/>
        <v>13366487.67</v>
      </c>
      <c r="T26" s="26">
        <f t="shared" si="4"/>
        <v>5.1563727725366815E-3</v>
      </c>
      <c r="U26" s="26">
        <f t="shared" si="5"/>
        <v>5.1563727725366815E-3</v>
      </c>
      <c r="V26" s="13">
        <f>RL_NAV*T26*(M26*Calculs!$I$13+N26*Calculs!$I$14+O26*Calculs!$I$15+AF26*Calculs!$I$22)</f>
        <v>129638.51020701618</v>
      </c>
      <c r="W26" s="13">
        <f>RL_NAV*U26*(M26*Calculs!$J$13+N26*Calculs!$J$14+O26*Calculs!$J$15+AF26*Calculs!$J$22)</f>
        <v>129638.51020701618</v>
      </c>
      <c r="X26" s="13">
        <f t="shared" si="6"/>
        <v>9698.7715402588019</v>
      </c>
      <c r="Y26" s="13">
        <f t="shared" si="7"/>
        <v>1590366.6721909954</v>
      </c>
      <c r="Z26" s="13">
        <f t="shared" si="8"/>
        <v>1590366.6721909954</v>
      </c>
      <c r="AA26" s="13">
        <f>RL_NAV*T26*(1-SUMPRODUCT((Flux!$B$7:$B$926=B26)*Flux!$F$7:$F$926*EXP(-(RL_Choc_Taux+IF(Q26&gt;0,RL_Choc_Spread,0))/10000*Flux!$D$7:$D$926))/K26)</f>
        <v>1491921.2481418527</v>
      </c>
      <c r="AB26" s="13">
        <f>RL_NAV*U26*(1-SUMPRODUCT((Flux!$B$7:$B$926=B26)*Flux!$F$7:$F$926*EXP(-(RL_Choc_Taux+IF(Q26&gt;0,RL_Choc_Spread,0))/10000*Flux!$D$7:$D$926))/K26)</f>
        <v>1491921.2481418527</v>
      </c>
      <c r="AC26" s="9" t="str">
        <f t="shared" si="9"/>
        <v/>
      </c>
      <c r="AD26" s="27">
        <f>SUMIF(Flux!$B$7:$B$926,B26,Flux!$F$7:$F$926)-K26</f>
        <v>0</v>
      </c>
      <c r="AE26" s="28">
        <v>0.97086245396151716</v>
      </c>
      <c r="AF26" s="21">
        <f t="shared" si="10"/>
        <v>4.6205924194353791</v>
      </c>
    </row>
    <row r="27" spans="2:32" x14ac:dyDescent="0.2">
      <c r="B27" s="9" t="s">
        <v>165</v>
      </c>
      <c r="C27" s="9" t="s">
        <v>166</v>
      </c>
      <c r="D27" s="9" t="s">
        <v>167</v>
      </c>
      <c r="E27" s="19">
        <v>47862</v>
      </c>
      <c r="F27" s="20">
        <v>3.75</v>
      </c>
      <c r="G27" s="13">
        <v>9000000</v>
      </c>
      <c r="H27" s="21">
        <v>100.968</v>
      </c>
      <c r="I27" s="22">
        <v>156267.12</v>
      </c>
      <c r="J27" s="22">
        <v>9243387.1199999992</v>
      </c>
      <c r="K27" s="21">
        <f t="shared" si="0"/>
        <v>102.70430133333332</v>
      </c>
      <c r="L27" s="23">
        <v>129.20310036735759</v>
      </c>
      <c r="M27" s="24">
        <v>0.22080327229358851</v>
      </c>
      <c r="N27" s="24">
        <v>4.3056163866452346</v>
      </c>
      <c r="O27" s="24">
        <v>0.49915227477781288</v>
      </c>
      <c r="P27" s="21">
        <f t="shared" si="1"/>
        <v>5.0255719337166358</v>
      </c>
      <c r="Q27" s="21">
        <f t="shared" si="2"/>
        <v>5.0255719337166358</v>
      </c>
      <c r="R27" s="25" t="s">
        <v>109</v>
      </c>
      <c r="S27" s="13">
        <f t="shared" si="3"/>
        <v>9243387.1199999992</v>
      </c>
      <c r="T27" s="26">
        <f t="shared" si="4"/>
        <v>3.5658095715420091E-3</v>
      </c>
      <c r="U27" s="26">
        <f t="shared" si="5"/>
        <v>3.5658095715420091E-3</v>
      </c>
      <c r="V27" s="13">
        <f>RL_NAV*T27*(M27*Calculs!$I$13+N27*Calculs!$I$14+O27*Calculs!$I$15+AF27*Calculs!$I$22)</f>
        <v>106138.64883020324</v>
      </c>
      <c r="W27" s="13">
        <f>RL_NAV*U27*(M27*Calculs!$J$13+N27*Calculs!$J$14+O27*Calculs!$J$15+AF27*Calculs!$J$22)</f>
        <v>106138.64883020324</v>
      </c>
      <c r="X27" s="13">
        <f t="shared" si="6"/>
        <v>11482.657542336412</v>
      </c>
      <c r="Y27" s="13">
        <f t="shared" si="7"/>
        <v>1161332.6720687461</v>
      </c>
      <c r="Z27" s="13">
        <f t="shared" si="8"/>
        <v>1161332.6720687461</v>
      </c>
      <c r="AA27" s="13">
        <f>RL_NAV*T27*(1-SUMPRODUCT((Flux!$B$7:$B$926=B27)*Flux!$F$7:$F$926*EXP(-(RL_Choc_Taux+IF(Q27&gt;0,RL_Choc_Spread,0))/10000*Flux!$D$7:$D$926))/K27)</f>
        <v>1087018.0483813528</v>
      </c>
      <c r="AB27" s="13">
        <f>RL_NAV*U27*(1-SUMPRODUCT((Flux!$B$7:$B$926=B27)*Flux!$F$7:$F$926*EXP(-(RL_Choc_Taux+IF(Q27&gt;0,RL_Choc_Spread,0))/10000*Flux!$D$7:$D$926))/K27)</f>
        <v>1087018.0483813528</v>
      </c>
      <c r="AC27" s="9" t="str">
        <f t="shared" si="9"/>
        <v/>
      </c>
      <c r="AD27" s="27">
        <f>SUMIF(Flux!$B$7:$B$926,B27,Flux!$F$7:$F$926)-K27</f>
        <v>0</v>
      </c>
      <c r="AE27" s="28">
        <v>1.196325003401459</v>
      </c>
      <c r="AF27" s="21">
        <f t="shared" si="10"/>
        <v>6.0122173606978313</v>
      </c>
    </row>
    <row r="28" spans="2:32" x14ac:dyDescent="0.2">
      <c r="B28" s="9" t="s">
        <v>168</v>
      </c>
      <c r="C28" s="9" t="s">
        <v>169</v>
      </c>
      <c r="D28" s="9" t="s">
        <v>167</v>
      </c>
      <c r="E28" s="19">
        <v>46889</v>
      </c>
      <c r="F28" s="20">
        <v>4.25</v>
      </c>
      <c r="G28" s="13">
        <v>10000000</v>
      </c>
      <c r="H28" s="21">
        <v>103.8275</v>
      </c>
      <c r="I28" s="22">
        <v>54726.03</v>
      </c>
      <c r="J28" s="22">
        <v>10437476.029999999</v>
      </c>
      <c r="K28" s="21">
        <f t="shared" si="0"/>
        <v>104.37476029999999</v>
      </c>
      <c r="L28" s="23">
        <v>86.242179188190065</v>
      </c>
      <c r="M28" s="24">
        <v>1.983512241860709</v>
      </c>
      <c r="N28" s="24">
        <v>0.77560379262550061</v>
      </c>
      <c r="O28" s="24">
        <v>0</v>
      </c>
      <c r="P28" s="21">
        <f t="shared" si="1"/>
        <v>2.7591160344862096</v>
      </c>
      <c r="Q28" s="21">
        <f t="shared" si="2"/>
        <v>2.7591160344862096</v>
      </c>
      <c r="R28" s="25" t="s">
        <v>109</v>
      </c>
      <c r="S28" s="13">
        <f t="shared" si="3"/>
        <v>10437476.029999999</v>
      </c>
      <c r="T28" s="26">
        <f t="shared" si="4"/>
        <v>4.0264517159500175E-3</v>
      </c>
      <c r="U28" s="26">
        <f t="shared" si="5"/>
        <v>4.0264517159500175E-3</v>
      </c>
      <c r="V28" s="13">
        <f>RL_NAV*T28*(M28*Calculs!$I$13+N28*Calculs!$I$14+O28*Calculs!$I$15+AF28*Calculs!$I$22)</f>
        <v>52220.802467310226</v>
      </c>
      <c r="W28" s="13">
        <f>RL_NAV*U28*(M28*Calculs!$J$13+N28*Calculs!$J$14+O28*Calculs!$J$15+AF28*Calculs!$J$22)</f>
        <v>52220.802467310226</v>
      </c>
      <c r="X28" s="13">
        <f t="shared" si="6"/>
        <v>5003.2021455392251</v>
      </c>
      <c r="Y28" s="13">
        <f t="shared" si="7"/>
        <v>719955.18684846163</v>
      </c>
      <c r="Z28" s="13">
        <f t="shared" si="8"/>
        <v>719955.18684846163</v>
      </c>
      <c r="AA28" s="13">
        <f>RL_NAV*T28*(1-SUMPRODUCT((Flux!$B$7:$B$926=B28)*Flux!$F$7:$F$926*EXP(-(RL_Choc_Taux+IF(Q28&gt;0,RL_Choc_Spread,0))/10000*Flux!$D$7:$D$926))/K28)</f>
        <v>695117.900582665</v>
      </c>
      <c r="AB28" s="13">
        <f>RL_NAV*U28*(1-SUMPRODUCT((Flux!$B$7:$B$926=B28)*Flux!$F$7:$F$926*EXP(-(RL_Choc_Taux+IF(Q28&gt;0,RL_Choc_Spread,0))/10000*Flux!$D$7:$D$926))/K28)</f>
        <v>695117.900582665</v>
      </c>
      <c r="AC28" s="9" t="str">
        <f t="shared" si="9"/>
        <v/>
      </c>
      <c r="AD28" s="27">
        <f>SUMIF(Flux!$B$7:$B$926,B28,Flux!$F$7:$F$926)-K28</f>
        <v>0</v>
      </c>
      <c r="AE28" s="28">
        <v>0.79853869618694528</v>
      </c>
      <c r="AF28" s="21">
        <f t="shared" si="10"/>
        <v>2.2032609208071126</v>
      </c>
    </row>
    <row r="29" spans="2:32" x14ac:dyDescent="0.2">
      <c r="B29" s="9" t="s">
        <v>170</v>
      </c>
      <c r="C29" s="9" t="s">
        <v>171</v>
      </c>
      <c r="D29" s="9" t="s">
        <v>172</v>
      </c>
      <c r="E29" s="19">
        <v>47240</v>
      </c>
      <c r="F29" s="20">
        <v>4.75</v>
      </c>
      <c r="G29" s="13">
        <v>14800000</v>
      </c>
      <c r="H29" s="21">
        <v>105.7135</v>
      </c>
      <c r="I29" s="22">
        <v>117487.67</v>
      </c>
      <c r="J29" s="22">
        <v>15763085.67</v>
      </c>
      <c r="K29" s="21">
        <f t="shared" si="0"/>
        <v>106.50733560810809</v>
      </c>
      <c r="L29" s="23">
        <v>106.24468887203049</v>
      </c>
      <c r="M29" s="24">
        <v>1.4956758730202571</v>
      </c>
      <c r="N29" s="24">
        <v>2.0866373633448938</v>
      </c>
      <c r="O29" s="24">
        <v>0</v>
      </c>
      <c r="P29" s="21">
        <f t="shared" si="1"/>
        <v>3.5823132363651506</v>
      </c>
      <c r="Q29" s="21">
        <f t="shared" si="2"/>
        <v>3.5823132363651506</v>
      </c>
      <c r="R29" s="25" t="s">
        <v>109</v>
      </c>
      <c r="S29" s="13">
        <f t="shared" si="3"/>
        <v>15763085.67</v>
      </c>
      <c r="T29" s="26">
        <f t="shared" si="4"/>
        <v>6.0809053033713777E-3</v>
      </c>
      <c r="U29" s="26">
        <f t="shared" si="5"/>
        <v>6.0809053033713777E-3</v>
      </c>
      <c r="V29" s="13">
        <f>RL_NAV*T29*(M29*Calculs!$I$13+N29*Calculs!$I$14+O29*Calculs!$I$15+AF29*Calculs!$I$22)</f>
        <v>114922.40653975794</v>
      </c>
      <c r="W29" s="13">
        <f>RL_NAV*U29*(M29*Calculs!$J$13+N29*Calculs!$J$14+O29*Calculs!$J$15+AF29*Calculs!$J$22)</f>
        <v>114922.40653975794</v>
      </c>
      <c r="X29" s="13">
        <f t="shared" si="6"/>
        <v>7290.6034354984213</v>
      </c>
      <c r="Y29" s="13">
        <f t="shared" si="7"/>
        <v>1411707.7610399707</v>
      </c>
      <c r="Z29" s="13">
        <f t="shared" si="8"/>
        <v>1411707.7610399707</v>
      </c>
      <c r="AA29" s="13">
        <f>RL_NAV*T29*(1-SUMPRODUCT((Flux!$B$7:$B$926=B29)*Flux!$F$7:$F$926*EXP(-(RL_Choc_Taux+IF(Q29&gt;0,RL_Choc_Spread,0))/10000*Flux!$D$7:$D$926))/K29)</f>
        <v>1347879.1058646941</v>
      </c>
      <c r="AB29" s="13">
        <f>RL_NAV*U29*(1-SUMPRODUCT((Flux!$B$7:$B$926=B29)*Flux!$F$7:$F$926*EXP(-(RL_Choc_Taux+IF(Q29&gt;0,RL_Choc_Spread,0))/10000*Flux!$D$7:$D$926))/K29)</f>
        <v>1347879.1058646941</v>
      </c>
      <c r="AC29" s="9" t="str">
        <f t="shared" si="9"/>
        <v/>
      </c>
      <c r="AD29" s="27">
        <f>SUMIF(Flux!$B$7:$B$926,B29,Flux!$F$7:$F$926)-K29</f>
        <v>0</v>
      </c>
      <c r="AE29" s="28">
        <v>0.98374711918546742</v>
      </c>
      <c r="AF29" s="21">
        <f t="shared" si="10"/>
        <v>3.5240903262941852</v>
      </c>
    </row>
    <row r="30" spans="2:32" x14ac:dyDescent="0.2">
      <c r="B30" s="9" t="s">
        <v>173</v>
      </c>
      <c r="C30" s="9" t="s">
        <v>174</v>
      </c>
      <c r="D30" s="9" t="s">
        <v>172</v>
      </c>
      <c r="E30" s="19">
        <v>46958</v>
      </c>
      <c r="F30" s="20">
        <v>4.5</v>
      </c>
      <c r="G30" s="13">
        <v>4400000</v>
      </c>
      <c r="H30" s="21">
        <v>103.35550000000001</v>
      </c>
      <c r="I30" s="22">
        <v>186065.75</v>
      </c>
      <c r="J30" s="22">
        <v>4733707.75</v>
      </c>
      <c r="K30" s="21">
        <f t="shared" si="0"/>
        <v>107.58426704545454</v>
      </c>
      <c r="L30" s="23">
        <v>131.54107053606819</v>
      </c>
      <c r="M30" s="24">
        <v>1.8614975939607219</v>
      </c>
      <c r="N30" s="24">
        <v>0.95944106896939596</v>
      </c>
      <c r="O30" s="24">
        <v>0</v>
      </c>
      <c r="P30" s="21">
        <f t="shared" si="1"/>
        <v>2.8209386629301179</v>
      </c>
      <c r="Q30" s="21">
        <f t="shared" si="2"/>
        <v>2.8209386629301179</v>
      </c>
      <c r="R30" s="25" t="s">
        <v>109</v>
      </c>
      <c r="S30" s="13">
        <f t="shared" si="3"/>
        <v>4733707.75</v>
      </c>
      <c r="T30" s="26">
        <f t="shared" si="4"/>
        <v>1.8261163559092166E-3</v>
      </c>
      <c r="U30" s="26">
        <f t="shared" si="5"/>
        <v>1.8261163559092166E-3</v>
      </c>
      <c r="V30" s="13">
        <f>RL_NAV*T30*(M30*Calculs!$I$13+N30*Calculs!$I$14+O30*Calculs!$I$15+AF30*Calculs!$I$22)</f>
        <v>30422.703577501128</v>
      </c>
      <c r="W30" s="13">
        <f>RL_NAV*U30*(M30*Calculs!$J$13+N30*Calculs!$J$14+O30*Calculs!$J$15+AF30*Calculs!$J$22)</f>
        <v>30422.703577501128</v>
      </c>
      <c r="X30" s="13">
        <f t="shared" si="6"/>
        <v>6426.8233664195113</v>
      </c>
      <c r="Y30" s="13">
        <f t="shared" si="7"/>
        <v>333837.48027467343</v>
      </c>
      <c r="Z30" s="13">
        <f t="shared" si="8"/>
        <v>333837.48027467343</v>
      </c>
      <c r="AA30" s="13">
        <f>RL_NAV*T30*(1-SUMPRODUCT((Flux!$B$7:$B$926=B30)*Flux!$F$7:$F$926*EXP(-(RL_Choc_Taux+IF(Q30&gt;0,RL_Choc_Spread,0))/10000*Flux!$D$7:$D$926))/K30)</f>
        <v>321612.30046845134</v>
      </c>
      <c r="AB30" s="13">
        <f>RL_NAV*U30*(1-SUMPRODUCT((Flux!$B$7:$B$926=B30)*Flux!$F$7:$F$926*EXP(-(RL_Choc_Taux+IF(Q30&gt;0,RL_Choc_Spread,0))/10000*Flux!$D$7:$D$926))/K30)</f>
        <v>321612.30046845134</v>
      </c>
      <c r="AC30" s="9" t="str">
        <f t="shared" si="9"/>
        <v/>
      </c>
      <c r="AD30" s="27">
        <f>SUMIF(Flux!$B$7:$B$926,B30,Flux!$F$7:$F$926)-K30</f>
        <v>0</v>
      </c>
      <c r="AE30" s="28">
        <v>1.2179728753339649</v>
      </c>
      <c r="AF30" s="21">
        <f t="shared" si="10"/>
        <v>3.4358267744297462</v>
      </c>
    </row>
    <row r="31" spans="2:32" x14ac:dyDescent="0.2">
      <c r="B31" s="9" t="s">
        <v>175</v>
      </c>
      <c r="C31" s="9" t="s">
        <v>176</v>
      </c>
      <c r="D31" s="9" t="s">
        <v>172</v>
      </c>
      <c r="E31" s="19">
        <v>46829</v>
      </c>
      <c r="F31" s="20">
        <v>3.5</v>
      </c>
      <c r="G31" s="13">
        <v>15000000</v>
      </c>
      <c r="H31" s="21">
        <v>101.711</v>
      </c>
      <c r="I31" s="22">
        <v>153904.10999999999</v>
      </c>
      <c r="J31" s="22">
        <v>15410554.109999999</v>
      </c>
      <c r="K31" s="21">
        <f t="shared" si="0"/>
        <v>102.73702739999999</v>
      </c>
      <c r="L31" s="23">
        <v>86.794963993073182</v>
      </c>
      <c r="M31" s="24">
        <v>2.011245846740997</v>
      </c>
      <c r="N31" s="24">
        <v>0.60249752958389902</v>
      </c>
      <c r="O31" s="24">
        <v>0</v>
      </c>
      <c r="P31" s="21">
        <f t="shared" si="1"/>
        <v>2.6137433763248961</v>
      </c>
      <c r="Q31" s="21">
        <f t="shared" si="2"/>
        <v>2.6137433763248961</v>
      </c>
      <c r="R31" s="25" t="s">
        <v>109</v>
      </c>
      <c r="S31" s="13">
        <f t="shared" si="3"/>
        <v>15410554.109999999</v>
      </c>
      <c r="T31" s="26">
        <f t="shared" si="4"/>
        <v>5.9449096564727728E-3</v>
      </c>
      <c r="U31" s="26">
        <f t="shared" si="5"/>
        <v>5.9449096564727728E-3</v>
      </c>
      <c r="V31" s="13">
        <f>RL_NAV*T31*(M31*Calculs!$I$13+N31*Calculs!$I$14+O31*Calculs!$I$15+AF31*Calculs!$I$22)</f>
        <v>73144.126892392829</v>
      </c>
      <c r="W31" s="13">
        <f>RL_NAV*U31*(M31*Calculs!$J$13+N31*Calculs!$J$14+O31*Calculs!$J$15+AF31*Calculs!$J$22)</f>
        <v>73144.126892392829</v>
      </c>
      <c r="X31" s="13">
        <f t="shared" si="6"/>
        <v>4746.3657938768838</v>
      </c>
      <c r="Y31" s="13">
        <f t="shared" si="7"/>
        <v>1006980.8432627226</v>
      </c>
      <c r="Z31" s="13">
        <f t="shared" si="8"/>
        <v>1006980.8432627226</v>
      </c>
      <c r="AA31" s="13">
        <f>RL_NAV*T31*(1-SUMPRODUCT((Flux!$B$7:$B$926=B31)*Flux!$F$7:$F$926*EXP(-(RL_Choc_Taux+IF(Q31&gt;0,RL_Choc_Spread,0))/10000*Flux!$D$7:$D$926))/K31)</f>
        <v>974069.90998871508</v>
      </c>
      <c r="AB31" s="13">
        <f>RL_NAV*U31*(1-SUMPRODUCT((Flux!$B$7:$B$926=B31)*Flux!$F$7:$F$926*EXP(-(RL_Choc_Taux+IF(Q31&gt;0,RL_Choc_Spread,0))/10000*Flux!$D$7:$D$926))/K31)</f>
        <v>974069.90998871508</v>
      </c>
      <c r="AC31" s="9" t="str">
        <f t="shared" si="9"/>
        <v/>
      </c>
      <c r="AD31" s="27">
        <f>SUMIF(Flux!$B$7:$B$926,B31,Flux!$F$7:$F$926)-K31</f>
        <v>0</v>
      </c>
      <c r="AE31" s="28">
        <v>0.80365707400993713</v>
      </c>
      <c r="AF31" s="21">
        <f t="shared" si="10"/>
        <v>2.10055335403012</v>
      </c>
    </row>
    <row r="32" spans="2:32" x14ac:dyDescent="0.2">
      <c r="B32" s="9" t="s">
        <v>177</v>
      </c>
      <c r="C32" s="9" t="s">
        <v>178</v>
      </c>
      <c r="D32" s="9" t="s">
        <v>179</v>
      </c>
      <c r="E32" s="19">
        <v>47057</v>
      </c>
      <c r="F32" s="20">
        <v>7.125</v>
      </c>
      <c r="G32" s="13">
        <v>16400000</v>
      </c>
      <c r="H32" s="21">
        <v>106.867</v>
      </c>
      <c r="I32" s="22">
        <v>781134.25</v>
      </c>
      <c r="J32" s="22">
        <v>18307322.25</v>
      </c>
      <c r="K32" s="21">
        <f t="shared" si="0"/>
        <v>111.63001371951221</v>
      </c>
      <c r="L32" s="23">
        <v>273.54105439449711</v>
      </c>
      <c r="M32" s="24">
        <v>1.7365341085884931</v>
      </c>
      <c r="N32" s="24">
        <v>1.234731645282062</v>
      </c>
      <c r="O32" s="24">
        <v>0</v>
      </c>
      <c r="P32" s="21">
        <f t="shared" si="1"/>
        <v>2.9712657538705551</v>
      </c>
      <c r="Q32" s="21">
        <f t="shared" si="2"/>
        <v>2.9712657538705551</v>
      </c>
      <c r="R32" s="25" t="s">
        <v>109</v>
      </c>
      <c r="S32" s="13">
        <f t="shared" si="3"/>
        <v>18307322.25</v>
      </c>
      <c r="T32" s="26">
        <f t="shared" si="4"/>
        <v>7.0623921794972918E-3</v>
      </c>
      <c r="U32" s="26">
        <f t="shared" si="5"/>
        <v>7.0623921794972918E-3</v>
      </c>
      <c r="V32" s="13">
        <f>RL_NAV*T32*(M32*Calculs!$I$13+N32*Calculs!$I$14+O32*Calculs!$I$15+AF32*Calculs!$I$22)</f>
        <v>202846.98637897914</v>
      </c>
      <c r="W32" s="13">
        <f>RL_NAV*U32*(M32*Calculs!$J$13+N32*Calculs!$J$14+O32*Calculs!$J$15+AF32*Calculs!$J$22)</f>
        <v>202846.98637897914</v>
      </c>
      <c r="X32" s="13">
        <f t="shared" si="6"/>
        <v>11080.101371951278</v>
      </c>
      <c r="Y32" s="13">
        <f t="shared" si="7"/>
        <v>1359897.9911624359</v>
      </c>
      <c r="Z32" s="13">
        <f t="shared" si="8"/>
        <v>1359897.9911624359</v>
      </c>
      <c r="AA32" s="13">
        <f>RL_NAV*T32*(1-SUMPRODUCT((Flux!$B$7:$B$926=B32)*Flux!$F$7:$F$926*EXP(-(RL_Choc_Taux+IF(Q32&gt;0,RL_Choc_Spread,0))/10000*Flux!$D$7:$D$926))/K32)</f>
        <v>1306679.0884242461</v>
      </c>
      <c r="AB32" s="13">
        <f>RL_NAV*U32*(1-SUMPRODUCT((Flux!$B$7:$B$926=B32)*Flux!$F$7:$F$926*EXP(-(RL_Choc_Taux+IF(Q32&gt;0,RL_Choc_Spread,0))/10000*Flux!$D$7:$D$926))/K32)</f>
        <v>1306679.0884242461</v>
      </c>
      <c r="AC32" s="9" t="str">
        <f t="shared" si="9"/>
        <v/>
      </c>
      <c r="AD32" s="27">
        <f>SUMIF(Flux!$B$7:$B$926,B32,Flux!$F$7:$F$926)-K32</f>
        <v>0</v>
      </c>
      <c r="AE32" s="28">
        <v>2.532787540689788</v>
      </c>
      <c r="AF32" s="21">
        <f t="shared" si="10"/>
        <v>7.525584881481592</v>
      </c>
    </row>
    <row r="33" spans="2:32" x14ac:dyDescent="0.2">
      <c r="B33" s="9" t="s">
        <v>180</v>
      </c>
      <c r="C33" s="9" t="s">
        <v>181</v>
      </c>
      <c r="D33" s="9" t="s">
        <v>182</v>
      </c>
      <c r="E33" s="19">
        <v>47137</v>
      </c>
      <c r="F33" s="20">
        <v>4.625</v>
      </c>
      <c r="G33" s="13">
        <v>28100000</v>
      </c>
      <c r="H33" s="21">
        <v>105.6865</v>
      </c>
      <c r="I33" s="22">
        <v>583941.1</v>
      </c>
      <c r="J33" s="22">
        <v>30281847.600000001</v>
      </c>
      <c r="K33" s="21">
        <f t="shared" si="0"/>
        <v>107.76458220640571</v>
      </c>
      <c r="L33" s="23">
        <v>86.591106476178496</v>
      </c>
      <c r="M33" s="24">
        <v>1.6708524522453769</v>
      </c>
      <c r="N33" s="24">
        <v>1.636341170902109</v>
      </c>
      <c r="O33" s="24">
        <v>0</v>
      </c>
      <c r="P33" s="21">
        <f t="shared" si="1"/>
        <v>3.3071936231474859</v>
      </c>
      <c r="Q33" s="21">
        <f t="shared" si="2"/>
        <v>3.3071936231474859</v>
      </c>
      <c r="R33" s="25" t="s">
        <v>109</v>
      </c>
      <c r="S33" s="13">
        <f t="shared" si="3"/>
        <v>30281847.600000001</v>
      </c>
      <c r="T33" s="26">
        <f t="shared" si="4"/>
        <v>1.1681789436517339E-2</v>
      </c>
      <c r="U33" s="26">
        <f t="shared" si="5"/>
        <v>1.1681789436517339E-2</v>
      </c>
      <c r="V33" s="13">
        <f>RL_NAV*T33*(M33*Calculs!$I$13+N33*Calculs!$I$14+O33*Calculs!$I$15+AF33*Calculs!$I$22)</f>
        <v>183243.01008544484</v>
      </c>
      <c r="W33" s="13">
        <f>RL_NAV*U33*(M33*Calculs!$J$13+N33*Calculs!$J$14+O33*Calculs!$J$15+AF33*Calculs!$J$22)</f>
        <v>183243.01008544484</v>
      </c>
      <c r="X33" s="13">
        <f t="shared" si="6"/>
        <v>6051.2493327997863</v>
      </c>
      <c r="Y33" s="13">
        <f t="shared" si="7"/>
        <v>2503698.3319961</v>
      </c>
      <c r="Z33" s="13">
        <f t="shared" si="8"/>
        <v>2503698.3319961</v>
      </c>
      <c r="AA33" s="13">
        <f>RL_NAV*T33*(1-SUMPRODUCT((Flux!$B$7:$B$926=B33)*Flux!$F$7:$F$926*EXP(-(RL_Choc_Taux+IF(Q33&gt;0,RL_Choc_Spread,0))/10000*Flux!$D$7:$D$926))/K33)</f>
        <v>2398347.9896522504</v>
      </c>
      <c r="AB33" s="13">
        <f>RL_NAV*U33*(1-SUMPRODUCT((Flux!$B$7:$B$926=B33)*Flux!$F$7:$F$926*EXP(-(RL_Choc_Taux+IF(Q33&gt;0,RL_Choc_Spread,0))/10000*Flux!$D$7:$D$926))/K33)</f>
        <v>2398347.9896522504</v>
      </c>
      <c r="AC33" s="9" t="str">
        <f t="shared" si="9"/>
        <v/>
      </c>
      <c r="AD33" s="27">
        <f>SUMIF(Flux!$B$7:$B$926,B33,Flux!$F$7:$F$926)-K33</f>
        <v>0</v>
      </c>
      <c r="AE33" s="28">
        <v>0.80176950440906036</v>
      </c>
      <c r="AF33" s="21">
        <f t="shared" si="10"/>
        <v>2.6516069922157643</v>
      </c>
    </row>
    <row r="34" spans="2:32" x14ac:dyDescent="0.2">
      <c r="B34" s="9" t="s">
        <v>183</v>
      </c>
      <c r="C34" s="9" t="s">
        <v>184</v>
      </c>
      <c r="D34" s="9" t="s">
        <v>185</v>
      </c>
      <c r="E34" s="19">
        <v>48699</v>
      </c>
      <c r="F34" s="20">
        <v>3.9</v>
      </c>
      <c r="G34" s="13">
        <v>20000000</v>
      </c>
      <c r="H34" s="21">
        <v>104.0715</v>
      </c>
      <c r="I34" s="22">
        <v>134630.14000000001</v>
      </c>
      <c r="J34" s="22">
        <v>20948930.140000001</v>
      </c>
      <c r="K34" s="21">
        <f t="shared" si="0"/>
        <v>104.74465070000001</v>
      </c>
      <c r="L34" s="23">
        <v>83.077207598025765</v>
      </c>
      <c r="M34" s="24">
        <v>0.22414945327534719</v>
      </c>
      <c r="N34" s="24">
        <v>3.13721697283545</v>
      </c>
      <c r="O34" s="24">
        <v>3.509348924052603</v>
      </c>
      <c r="P34" s="21">
        <f t="shared" si="1"/>
        <v>6.8707153501634002</v>
      </c>
      <c r="Q34" s="21">
        <f t="shared" si="2"/>
        <v>6.8707153501634002</v>
      </c>
      <c r="R34" s="25" t="s">
        <v>109</v>
      </c>
      <c r="S34" s="13">
        <f t="shared" si="3"/>
        <v>20948930.140000001</v>
      </c>
      <c r="T34" s="26">
        <f t="shared" si="4"/>
        <v>8.0814418607598991E-3</v>
      </c>
      <c r="U34" s="26">
        <f t="shared" si="5"/>
        <v>8.0814418607598991E-3</v>
      </c>
      <c r="V34" s="13">
        <f>RL_NAV*T34*(M34*Calculs!$I$13+N34*Calculs!$I$14+O34*Calculs!$I$15+AF34*Calculs!$I$22)</f>
        <v>257412.53612431986</v>
      </c>
      <c r="W34" s="13">
        <f>RL_NAV*U34*(M34*Calculs!$J$13+N34*Calculs!$J$14+O34*Calculs!$J$15+AF34*Calculs!$J$22)</f>
        <v>257412.53612431986</v>
      </c>
      <c r="X34" s="13">
        <f t="shared" si="6"/>
        <v>12287.622060126831</v>
      </c>
      <c r="Y34" s="13">
        <f t="shared" si="7"/>
        <v>3598353.3970599677</v>
      </c>
      <c r="Z34" s="13">
        <f t="shared" si="8"/>
        <v>3598353.3970599677</v>
      </c>
      <c r="AA34" s="13">
        <f>RL_NAV*T34*(1-SUMPRODUCT((Flux!$B$7:$B$926=B34)*Flux!$F$7:$F$926*EXP(-(RL_Choc_Taux+IF(Q34&gt;0,RL_Choc_Spread,0))/10000*Flux!$D$7:$D$926))/K34)</f>
        <v>3283626.5876935082</v>
      </c>
      <c r="AB34" s="13">
        <f>RL_NAV*U34*(1-SUMPRODUCT((Flux!$B$7:$B$926=B34)*Flux!$F$7:$F$926*EXP(-(RL_Choc_Taux+IF(Q34&gt;0,RL_Choc_Spread,0))/10000*Flux!$D$7:$D$926))/K34)</f>
        <v>3283626.5876935082</v>
      </c>
      <c r="AC34" s="9" t="str">
        <f t="shared" si="9"/>
        <v/>
      </c>
      <c r="AD34" s="27">
        <f>SUMIF(Flux!$B$7:$B$926,B34,Flux!$F$7:$F$926)-K34</f>
        <v>0</v>
      </c>
      <c r="AE34" s="28">
        <v>0.76923340368542392</v>
      </c>
      <c r="AF34" s="21">
        <f t="shared" si="10"/>
        <v>5.2851837545598812</v>
      </c>
    </row>
    <row r="35" spans="2:32" x14ac:dyDescent="0.2">
      <c r="B35" s="9" t="s">
        <v>186</v>
      </c>
      <c r="C35" s="9" t="s">
        <v>187</v>
      </c>
      <c r="D35" s="9" t="s">
        <v>188</v>
      </c>
      <c r="E35" s="19">
        <v>46364</v>
      </c>
      <c r="F35" s="20">
        <v>5.375</v>
      </c>
      <c r="G35" s="13">
        <v>10700000</v>
      </c>
      <c r="H35" s="21">
        <v>102.788</v>
      </c>
      <c r="I35" s="22">
        <v>324591.09999999998</v>
      </c>
      <c r="J35" s="22">
        <v>11322907.1</v>
      </c>
      <c r="K35" s="21">
        <f t="shared" si="0"/>
        <v>105.82156168224299</v>
      </c>
      <c r="L35" s="23">
        <v>142.80038337123531</v>
      </c>
      <c r="M35" s="24">
        <v>1.390078249643484</v>
      </c>
      <c r="N35" s="24">
        <v>0</v>
      </c>
      <c r="O35" s="24">
        <v>0</v>
      </c>
      <c r="P35" s="21">
        <f t="shared" si="1"/>
        <v>1.390078249643484</v>
      </c>
      <c r="Q35" s="21">
        <f t="shared" si="2"/>
        <v>1.390078249643484</v>
      </c>
      <c r="R35" s="25" t="s">
        <v>109</v>
      </c>
      <c r="S35" s="13">
        <f t="shared" si="3"/>
        <v>11322907.1</v>
      </c>
      <c r="T35" s="26">
        <f t="shared" si="4"/>
        <v>4.368023322046148E-3</v>
      </c>
      <c r="U35" s="26">
        <f t="shared" si="5"/>
        <v>4.368023322046148E-3</v>
      </c>
      <c r="V35" s="13">
        <f>RL_NAV*T35*(M35*Calculs!$I$13+N35*Calculs!$I$14+O35*Calculs!$I$15+AF35*Calculs!$I$22)</f>
        <v>37342.605925468706</v>
      </c>
      <c r="W35" s="13">
        <f>RL_NAV*U35*(M35*Calculs!$J$13+N35*Calculs!$J$14+O35*Calculs!$J$15+AF35*Calculs!$J$22)</f>
        <v>37342.605925468706</v>
      </c>
      <c r="X35" s="13">
        <f t="shared" si="6"/>
        <v>3297.9698230915196</v>
      </c>
      <c r="Y35" s="13">
        <f t="shared" si="7"/>
        <v>393493.17206109443</v>
      </c>
      <c r="Z35" s="13">
        <f t="shared" si="8"/>
        <v>393493.17206109443</v>
      </c>
      <c r="AA35" s="13">
        <f>RL_NAV*T35*(1-SUMPRODUCT((Flux!$B$7:$B$926=B35)*Flux!$F$7:$F$926*EXP(-(RL_Choc_Taux+IF(Q35&gt;0,RL_Choc_Spread,0))/10000*Flux!$D$7:$D$926))/K35)</f>
        <v>386570.82691510807</v>
      </c>
      <c r="AB35" s="13">
        <f>RL_NAV*U35*(1-SUMPRODUCT((Flux!$B$7:$B$926=B35)*Flux!$F$7:$F$926*EXP(-(RL_Choc_Taux+IF(Q35&gt;0,RL_Choc_Spread,0))/10000*Flux!$D$7:$D$926))/K35)</f>
        <v>386570.82691510807</v>
      </c>
      <c r="AC35" s="9" t="str">
        <f t="shared" si="9"/>
        <v/>
      </c>
      <c r="AD35" s="27">
        <f>SUMIF(Flux!$B$7:$B$926,B35,Flux!$F$7:$F$926)-K35</f>
        <v>0</v>
      </c>
      <c r="AE35" s="28">
        <v>1.3222257719558821</v>
      </c>
      <c r="AF35" s="21">
        <f t="shared" si="10"/>
        <v>1.8379972867139371</v>
      </c>
    </row>
    <row r="36" spans="2:32" x14ac:dyDescent="0.2">
      <c r="B36" s="9" t="s">
        <v>189</v>
      </c>
      <c r="C36" s="9" t="s">
        <v>190</v>
      </c>
      <c r="D36" s="9" t="s">
        <v>191</v>
      </c>
      <c r="E36" s="19">
        <v>46410</v>
      </c>
      <c r="F36" s="20">
        <v>6</v>
      </c>
      <c r="G36" s="13">
        <v>8700000</v>
      </c>
      <c r="H36" s="21">
        <v>104.95350000000001</v>
      </c>
      <c r="I36" s="22">
        <v>228821.92</v>
      </c>
      <c r="J36" s="22">
        <v>9359776.4199999999</v>
      </c>
      <c r="K36" s="21">
        <f t="shared" si="0"/>
        <v>107.58363701149425</v>
      </c>
      <c r="L36" s="23">
        <v>81.612174944488061</v>
      </c>
      <c r="M36" s="24">
        <v>1.5111524512406349</v>
      </c>
      <c r="N36" s="24">
        <v>0</v>
      </c>
      <c r="O36" s="24">
        <v>0</v>
      </c>
      <c r="P36" s="21">
        <f t="shared" si="1"/>
        <v>1.5111524512406349</v>
      </c>
      <c r="Q36" s="21">
        <f t="shared" si="2"/>
        <v>1.5111524512406349</v>
      </c>
      <c r="R36" s="25" t="s">
        <v>109</v>
      </c>
      <c r="S36" s="13">
        <f t="shared" si="3"/>
        <v>9359776.4199999999</v>
      </c>
      <c r="T36" s="26">
        <f t="shared" si="4"/>
        <v>3.6107089222429107E-3</v>
      </c>
      <c r="U36" s="26">
        <f t="shared" si="5"/>
        <v>3.6107089222429107E-3</v>
      </c>
      <c r="V36" s="13">
        <f>RL_NAV*T36*(M36*Calculs!$I$13+N36*Calculs!$I$14+O36*Calculs!$I$15+AF36*Calculs!$I$22)</f>
        <v>24742.091237803546</v>
      </c>
      <c r="W36" s="13">
        <f>RL_NAV*U36*(M36*Calculs!$J$13+N36*Calculs!$J$14+O36*Calculs!$J$15+AF36*Calculs!$J$22)</f>
        <v>24742.091237803546</v>
      </c>
      <c r="X36" s="13">
        <f t="shared" si="6"/>
        <v>2643.4489594147321</v>
      </c>
      <c r="Y36" s="13">
        <f t="shared" si="7"/>
        <v>353601.22700368235</v>
      </c>
      <c r="Z36" s="13">
        <f t="shared" si="8"/>
        <v>353601.22700368235</v>
      </c>
      <c r="AA36" s="13">
        <f>RL_NAV*T36*(1-SUMPRODUCT((Flux!$B$7:$B$926=B36)*Flux!$F$7:$F$926*EXP(-(RL_Choc_Taux+IF(Q36&gt;0,RL_Choc_Spread,0))/10000*Flux!$D$7:$D$926))/K36)</f>
        <v>346858.11880029744</v>
      </c>
      <c r="AB36" s="13">
        <f>RL_NAV*U36*(1-SUMPRODUCT((Flux!$B$7:$B$926=B36)*Flux!$F$7:$F$926*EXP(-(RL_Choc_Taux+IF(Q36&gt;0,RL_Choc_Spread,0))/10000*Flux!$D$7:$D$926))/K36)</f>
        <v>346858.11880029744</v>
      </c>
      <c r="AC36" s="9" t="str">
        <f t="shared" si="9"/>
        <v/>
      </c>
      <c r="AD36" s="27">
        <f>SUMIF(Flux!$B$7:$B$926,B36,Flux!$F$7:$F$926)-K36</f>
        <v>0</v>
      </c>
      <c r="AE36" s="28">
        <v>0.75566828652303786</v>
      </c>
      <c r="AF36" s="21">
        <f t="shared" si="10"/>
        <v>1.141929983504099</v>
      </c>
    </row>
    <row r="37" spans="2:32" x14ac:dyDescent="0.2">
      <c r="B37" s="9" t="s">
        <v>192</v>
      </c>
      <c r="C37" s="9" t="s">
        <v>193</v>
      </c>
      <c r="D37" s="9" t="s">
        <v>194</v>
      </c>
      <c r="E37" s="19">
        <v>47301</v>
      </c>
      <c r="F37" s="20">
        <v>1.625</v>
      </c>
      <c r="G37" s="13">
        <v>8000000</v>
      </c>
      <c r="H37" s="21">
        <v>94.48</v>
      </c>
      <c r="I37" s="22">
        <v>0</v>
      </c>
      <c r="J37" s="22">
        <v>7558400</v>
      </c>
      <c r="K37" s="21">
        <f t="shared" si="0"/>
        <v>94.48</v>
      </c>
      <c r="L37" s="23">
        <v>145.7342634893061</v>
      </c>
      <c r="M37" s="24">
        <v>1.320978113747709</v>
      </c>
      <c r="N37" s="24">
        <v>2.518054386439355</v>
      </c>
      <c r="O37" s="24">
        <v>0</v>
      </c>
      <c r="P37" s="21">
        <f t="shared" si="1"/>
        <v>3.8390325001870638</v>
      </c>
      <c r="Q37" s="21">
        <f t="shared" si="2"/>
        <v>3.8390325001870638</v>
      </c>
      <c r="R37" s="25" t="s">
        <v>109</v>
      </c>
      <c r="S37" s="13">
        <f t="shared" si="3"/>
        <v>7558400</v>
      </c>
      <c r="T37" s="26">
        <f t="shared" si="4"/>
        <v>2.9157942554658605E-3</v>
      </c>
      <c r="U37" s="26">
        <f t="shared" si="5"/>
        <v>2.9157942554658605E-3</v>
      </c>
      <c r="V37" s="13">
        <f>RL_NAV*T37*(M37*Calculs!$I$13+N37*Calculs!$I$14+O37*Calculs!$I$15+AF37*Calculs!$I$22)</f>
        <v>70853.143342827243</v>
      </c>
      <c r="W37" s="13">
        <f>RL_NAV*U37*(M37*Calculs!$J$13+N37*Calculs!$J$14+O37*Calculs!$J$15+AF37*Calculs!$J$22)</f>
        <v>70853.143342827243</v>
      </c>
      <c r="X37" s="13">
        <f t="shared" si="6"/>
        <v>9374.0928427745603</v>
      </c>
      <c r="Y37" s="13">
        <f t="shared" si="7"/>
        <v>725423.58123534766</v>
      </c>
      <c r="Z37" s="13">
        <f t="shared" si="8"/>
        <v>725423.58123534766</v>
      </c>
      <c r="AA37" s="13">
        <f>RL_NAV*T37*(1-SUMPRODUCT((Flux!$B$7:$B$926=B37)*Flux!$F$7:$F$926*EXP(-(RL_Choc_Taux+IF(Q37&gt;0,RL_Choc_Spread,0))/10000*Flux!$D$7:$D$926))/K37)</f>
        <v>690648.90273245075</v>
      </c>
      <c r="AB37" s="13">
        <f>RL_NAV*U37*(1-SUMPRODUCT((Flux!$B$7:$B$926=B37)*Flux!$F$7:$F$926*EXP(-(RL_Choc_Taux+IF(Q37&gt;0,RL_Choc_Spread,0))/10000*Flux!$D$7:$D$926))/K37)</f>
        <v>690648.90273245075</v>
      </c>
      <c r="AC37" s="9" t="str">
        <f t="shared" si="9"/>
        <v/>
      </c>
      <c r="AD37" s="27">
        <f>SUMIF(Flux!$B$7:$B$926,B37,Flux!$F$7:$F$926)-K37</f>
        <v>0</v>
      </c>
      <c r="AE37" s="28">
        <v>1.349391328604687</v>
      </c>
      <c r="AF37" s="21">
        <f t="shared" si="10"/>
        <v>5.1803571659839953</v>
      </c>
    </row>
    <row r="38" spans="2:32" x14ac:dyDescent="0.2">
      <c r="B38" s="9" t="s">
        <v>195</v>
      </c>
      <c r="C38" s="9" t="s">
        <v>196</v>
      </c>
      <c r="D38" s="9" t="s">
        <v>197</v>
      </c>
      <c r="E38" s="19">
        <v>46769</v>
      </c>
      <c r="F38" s="20">
        <v>1.875</v>
      </c>
      <c r="G38" s="13">
        <v>12600000</v>
      </c>
      <c r="H38" s="21">
        <v>96.507999999999996</v>
      </c>
      <c r="I38" s="22">
        <v>107445.21</v>
      </c>
      <c r="J38" s="22">
        <v>12267453.210000001</v>
      </c>
      <c r="K38" s="21">
        <f t="shared" si="0"/>
        <v>97.360739761904767</v>
      </c>
      <c r="L38" s="23">
        <v>136.5405340880215</v>
      </c>
      <c r="M38" s="24">
        <v>2.0437787774130061</v>
      </c>
      <c r="N38" s="24">
        <v>0.44903301429700659</v>
      </c>
      <c r="O38" s="24">
        <v>0</v>
      </c>
      <c r="P38" s="21">
        <f t="shared" si="1"/>
        <v>2.4928117917100128</v>
      </c>
      <c r="Q38" s="21">
        <f t="shared" si="2"/>
        <v>2.4928117917100128</v>
      </c>
      <c r="R38" s="25" t="s">
        <v>109</v>
      </c>
      <c r="S38" s="13">
        <f t="shared" si="3"/>
        <v>12267453.210000001</v>
      </c>
      <c r="T38" s="26">
        <f t="shared" si="4"/>
        <v>4.7323996611603287E-3</v>
      </c>
      <c r="U38" s="26">
        <f t="shared" si="5"/>
        <v>4.7323996611603287E-3</v>
      </c>
      <c r="V38" s="13">
        <f>RL_NAV*T38*(M38*Calculs!$I$13+N38*Calculs!$I$14+O38*Calculs!$I$15+AF38*Calculs!$I$22)</f>
        <v>70933.446441804626</v>
      </c>
      <c r="W38" s="13">
        <f>RL_NAV*U38*(M38*Calculs!$J$13+N38*Calculs!$J$14+O38*Calculs!$J$15+AF38*Calculs!$J$22)</f>
        <v>70933.446441804626</v>
      </c>
      <c r="X38" s="13">
        <f t="shared" si="6"/>
        <v>5782.2471565640171</v>
      </c>
      <c r="Y38" s="13">
        <f t="shared" si="7"/>
        <v>764511.3004034711</v>
      </c>
      <c r="Z38" s="13">
        <f t="shared" si="8"/>
        <v>764511.3004034711</v>
      </c>
      <c r="AA38" s="13">
        <f>RL_NAV*T38*(1-SUMPRODUCT((Flux!$B$7:$B$926=B38)*Flux!$F$7:$F$926*EXP(-(RL_Choc_Taux+IF(Q38&gt;0,RL_Choc_Spread,0))/10000*Flux!$D$7:$D$926))/K38)</f>
        <v>740844.79624414165</v>
      </c>
      <c r="AB38" s="13">
        <f>RL_NAV*U38*(1-SUMPRODUCT((Flux!$B$7:$B$926=B38)*Flux!$F$7:$F$926*EXP(-(RL_Choc_Taux+IF(Q38&gt;0,RL_Choc_Spread,0))/10000*Flux!$D$7:$D$926))/K38)</f>
        <v>740844.79624414165</v>
      </c>
      <c r="AC38" s="9" t="str">
        <f t="shared" si="9"/>
        <v/>
      </c>
      <c r="AD38" s="27">
        <f>SUMIF(Flux!$B$7:$B$926,B38,Flux!$F$7:$F$926)-K38</f>
        <v>0</v>
      </c>
      <c r="AE38" s="28">
        <v>1.264264204518718</v>
      </c>
      <c r="AF38" s="21">
        <f t="shared" si="10"/>
        <v>3.1515727168611396</v>
      </c>
    </row>
    <row r="39" spans="2:32" x14ac:dyDescent="0.2">
      <c r="B39" s="9" t="s">
        <v>198</v>
      </c>
      <c r="C39" s="9" t="s">
        <v>199</v>
      </c>
      <c r="D39" s="9" t="s">
        <v>200</v>
      </c>
      <c r="E39" s="19">
        <v>47415</v>
      </c>
      <c r="F39" s="20">
        <v>4</v>
      </c>
      <c r="G39" s="13">
        <v>200000</v>
      </c>
      <c r="H39" s="21">
        <v>99.760999999999996</v>
      </c>
      <c r="I39" s="22">
        <v>5501.37</v>
      </c>
      <c r="J39" s="22">
        <v>205023.37</v>
      </c>
      <c r="K39" s="21">
        <f t="shared" ref="K39:K70" si="11">J39/G39*100</f>
        <v>102.51168500000001</v>
      </c>
      <c r="L39" s="23">
        <v>189.75706850047121</v>
      </c>
      <c r="M39" s="24">
        <v>1.038024112533448</v>
      </c>
      <c r="N39" s="24">
        <v>2.908036911861084</v>
      </c>
      <c r="O39" s="24">
        <v>0</v>
      </c>
      <c r="P39" s="21">
        <f t="shared" ref="P39:P70" si="12">SUM(M39:O39)</f>
        <v>3.946061024394532</v>
      </c>
      <c r="Q39" s="21">
        <f t="shared" ref="Q39:Q70" si="13">IF(R39="OUI",0,P39)</f>
        <v>3.946061024394532</v>
      </c>
      <c r="R39" s="25" t="s">
        <v>109</v>
      </c>
      <c r="S39" s="13">
        <f t="shared" ref="S39:S70" si="14">IF(B39=RL_ISIN_Vente,J39-RL_Montant_Vente,J39)</f>
        <v>205023.37</v>
      </c>
      <c r="T39" s="26">
        <f t="shared" ref="T39:T70" si="15">J39/RL_NAV</f>
        <v>7.9091601990137012E-5</v>
      </c>
      <c r="U39" s="26">
        <f t="shared" ref="U39:U70" si="16">S39/RL_NAV</f>
        <v>7.9091601990137012E-5</v>
      </c>
      <c r="V39" s="13">
        <f>RL_NAV*T39*(M39*Calculs!$I$13+N39*Calculs!$I$14+O39*Calculs!$I$15+AF39*Calculs!$I$22)</f>
        <v>2342.1823429964152</v>
      </c>
      <c r="W39" s="13">
        <f>RL_NAV*U39*(M39*Calculs!$J$13+N39*Calculs!$J$14+O39*Calculs!$J$15+AF39*Calculs!$J$22)</f>
        <v>2342.1823429964152</v>
      </c>
      <c r="X39" s="13">
        <f t="shared" ref="X39:X70" si="17">IF(S39&gt;0,W39/S39*1000000,0)</f>
        <v>11423.977388511441</v>
      </c>
      <c r="Y39" s="13">
        <f t="shared" ref="Y39:Y70" si="18">RL_NAV*T39*(P39*RL_Choc_Taux+Q39*RL_Choc_Spread)/10000</f>
        <v>20225.868236175476</v>
      </c>
      <c r="Z39" s="13">
        <f t="shared" ref="Z39:Z70" si="19">RL_NAV*U39*(P39*RL_Choc_Taux+Q39*RL_Choc_Spread)/10000</f>
        <v>20225.868236175476</v>
      </c>
      <c r="AA39" s="13">
        <f>RL_NAV*T39*(1-SUMPRODUCT((Flux!$B$7:$B$926=B39)*Flux!$F$7:$F$926*EXP(-(RL_Choc_Taux+IF(Q39&gt;0,RL_Choc_Spread,0))/10000*Flux!$D$7:$D$926))/K39)</f>
        <v>19201.404894092309</v>
      </c>
      <c r="AB39" s="13">
        <f>RL_NAV*U39*(1-SUMPRODUCT((Flux!$B$7:$B$926=B39)*Flux!$F$7:$F$926*EXP(-(RL_Choc_Taux+IF(Q39&gt;0,RL_Choc_Spread,0))/10000*Flux!$D$7:$D$926))/K39)</f>
        <v>19201.404894092309</v>
      </c>
      <c r="AC39" s="9" t="str">
        <f t="shared" ref="AC39:AC70" si="20">IF(U39&gt;RL_Seuil_Ligne,"OUI","")</f>
        <v/>
      </c>
      <c r="AD39" s="27">
        <f>SUMIF(Flux!$B$7:$B$926,B39,Flux!$F$7:$F$926)-K39</f>
        <v>0</v>
      </c>
      <c r="AE39" s="28">
        <v>1.7570098935228819</v>
      </c>
      <c r="AF39" s="21">
        <f t="shared" ref="AF39:AF70" si="21">Q39*AE39</f>
        <v>6.9332682603062308</v>
      </c>
    </row>
    <row r="40" spans="2:32" x14ac:dyDescent="0.2">
      <c r="B40" s="9" t="s">
        <v>201</v>
      </c>
      <c r="C40" s="9" t="s">
        <v>202</v>
      </c>
      <c r="D40" s="9" t="s">
        <v>203</v>
      </c>
      <c r="E40" s="19">
        <v>48022</v>
      </c>
      <c r="F40" s="20">
        <v>2.125</v>
      </c>
      <c r="G40" s="13">
        <v>6300000</v>
      </c>
      <c r="H40" s="21">
        <v>92.840999999999994</v>
      </c>
      <c r="I40" s="22">
        <v>3301.02</v>
      </c>
      <c r="J40" s="22">
        <v>5852284.0199999996</v>
      </c>
      <c r="K40" s="21">
        <f t="shared" si="11"/>
        <v>92.89339714285714</v>
      </c>
      <c r="L40" s="23">
        <v>116.5009250437902</v>
      </c>
      <c r="M40" s="24">
        <v>0.1341147936094346</v>
      </c>
      <c r="N40" s="24">
        <v>4.4766291773832689</v>
      </c>
      <c r="O40" s="24">
        <v>1.049365574852567</v>
      </c>
      <c r="P40" s="21">
        <f t="shared" si="12"/>
        <v>5.6601095458452706</v>
      </c>
      <c r="Q40" s="21">
        <f t="shared" si="13"/>
        <v>5.6601095458452706</v>
      </c>
      <c r="R40" s="25" t="s">
        <v>109</v>
      </c>
      <c r="S40" s="13">
        <f t="shared" si="14"/>
        <v>5852284.0199999996</v>
      </c>
      <c r="T40" s="26">
        <f t="shared" si="15"/>
        <v>2.2576280862180689E-3</v>
      </c>
      <c r="U40" s="26">
        <f t="shared" si="16"/>
        <v>2.2576280862180689E-3</v>
      </c>
      <c r="V40" s="13">
        <f>RL_NAV*T40*(M40*Calculs!$I$13+N40*Calculs!$I$14+O40*Calculs!$I$15+AF40*Calculs!$I$22)</f>
        <v>71250.034919310521</v>
      </c>
      <c r="W40" s="13">
        <f>RL_NAV*U40*(M40*Calculs!$J$13+N40*Calculs!$J$14+O40*Calculs!$J$15+AF40*Calculs!$J$22)</f>
        <v>71250.034919310521</v>
      </c>
      <c r="X40" s="13">
        <f t="shared" si="17"/>
        <v>12174.739755592129</v>
      </c>
      <c r="Y40" s="13">
        <f t="shared" si="18"/>
        <v>828114.21616499336</v>
      </c>
      <c r="Z40" s="13">
        <f t="shared" si="19"/>
        <v>828114.21616499336</v>
      </c>
      <c r="AA40" s="13">
        <f>RL_NAV*T40*(1-SUMPRODUCT((Flux!$B$7:$B$926=B40)*Flux!$F$7:$F$926*EXP(-(RL_Choc_Taux+IF(Q40&gt;0,RL_Choc_Spread,0))/10000*Flux!$D$7:$D$926))/K40)</f>
        <v>770417.92068825162</v>
      </c>
      <c r="AB40" s="13">
        <f>RL_NAV*U40*(1-SUMPRODUCT((Flux!$B$7:$B$926=B40)*Flux!$F$7:$F$926*EXP(-(RL_Choc_Taux+IF(Q40&gt;0,RL_Choc_Spread,0))/10000*Flux!$D$7:$D$926))/K40)</f>
        <v>770417.92068825162</v>
      </c>
      <c r="AC40" s="9" t="str">
        <f t="shared" si="20"/>
        <v/>
      </c>
      <c r="AD40" s="27">
        <f>SUMIF(Flux!$B$7:$B$926,B40,Flux!$F$7:$F$926)-K40</f>
        <v>0</v>
      </c>
      <c r="AE40" s="28">
        <v>1.0787122689239841</v>
      </c>
      <c r="AF40" s="21">
        <f t="shared" si="21"/>
        <v>6.1056296105570533</v>
      </c>
    </row>
    <row r="41" spans="2:32" x14ac:dyDescent="0.2">
      <c r="B41" s="9" t="s">
        <v>204</v>
      </c>
      <c r="C41" s="9" t="s">
        <v>205</v>
      </c>
      <c r="D41" s="9" t="s">
        <v>206</v>
      </c>
      <c r="E41" s="19">
        <v>47681</v>
      </c>
      <c r="F41" s="20">
        <v>2</v>
      </c>
      <c r="G41" s="13">
        <v>14000000</v>
      </c>
      <c r="H41" s="21">
        <v>93.531499999999994</v>
      </c>
      <c r="I41" s="22">
        <v>268493.15000000002</v>
      </c>
      <c r="J41" s="22">
        <v>13362903.15</v>
      </c>
      <c r="K41" s="21">
        <f t="shared" si="11"/>
        <v>95.449308214285722</v>
      </c>
      <c r="L41" s="23">
        <v>120.5313774837702</v>
      </c>
      <c r="M41" s="24">
        <v>0.1232147415143211</v>
      </c>
      <c r="N41" s="24">
        <v>4.5796748121656936</v>
      </c>
      <c r="O41" s="24">
        <v>4.1730476164541799E-2</v>
      </c>
      <c r="P41" s="21">
        <f t="shared" si="12"/>
        <v>4.7446200298445564</v>
      </c>
      <c r="Q41" s="21">
        <f t="shared" si="13"/>
        <v>4.7446200298445564</v>
      </c>
      <c r="R41" s="25" t="s">
        <v>109</v>
      </c>
      <c r="S41" s="13">
        <f t="shared" si="14"/>
        <v>13362903.15</v>
      </c>
      <c r="T41" s="26">
        <f t="shared" si="15"/>
        <v>5.1549899768623848E-3</v>
      </c>
      <c r="U41" s="26">
        <f t="shared" si="16"/>
        <v>5.1549899768623848E-3</v>
      </c>
      <c r="V41" s="13">
        <f>RL_NAV*T41*(M41*Calculs!$I$13+N41*Calculs!$I$14+O41*Calculs!$I$15+AF41*Calculs!$I$22)</f>
        <v>139713.23758300071</v>
      </c>
      <c r="W41" s="13">
        <f>RL_NAV*U41*(M41*Calculs!$J$13+N41*Calculs!$J$14+O41*Calculs!$J$15+AF41*Calculs!$J$22)</f>
        <v>139713.23758300071</v>
      </c>
      <c r="X41" s="13">
        <f t="shared" si="17"/>
        <v>10455.305708251033</v>
      </c>
      <c r="Y41" s="13">
        <f t="shared" si="18"/>
        <v>1585047.448559073</v>
      </c>
      <c r="Z41" s="13">
        <f t="shared" si="19"/>
        <v>1585047.448559073</v>
      </c>
      <c r="AA41" s="13">
        <f>RL_NAV*T41*(1-SUMPRODUCT((Flux!$B$7:$B$926=B41)*Flux!$F$7:$F$926*EXP(-(RL_Choc_Taux+IF(Q41&gt;0,RL_Choc_Spread,0))/10000*Flux!$D$7:$D$926))/K41)</f>
        <v>1490720.3032226667</v>
      </c>
      <c r="AB41" s="13">
        <f>RL_NAV*U41*(1-SUMPRODUCT((Flux!$B$7:$B$926=B41)*Flux!$F$7:$F$926*EXP(-(RL_Choc_Taux+IF(Q41&gt;0,RL_Choc_Spread,0))/10000*Flux!$D$7:$D$926))/K41)</f>
        <v>1490720.3032226667</v>
      </c>
      <c r="AC41" s="9" t="str">
        <f t="shared" si="20"/>
        <v/>
      </c>
      <c r="AD41" s="27">
        <f>SUMIF(Flux!$B$7:$B$926,B41,Flux!$F$7:$F$926)-K41</f>
        <v>0</v>
      </c>
      <c r="AE41" s="28">
        <v>1.116031272997873</v>
      </c>
      <c r="AF41" s="21">
        <f t="shared" si="21"/>
        <v>5.2951443317986264</v>
      </c>
    </row>
    <row r="42" spans="2:32" x14ac:dyDescent="0.2">
      <c r="B42" s="9" t="s">
        <v>207</v>
      </c>
      <c r="C42" s="9" t="s">
        <v>208</v>
      </c>
      <c r="D42" s="9" t="s">
        <v>209</v>
      </c>
      <c r="E42" s="19">
        <v>46953</v>
      </c>
      <c r="F42" s="20">
        <v>0.25</v>
      </c>
      <c r="G42" s="13">
        <v>15000000</v>
      </c>
      <c r="H42" s="21">
        <v>92.91</v>
      </c>
      <c r="I42" s="22">
        <v>35753.42</v>
      </c>
      <c r="J42" s="22">
        <v>13972253.42</v>
      </c>
      <c r="K42" s="21">
        <f t="shared" si="11"/>
        <v>93.148356133333337</v>
      </c>
      <c r="L42" s="23">
        <v>71.060844565653625</v>
      </c>
      <c r="M42" s="24">
        <v>1.97399219515883</v>
      </c>
      <c r="N42" s="24">
        <v>1.0628877411436439</v>
      </c>
      <c r="O42" s="24">
        <v>0</v>
      </c>
      <c r="P42" s="21">
        <f t="shared" si="12"/>
        <v>3.0368799363024737</v>
      </c>
      <c r="Q42" s="21">
        <f t="shared" si="13"/>
        <v>3.0368799363024737</v>
      </c>
      <c r="R42" s="25" t="s">
        <v>109</v>
      </c>
      <c r="S42" s="13">
        <f t="shared" si="14"/>
        <v>13972253.42</v>
      </c>
      <c r="T42" s="26">
        <f t="shared" si="15"/>
        <v>5.3900582475059832E-3</v>
      </c>
      <c r="U42" s="26">
        <f t="shared" si="16"/>
        <v>5.3900582475059832E-3</v>
      </c>
      <c r="V42" s="13">
        <f>RL_NAV*T42*(M42*Calculs!$I$13+N42*Calculs!$I$14+O42*Calculs!$I$15+AF42*Calculs!$I$22)</f>
        <v>70558.064818238723</v>
      </c>
      <c r="W42" s="13">
        <f>RL_NAV*U42*(M42*Calculs!$J$13+N42*Calculs!$J$14+O42*Calculs!$J$15+AF42*Calculs!$J$22)</f>
        <v>70558.064818238723</v>
      </c>
      <c r="X42" s="13">
        <f t="shared" si="17"/>
        <v>5049.8701030745206</v>
      </c>
      <c r="Y42" s="13">
        <f t="shared" si="18"/>
        <v>1060801.4019032905</v>
      </c>
      <c r="Z42" s="13">
        <f t="shared" si="19"/>
        <v>1060801.4019032905</v>
      </c>
      <c r="AA42" s="13">
        <f>RL_NAV*T42*(1-SUMPRODUCT((Flux!$B$7:$B$926=B42)*Flux!$F$7:$F$926*EXP(-(RL_Choc_Taux+IF(Q42&gt;0,RL_Choc_Spread,0))/10000*Flux!$D$7:$D$926))/K42)</f>
        <v>1021379.7782635129</v>
      </c>
      <c r="AB42" s="13">
        <f>RL_NAV*U42*(1-SUMPRODUCT((Flux!$B$7:$B$926=B42)*Flux!$F$7:$F$926*EXP(-(RL_Choc_Taux+IF(Q42&gt;0,RL_Choc_Spread,0))/10000*Flux!$D$7:$D$926))/K42)</f>
        <v>1021379.7782635129</v>
      </c>
      <c r="AC42" s="9" t="str">
        <f t="shared" si="20"/>
        <v/>
      </c>
      <c r="AD42" s="27">
        <f>SUMIF(Flux!$B$7:$B$926,B42,Flux!$F$7:$F$926)-K42</f>
        <v>0</v>
      </c>
      <c r="AE42" s="28">
        <v>0.65797078301531153</v>
      </c>
      <c r="AF42" s="21">
        <f t="shared" si="21"/>
        <v>1.9981782696124279</v>
      </c>
    </row>
    <row r="43" spans="2:32" x14ac:dyDescent="0.2">
      <c r="B43" s="9" t="s">
        <v>210</v>
      </c>
      <c r="C43" s="9" t="s">
        <v>211</v>
      </c>
      <c r="D43" s="9" t="s">
        <v>212</v>
      </c>
      <c r="E43" s="19">
        <v>47326</v>
      </c>
      <c r="F43" s="20">
        <v>1</v>
      </c>
      <c r="G43" s="13">
        <v>3600000</v>
      </c>
      <c r="H43" s="21">
        <v>91.560500000000005</v>
      </c>
      <c r="I43" s="22">
        <v>33534.25</v>
      </c>
      <c r="J43" s="22">
        <v>3329712.25</v>
      </c>
      <c r="K43" s="21">
        <f t="shared" si="11"/>
        <v>92.492006944444455</v>
      </c>
      <c r="L43" s="23">
        <v>113.42163768665409</v>
      </c>
      <c r="M43" s="24">
        <v>1.2576993750172181</v>
      </c>
      <c r="N43" s="24">
        <v>2.711484533125609</v>
      </c>
      <c r="O43" s="24">
        <v>0</v>
      </c>
      <c r="P43" s="21">
        <f t="shared" si="12"/>
        <v>3.9691839081428268</v>
      </c>
      <c r="Q43" s="21">
        <f t="shared" si="13"/>
        <v>3.9691839081428268</v>
      </c>
      <c r="R43" s="25" t="s">
        <v>109</v>
      </c>
      <c r="S43" s="13">
        <f t="shared" si="14"/>
        <v>3329712.25</v>
      </c>
      <c r="T43" s="26">
        <f t="shared" si="15"/>
        <v>1.2844988160066026E-3</v>
      </c>
      <c r="U43" s="26">
        <f t="shared" si="16"/>
        <v>1.2844988160066026E-3</v>
      </c>
      <c r="V43" s="13">
        <f>RL_NAV*T43*(M43*Calculs!$I$13+N43*Calculs!$I$14+O43*Calculs!$I$15+AF43*Calculs!$I$22)</f>
        <v>27943.234508457917</v>
      </c>
      <c r="W43" s="13">
        <f>RL_NAV*U43*(M43*Calculs!$J$13+N43*Calculs!$J$14+O43*Calculs!$J$15+AF43*Calculs!$J$22)</f>
        <v>27943.234508457917</v>
      </c>
      <c r="X43" s="13">
        <f t="shared" si="17"/>
        <v>8392.0868863241612</v>
      </c>
      <c r="Y43" s="13">
        <f t="shared" si="18"/>
        <v>330406.00703615119</v>
      </c>
      <c r="Z43" s="13">
        <f t="shared" si="19"/>
        <v>330406.00703615119</v>
      </c>
      <c r="AA43" s="13">
        <f>RL_NAV*T43*(1-SUMPRODUCT((Flux!$B$7:$B$926=B43)*Flux!$F$7:$F$926*EXP(-(RL_Choc_Taux+IF(Q43&gt;0,RL_Choc_Spread,0))/10000*Flux!$D$7:$D$926))/K43)</f>
        <v>314245.50427671237</v>
      </c>
      <c r="AB43" s="13">
        <f>RL_NAV*U43*(1-SUMPRODUCT((Flux!$B$7:$B$926=B43)*Flux!$F$7:$F$926*EXP(-(RL_Choc_Taux+IF(Q43&gt;0,RL_Choc_Spread,0))/10000*Flux!$D$7:$D$926))/K43)</f>
        <v>314245.50427671237</v>
      </c>
      <c r="AC43" s="9" t="str">
        <f t="shared" si="20"/>
        <v/>
      </c>
      <c r="AD43" s="27">
        <f>SUMIF(Flux!$B$7:$B$926,B43,Flux!$F$7:$F$926)-K43</f>
        <v>0</v>
      </c>
      <c r="AE43" s="28">
        <v>1.050200348950501</v>
      </c>
      <c r="AF43" s="21">
        <f t="shared" si="21"/>
        <v>4.1684383253803103</v>
      </c>
    </row>
    <row r="44" spans="2:32" x14ac:dyDescent="0.2">
      <c r="B44" s="9" t="s">
        <v>213</v>
      </c>
      <c r="C44" s="9" t="s">
        <v>214</v>
      </c>
      <c r="D44" s="9" t="s">
        <v>215</v>
      </c>
      <c r="E44" s="19">
        <v>47453</v>
      </c>
      <c r="F44" s="20">
        <v>1.75</v>
      </c>
      <c r="G44" s="13">
        <v>6000000</v>
      </c>
      <c r="H44" s="21">
        <v>93.975999999999999</v>
      </c>
      <c r="I44" s="22">
        <v>61273.97</v>
      </c>
      <c r="J44" s="22">
        <v>5699833.9699999997</v>
      </c>
      <c r="K44" s="21">
        <f t="shared" si="11"/>
        <v>94.997232833333328</v>
      </c>
      <c r="L44" s="23">
        <v>108.82367667998859</v>
      </c>
      <c r="M44" s="24">
        <v>0.89142117426615186</v>
      </c>
      <c r="N44" s="24">
        <v>3.3535336642021139</v>
      </c>
      <c r="O44" s="24">
        <v>0</v>
      </c>
      <c r="P44" s="21">
        <f t="shared" si="12"/>
        <v>4.2449548384682654</v>
      </c>
      <c r="Q44" s="21">
        <f t="shared" si="13"/>
        <v>4.2449548384682654</v>
      </c>
      <c r="R44" s="25" t="s">
        <v>109</v>
      </c>
      <c r="S44" s="13">
        <f t="shared" si="14"/>
        <v>5699833.9699999997</v>
      </c>
      <c r="T44" s="26">
        <f t="shared" si="15"/>
        <v>2.1988176263276842E-3</v>
      </c>
      <c r="U44" s="26">
        <f t="shared" si="16"/>
        <v>2.1988176263276842E-3</v>
      </c>
      <c r="V44" s="13">
        <f>RL_NAV*T44*(M44*Calculs!$I$13+N44*Calculs!$I$14+O44*Calculs!$I$15+AF44*Calculs!$I$22)</f>
        <v>50179.087321061837</v>
      </c>
      <c r="W44" s="13">
        <f>RL_NAV*U44*(M44*Calculs!$J$13+N44*Calculs!$J$14+O44*Calculs!$J$15+AF44*Calculs!$J$22)</f>
        <v>50179.087321061837</v>
      </c>
      <c r="X44" s="13">
        <f t="shared" si="17"/>
        <v>8803.6050848445757</v>
      </c>
      <c r="Y44" s="13">
        <f t="shared" si="18"/>
        <v>604888.44473543204</v>
      </c>
      <c r="Z44" s="13">
        <f t="shared" si="19"/>
        <v>604888.44473543204</v>
      </c>
      <c r="AA44" s="13">
        <f>RL_NAV*T44*(1-SUMPRODUCT((Flux!$B$7:$B$926=B44)*Flux!$F$7:$F$926*EXP(-(RL_Choc_Taux+IF(Q44&gt;0,RL_Choc_Spread,0))/10000*Flux!$D$7:$D$926))/K44)</f>
        <v>573069.33730978577</v>
      </c>
      <c r="AB44" s="13">
        <f>RL_NAV*U44*(1-SUMPRODUCT((Flux!$B$7:$B$926=B44)*Flux!$F$7:$F$926*EXP(-(RL_Choc_Taux+IF(Q44&gt;0,RL_Choc_Spread,0))/10000*Flux!$D$7:$D$926))/K44)</f>
        <v>573069.33730978577</v>
      </c>
      <c r="AC44" s="9" t="str">
        <f t="shared" si="20"/>
        <v/>
      </c>
      <c r="AD44" s="27">
        <f>SUMIF(Flux!$B$7:$B$926,B44,Flux!$F$7:$F$926)-K44</f>
        <v>0</v>
      </c>
      <c r="AE44" s="28">
        <v>1.0076266359258199</v>
      </c>
      <c r="AF44" s="21">
        <f t="shared" si="21"/>
        <v>4.2773295635428106</v>
      </c>
    </row>
    <row r="45" spans="2:32" x14ac:dyDescent="0.2">
      <c r="B45" s="9" t="s">
        <v>216</v>
      </c>
      <c r="C45" s="9" t="s">
        <v>217</v>
      </c>
      <c r="D45" s="9" t="s">
        <v>218</v>
      </c>
      <c r="E45" s="19">
        <v>47145</v>
      </c>
      <c r="F45" s="20">
        <v>1.25</v>
      </c>
      <c r="G45" s="13">
        <v>10900000</v>
      </c>
      <c r="H45" s="21">
        <v>94.210499999999996</v>
      </c>
      <c r="I45" s="22">
        <v>58232.88</v>
      </c>
      <c r="J45" s="22">
        <v>10327177.380000001</v>
      </c>
      <c r="K45" s="21">
        <f t="shared" si="11"/>
        <v>94.744746605504588</v>
      </c>
      <c r="L45" s="23">
        <v>92.631787678473387</v>
      </c>
      <c r="M45" s="24">
        <v>1.6844206473840371</v>
      </c>
      <c r="N45" s="24">
        <v>1.8174238211263389</v>
      </c>
      <c r="O45" s="24">
        <v>0</v>
      </c>
      <c r="P45" s="21">
        <f t="shared" si="12"/>
        <v>3.501844468510376</v>
      </c>
      <c r="Q45" s="21">
        <f t="shared" si="13"/>
        <v>3.501844468510376</v>
      </c>
      <c r="R45" s="25" t="s">
        <v>109</v>
      </c>
      <c r="S45" s="13">
        <f t="shared" si="14"/>
        <v>10327177.380000001</v>
      </c>
      <c r="T45" s="26">
        <f t="shared" si="15"/>
        <v>3.9839019474731396E-3</v>
      </c>
      <c r="U45" s="26">
        <f t="shared" si="16"/>
        <v>3.9839019474731396E-3</v>
      </c>
      <c r="V45" s="13">
        <f>RL_NAV*T45*(M45*Calculs!$I$13+N45*Calculs!$I$14+O45*Calculs!$I$15+AF45*Calculs!$I$22)</f>
        <v>68448.02465716422</v>
      </c>
      <c r="W45" s="13">
        <f>RL_NAV*U45*(M45*Calculs!$J$13+N45*Calculs!$J$14+O45*Calculs!$J$15+AF45*Calculs!$J$22)</f>
        <v>68448.02465716422</v>
      </c>
      <c r="X45" s="13">
        <f t="shared" si="17"/>
        <v>6627.9509045446666</v>
      </c>
      <c r="Y45" s="13">
        <f t="shared" si="18"/>
        <v>904104.22458696191</v>
      </c>
      <c r="Z45" s="13">
        <f t="shared" si="19"/>
        <v>904104.22458696191</v>
      </c>
      <c r="AA45" s="13">
        <f>RL_NAV*T45*(1-SUMPRODUCT((Flux!$B$7:$B$926=B45)*Flux!$F$7:$F$926*EXP(-(RL_Choc_Taux+IF(Q45&gt;0,RL_Choc_Spread,0))/10000*Flux!$D$7:$D$926))/K45)</f>
        <v>865133.91545990598</v>
      </c>
      <c r="AB45" s="13">
        <f>RL_NAV*U45*(1-SUMPRODUCT((Flux!$B$7:$B$926=B45)*Flux!$F$7:$F$926*EXP(-(RL_Choc_Taux+IF(Q45&gt;0,RL_Choc_Spread,0))/10000*Flux!$D$7:$D$926))/K45)</f>
        <v>865133.91545990598</v>
      </c>
      <c r="AC45" s="9" t="str">
        <f t="shared" si="20"/>
        <v/>
      </c>
      <c r="AD45" s="27">
        <f>SUMIF(Flux!$B$7:$B$926,B45,Flux!$F$7:$F$926)-K45</f>
        <v>0</v>
      </c>
      <c r="AE45" s="28">
        <v>0.85770173776364267</v>
      </c>
      <c r="AF45" s="21">
        <f t="shared" si="21"/>
        <v>3.0035380860193492</v>
      </c>
    </row>
    <row r="46" spans="2:32" x14ac:dyDescent="0.2">
      <c r="B46" s="9" t="s">
        <v>219</v>
      </c>
      <c r="C46" s="9" t="s">
        <v>220</v>
      </c>
      <c r="D46" s="9" t="s">
        <v>221</v>
      </c>
      <c r="E46" s="19">
        <v>47177</v>
      </c>
      <c r="F46" s="20">
        <v>2.5</v>
      </c>
      <c r="G46" s="13">
        <v>5000000</v>
      </c>
      <c r="H46" s="21">
        <v>97.833500000000001</v>
      </c>
      <c r="I46" s="22">
        <v>42465.75</v>
      </c>
      <c r="J46" s="22">
        <v>4934140.75</v>
      </c>
      <c r="K46" s="21">
        <f t="shared" si="11"/>
        <v>98.682815000000005</v>
      </c>
      <c r="L46" s="23">
        <v>106.7143186929034</v>
      </c>
      <c r="M46" s="24">
        <v>1.617413261918732</v>
      </c>
      <c r="N46" s="24">
        <v>1.9022583512273841</v>
      </c>
      <c r="O46" s="24">
        <v>0</v>
      </c>
      <c r="P46" s="21">
        <f t="shared" si="12"/>
        <v>3.5196716131461159</v>
      </c>
      <c r="Q46" s="21">
        <f t="shared" si="13"/>
        <v>3.5196716131461159</v>
      </c>
      <c r="R46" s="25" t="s">
        <v>109</v>
      </c>
      <c r="S46" s="13">
        <f t="shared" si="14"/>
        <v>4934140.75</v>
      </c>
      <c r="T46" s="26">
        <f t="shared" si="15"/>
        <v>1.9034371367630731E-3</v>
      </c>
      <c r="U46" s="26">
        <f t="shared" si="16"/>
        <v>1.9034371367630731E-3</v>
      </c>
      <c r="V46" s="13">
        <f>RL_NAV*T46*(M46*Calculs!$I$13+N46*Calculs!$I$14+O46*Calculs!$I$15+AF46*Calculs!$I$22)</f>
        <v>35383.068164547039</v>
      </c>
      <c r="W46" s="13">
        <f>RL_NAV*U46*(M46*Calculs!$J$13+N46*Calculs!$J$14+O46*Calculs!$J$15+AF46*Calculs!$J$22)</f>
        <v>35383.068164547039</v>
      </c>
      <c r="X46" s="13">
        <f t="shared" si="17"/>
        <v>7171.0698898378687</v>
      </c>
      <c r="Y46" s="13">
        <f t="shared" si="18"/>
        <v>434163.87832606223</v>
      </c>
      <c r="Z46" s="13">
        <f t="shared" si="19"/>
        <v>434163.87832606223</v>
      </c>
      <c r="AA46" s="13">
        <f>RL_NAV*T46*(1-SUMPRODUCT((Flux!$B$7:$B$926=B46)*Flux!$F$7:$F$926*EXP(-(RL_Choc_Taux+IF(Q46&gt;0,RL_Choc_Spread,0))/10000*Flux!$D$7:$D$926))/K46)</f>
        <v>415146.32788440736</v>
      </c>
      <c r="AB46" s="13">
        <f>RL_NAV*U46*(1-SUMPRODUCT((Flux!$B$7:$B$926=B46)*Flux!$F$7:$F$926*EXP(-(RL_Choc_Taux+IF(Q46&gt;0,RL_Choc_Spread,0))/10000*Flux!$D$7:$D$926))/K46)</f>
        <v>415146.32788440736</v>
      </c>
      <c r="AC46" s="9" t="str">
        <f t="shared" si="20"/>
        <v/>
      </c>
      <c r="AD46" s="27">
        <f>SUMIF(Flux!$B$7:$B$926,B46,Flux!$F$7:$F$926)-K46</f>
        <v>0</v>
      </c>
      <c r="AE46" s="28">
        <v>0.98809554345280948</v>
      </c>
      <c r="AF46" s="21">
        <f t="shared" si="21"/>
        <v>3.4777718353670379</v>
      </c>
    </row>
    <row r="47" spans="2:32" x14ac:dyDescent="0.2">
      <c r="B47" s="9" t="s">
        <v>222</v>
      </c>
      <c r="C47" s="9" t="s">
        <v>223</v>
      </c>
      <c r="D47" s="9" t="s">
        <v>224</v>
      </c>
      <c r="E47" s="19">
        <v>46666</v>
      </c>
      <c r="F47" s="20">
        <v>7</v>
      </c>
      <c r="G47" s="13">
        <v>2400000</v>
      </c>
      <c r="H47" s="21">
        <v>104.666</v>
      </c>
      <c r="I47" s="22">
        <v>123813.7</v>
      </c>
      <c r="J47" s="22">
        <v>2635797.7000000002</v>
      </c>
      <c r="K47" s="21">
        <f t="shared" si="11"/>
        <v>109.82490416666668</v>
      </c>
      <c r="L47" s="23">
        <v>277.10411638541279</v>
      </c>
      <c r="M47" s="24">
        <v>1.90415763888732</v>
      </c>
      <c r="N47" s="24">
        <v>0.17688819277846371</v>
      </c>
      <c r="O47" s="24">
        <v>0</v>
      </c>
      <c r="P47" s="21">
        <f t="shared" si="12"/>
        <v>2.0810458316657838</v>
      </c>
      <c r="Q47" s="21">
        <f t="shared" si="13"/>
        <v>2.0810458316657838</v>
      </c>
      <c r="R47" s="25" t="s">
        <v>109</v>
      </c>
      <c r="S47" s="13">
        <f t="shared" si="14"/>
        <v>2635797.7000000002</v>
      </c>
      <c r="T47" s="26">
        <f t="shared" si="15"/>
        <v>1.0168082917323942E-3</v>
      </c>
      <c r="U47" s="26">
        <f t="shared" si="16"/>
        <v>1.0168082917323942E-3</v>
      </c>
      <c r="V47" s="13">
        <f>RL_NAV*T47*(M47*Calculs!$I$13+N47*Calculs!$I$14+O47*Calculs!$I$15+AF47*Calculs!$I$22)</f>
        <v>20544.987822219875</v>
      </c>
      <c r="W47" s="13">
        <f>RL_NAV*U47*(M47*Calculs!$J$13+N47*Calculs!$J$14+O47*Calculs!$J$15+AF47*Calculs!$J$22)</f>
        <v>20544.987822219875</v>
      </c>
      <c r="X47" s="13">
        <f t="shared" si="17"/>
        <v>7794.5996470897117</v>
      </c>
      <c r="Y47" s="13">
        <f t="shared" si="18"/>
        <v>137130.39541748157</v>
      </c>
      <c r="Z47" s="13">
        <f t="shared" si="19"/>
        <v>137130.39541748157</v>
      </c>
      <c r="AA47" s="13">
        <f>RL_NAV*T47*(1-SUMPRODUCT((Flux!$B$7:$B$926=B47)*Flux!$F$7:$F$926*EXP(-(RL_Choc_Taux+IF(Q47&gt;0,RL_Choc_Spread,0))/10000*Flux!$D$7:$D$926))/K47)</f>
        <v>133405.08046665738</v>
      </c>
      <c r="AB47" s="13">
        <f>RL_NAV*U47*(1-SUMPRODUCT((Flux!$B$7:$B$926=B47)*Flux!$F$7:$F$926*EXP(-(RL_Choc_Taux+IF(Q47&gt;0,RL_Choc_Spread,0))/10000*Flux!$D$7:$D$926))/K47)</f>
        <v>133405.08046665738</v>
      </c>
      <c r="AC47" s="9" t="str">
        <f t="shared" si="20"/>
        <v/>
      </c>
      <c r="AD47" s="27">
        <f>SUMIF(Flux!$B$7:$B$926,B47,Flux!$F$7:$F$926)-K47</f>
        <v>0</v>
      </c>
      <c r="AE47" s="28">
        <v>2.565778855420489</v>
      </c>
      <c r="AF47" s="21">
        <f t="shared" si="21"/>
        <v>5.3395033920490143</v>
      </c>
    </row>
    <row r="48" spans="2:32" x14ac:dyDescent="0.2">
      <c r="B48" s="9" t="s">
        <v>225</v>
      </c>
      <c r="C48" s="9" t="s">
        <v>226</v>
      </c>
      <c r="D48" s="9" t="s">
        <v>227</v>
      </c>
      <c r="E48" s="19">
        <v>46522</v>
      </c>
      <c r="F48" s="20">
        <v>5.375</v>
      </c>
      <c r="G48" s="13">
        <v>6600000</v>
      </c>
      <c r="H48" s="21">
        <v>104.44499999999999</v>
      </c>
      <c r="I48" s="22">
        <v>46652.05</v>
      </c>
      <c r="J48" s="22">
        <v>6940022.0499999998</v>
      </c>
      <c r="K48" s="21">
        <f t="shared" si="11"/>
        <v>105.15184924242425</v>
      </c>
      <c r="L48" s="23">
        <v>99.958026492417275</v>
      </c>
      <c r="M48" s="24">
        <v>1.822861757528109</v>
      </c>
      <c r="N48" s="24">
        <v>0</v>
      </c>
      <c r="O48" s="24">
        <v>0</v>
      </c>
      <c r="P48" s="21">
        <f t="shared" si="12"/>
        <v>1.822861757528109</v>
      </c>
      <c r="Q48" s="21">
        <f t="shared" si="13"/>
        <v>1.822861757528109</v>
      </c>
      <c r="R48" s="25" t="s">
        <v>109</v>
      </c>
      <c r="S48" s="13">
        <f t="shared" si="14"/>
        <v>6940022.0499999998</v>
      </c>
      <c r="T48" s="26">
        <f t="shared" si="15"/>
        <v>2.6772433883092191E-3</v>
      </c>
      <c r="U48" s="26">
        <f t="shared" si="16"/>
        <v>2.6772433883092191E-3</v>
      </c>
      <c r="V48" s="13">
        <f>RL_NAV*T48*(M48*Calculs!$I$13+N48*Calculs!$I$14+O48*Calculs!$I$15+AF48*Calculs!$I$22)</f>
        <v>24493.645005398237</v>
      </c>
      <c r="W48" s="13">
        <f>RL_NAV*U48*(M48*Calculs!$J$13+N48*Calculs!$J$14+O48*Calculs!$J$15+AF48*Calculs!$J$22)</f>
        <v>24493.645005398237</v>
      </c>
      <c r="X48" s="13">
        <f t="shared" si="17"/>
        <v>3529.3324472071722</v>
      </c>
      <c r="Y48" s="13">
        <f t="shared" si="18"/>
        <v>316267.51978367066</v>
      </c>
      <c r="Z48" s="13">
        <f t="shared" si="19"/>
        <v>316267.51978367066</v>
      </c>
      <c r="AA48" s="13">
        <f>RL_NAV*T48*(1-SUMPRODUCT((Flux!$B$7:$B$926=B48)*Flux!$F$7:$F$926*EXP(-(RL_Choc_Taux+IF(Q48&gt;0,RL_Choc_Spread,0))/10000*Flux!$D$7:$D$926))/K48)</f>
        <v>309070.57828923181</v>
      </c>
      <c r="AB48" s="13">
        <f>RL_NAV*U48*(1-SUMPRODUCT((Flux!$B$7:$B$926=B48)*Flux!$F$7:$F$926*EXP(-(RL_Choc_Taux+IF(Q48&gt;0,RL_Choc_Spread,0))/10000*Flux!$D$7:$D$926))/K48)</f>
        <v>309070.57828923181</v>
      </c>
      <c r="AC48" s="9" t="str">
        <f t="shared" si="20"/>
        <v/>
      </c>
      <c r="AD48" s="27">
        <f>SUMIF(Flux!$B$7:$B$926,B48,Flux!$F$7:$F$926)-K48</f>
        <v>0</v>
      </c>
      <c r="AE48" s="28">
        <v>0.92553728233719723</v>
      </c>
      <c r="AF48" s="21">
        <f t="shared" si="21"/>
        <v>1.6871265171389729</v>
      </c>
    </row>
    <row r="49" spans="2:32" x14ac:dyDescent="0.2">
      <c r="B49" s="9" t="s">
        <v>228</v>
      </c>
      <c r="C49" s="9" t="s">
        <v>229</v>
      </c>
      <c r="D49" s="9" t="s">
        <v>230</v>
      </c>
      <c r="E49" s="19">
        <v>46405</v>
      </c>
      <c r="F49" s="20">
        <v>4.25</v>
      </c>
      <c r="G49" s="13">
        <v>8000000</v>
      </c>
      <c r="H49" s="21">
        <v>102.72450000000001</v>
      </c>
      <c r="I49" s="22">
        <v>153698.63</v>
      </c>
      <c r="J49" s="22">
        <v>8371658.6299999999</v>
      </c>
      <c r="K49" s="21">
        <f t="shared" si="11"/>
        <v>104.64573287500001</v>
      </c>
      <c r="L49" s="23">
        <v>54.605290474783963</v>
      </c>
      <c r="M49" s="24">
        <v>1.5123091072785451</v>
      </c>
      <c r="N49" s="24">
        <v>0</v>
      </c>
      <c r="O49" s="24">
        <v>0</v>
      </c>
      <c r="P49" s="21">
        <f t="shared" si="12"/>
        <v>1.5123091072785451</v>
      </c>
      <c r="Q49" s="21">
        <f t="shared" si="13"/>
        <v>1.5123091072785451</v>
      </c>
      <c r="R49" s="25" t="s">
        <v>109</v>
      </c>
      <c r="S49" s="13">
        <f t="shared" si="14"/>
        <v>8371658.6299999999</v>
      </c>
      <c r="T49" s="26">
        <f t="shared" si="15"/>
        <v>3.2295239921246817E-3</v>
      </c>
      <c r="U49" s="26">
        <f t="shared" si="16"/>
        <v>3.2295239921246817E-3</v>
      </c>
      <c r="V49" s="13">
        <f>RL_NAV*T49*(M49*Calculs!$I$13+N49*Calculs!$I$14+O49*Calculs!$I$15+AF49*Calculs!$I$22)</f>
        <v>18664.45588955759</v>
      </c>
      <c r="W49" s="13">
        <f>RL_NAV*U49*(M49*Calculs!$J$13+N49*Calculs!$J$14+O49*Calculs!$J$15+AF49*Calculs!$J$22)</f>
        <v>18664.45588955759</v>
      </c>
      <c r="X49" s="13">
        <f t="shared" si="17"/>
        <v>2229.481243140177</v>
      </c>
      <c r="Y49" s="13">
        <f t="shared" si="18"/>
        <v>316513.38972940069</v>
      </c>
      <c r="Z49" s="13">
        <f t="shared" si="19"/>
        <v>316513.38972940069</v>
      </c>
      <c r="AA49" s="13">
        <f>RL_NAV*T49*(1-SUMPRODUCT((Flux!$B$7:$B$926=B49)*Flux!$F$7:$F$926*EXP(-(RL_Choc_Taux+IF(Q49&gt;0,RL_Choc_Spread,0))/10000*Flux!$D$7:$D$926))/K49)</f>
        <v>310507.23103814136</v>
      </c>
      <c r="AB49" s="13">
        <f>RL_NAV*U49*(1-SUMPRODUCT((Flux!$B$7:$B$926=B49)*Flux!$F$7:$F$926*EXP(-(RL_Choc_Taux+IF(Q49&gt;0,RL_Choc_Spread,0))/10000*Flux!$D$7:$D$926))/K49)</f>
        <v>310507.23103814136</v>
      </c>
      <c r="AC49" s="9" t="str">
        <f t="shared" si="20"/>
        <v/>
      </c>
      <c r="AD49" s="27">
        <f>SUMIF(Flux!$B$7:$B$926,B49,Flux!$F$7:$F$926)-K49</f>
        <v>0</v>
      </c>
      <c r="AE49" s="28">
        <v>0.50560454143318501</v>
      </c>
      <c r="AF49" s="21">
        <f t="shared" si="21"/>
        <v>0.76463035269079815</v>
      </c>
    </row>
    <row r="50" spans="2:32" x14ac:dyDescent="0.2">
      <c r="B50" s="9" t="s">
        <v>231</v>
      </c>
      <c r="C50" s="9" t="s">
        <v>232</v>
      </c>
      <c r="D50" s="9" t="s">
        <v>233</v>
      </c>
      <c r="E50" s="19">
        <v>48012</v>
      </c>
      <c r="F50" s="20">
        <v>3.625</v>
      </c>
      <c r="G50" s="13">
        <v>21500000</v>
      </c>
      <c r="H50" s="21">
        <v>101.494</v>
      </c>
      <c r="I50" s="22">
        <v>40570.21</v>
      </c>
      <c r="J50" s="22">
        <v>21861780.210000001</v>
      </c>
      <c r="K50" s="21">
        <f t="shared" si="11"/>
        <v>101.6826986511628</v>
      </c>
      <c r="L50" s="23">
        <v>105.0977573441268</v>
      </c>
      <c r="M50" s="24">
        <v>0.21041903751787899</v>
      </c>
      <c r="N50" s="24">
        <v>4.2935828475325106</v>
      </c>
      <c r="O50" s="24">
        <v>0.94868113252717134</v>
      </c>
      <c r="P50" s="21">
        <f t="shared" si="12"/>
        <v>5.4526830175775611</v>
      </c>
      <c r="Q50" s="21">
        <f t="shared" si="13"/>
        <v>5.4526830175775611</v>
      </c>
      <c r="R50" s="25" t="s">
        <v>109</v>
      </c>
      <c r="S50" s="13">
        <f t="shared" si="14"/>
        <v>21861780.210000001</v>
      </c>
      <c r="T50" s="26">
        <f t="shared" si="15"/>
        <v>8.4335908592526512E-3</v>
      </c>
      <c r="U50" s="26">
        <f t="shared" si="16"/>
        <v>8.4335908592526512E-3</v>
      </c>
      <c r="V50" s="13">
        <f>RL_NAV*T50*(M50*Calculs!$I$13+N50*Calculs!$I$14+O50*Calculs!$I$15+AF50*Calculs!$I$22)</f>
        <v>242546.20982730563</v>
      </c>
      <c r="W50" s="13">
        <f>RL_NAV*U50*(M50*Calculs!$J$13+N50*Calculs!$J$14+O50*Calculs!$J$15+AF50*Calculs!$J$22)</f>
        <v>242546.20982730563</v>
      </c>
      <c r="X50" s="13">
        <f t="shared" si="17"/>
        <v>11094.531529338143</v>
      </c>
      <c r="Y50" s="13">
        <f t="shared" si="18"/>
        <v>2980133.9421270052</v>
      </c>
      <c r="Z50" s="13">
        <f t="shared" si="19"/>
        <v>2980133.9421270052</v>
      </c>
      <c r="AA50" s="13">
        <f>RL_NAV*T50*(1-SUMPRODUCT((Flux!$B$7:$B$926=B50)*Flux!$F$7:$F$926*EXP(-(RL_Choc_Taux+IF(Q50&gt;0,RL_Choc_Spread,0))/10000*Flux!$D$7:$D$926))/K50)</f>
        <v>2776100.8983535548</v>
      </c>
      <c r="AB50" s="13">
        <f>RL_NAV*U50*(1-SUMPRODUCT((Flux!$B$7:$B$926=B50)*Flux!$F$7:$F$926*EXP(-(RL_Choc_Taux+IF(Q50&gt;0,RL_Choc_Spread,0))/10000*Flux!$D$7:$D$926))/K50)</f>
        <v>2776100.8983535548</v>
      </c>
      <c r="AC50" s="9" t="str">
        <f t="shared" si="20"/>
        <v/>
      </c>
      <c r="AD50" s="27">
        <f>SUMIF(Flux!$B$7:$B$926,B50,Flux!$F$7:$F$926)-K50</f>
        <v>0</v>
      </c>
      <c r="AE50" s="28">
        <v>0.97312738281598943</v>
      </c>
      <c r="AF50" s="21">
        <f t="shared" si="21"/>
        <v>5.3061551542204439</v>
      </c>
    </row>
    <row r="51" spans="2:32" x14ac:dyDescent="0.2">
      <c r="B51" s="9" t="s">
        <v>234</v>
      </c>
      <c r="C51" s="9" t="s">
        <v>235</v>
      </c>
      <c r="D51" s="9" t="s">
        <v>236</v>
      </c>
      <c r="E51" s="19">
        <v>49494</v>
      </c>
      <c r="F51" s="20">
        <v>3.75</v>
      </c>
      <c r="G51" s="13">
        <v>18800000</v>
      </c>
      <c r="H51" s="21">
        <v>100.9665</v>
      </c>
      <c r="I51" s="22">
        <v>701136.99</v>
      </c>
      <c r="J51" s="22">
        <v>19682838.989999998</v>
      </c>
      <c r="K51" s="21">
        <f t="shared" si="11"/>
        <v>104.69595207446807</v>
      </c>
      <c r="L51" s="23">
        <v>95.069104144510845</v>
      </c>
      <c r="M51" s="24">
        <v>0.2109007061342151</v>
      </c>
      <c r="N51" s="24">
        <v>0.66604118044521377</v>
      </c>
      <c r="O51" s="24">
        <v>7.3332809550101654</v>
      </c>
      <c r="P51" s="21">
        <f t="shared" si="12"/>
        <v>8.2102228415895944</v>
      </c>
      <c r="Q51" s="21">
        <f t="shared" si="13"/>
        <v>8.2102228415895944</v>
      </c>
      <c r="R51" s="25" t="s">
        <v>109</v>
      </c>
      <c r="S51" s="13">
        <f t="shared" si="14"/>
        <v>19682838.989999998</v>
      </c>
      <c r="T51" s="26">
        <f t="shared" si="15"/>
        <v>7.5930235047498747E-3</v>
      </c>
      <c r="U51" s="26">
        <f t="shared" si="16"/>
        <v>7.5930235047498747E-3</v>
      </c>
      <c r="V51" s="13">
        <f>RL_NAV*T51*(M51*Calculs!$I$13+N51*Calculs!$I$14+O51*Calculs!$I$15+AF51*Calculs!$I$22)</f>
        <v>304708.90530042839</v>
      </c>
      <c r="W51" s="13">
        <f>RL_NAV*U51*(M51*Calculs!$J$13+N51*Calculs!$J$14+O51*Calculs!$J$15+AF51*Calculs!$J$22)</f>
        <v>304708.90530042839</v>
      </c>
      <c r="X51" s="13">
        <f t="shared" si="17"/>
        <v>15480.942838339421</v>
      </c>
      <c r="Y51" s="13">
        <f t="shared" si="18"/>
        <v>4040012.3565757065</v>
      </c>
      <c r="Z51" s="13">
        <f t="shared" si="19"/>
        <v>4040012.3565757065</v>
      </c>
      <c r="AA51" s="13">
        <f>RL_NAV*T51*(1-SUMPRODUCT((Flux!$B$7:$B$926=B51)*Flux!$F$7:$F$926*EXP(-(RL_Choc_Taux+IF(Q51&gt;0,RL_Choc_Spread,0))/10000*Flux!$D$7:$D$926))/K51)</f>
        <v>3601756.3310848633</v>
      </c>
      <c r="AB51" s="13">
        <f>RL_NAV*U51*(1-SUMPRODUCT((Flux!$B$7:$B$926=B51)*Flux!$F$7:$F$926*EXP(-(RL_Choc_Taux+IF(Q51&gt;0,RL_Choc_Spread,0))/10000*Flux!$D$7:$D$926))/K51)</f>
        <v>3601756.3310848633</v>
      </c>
      <c r="AC51" s="9" t="str">
        <f t="shared" si="20"/>
        <v/>
      </c>
      <c r="AD51" s="27">
        <f>SUMIF(Flux!$B$7:$B$926,B51,Flux!$F$7:$F$926)-K51</f>
        <v>0</v>
      </c>
      <c r="AE51" s="28">
        <v>0.88026948281954509</v>
      </c>
      <c r="AF51" s="21">
        <f t="shared" si="21"/>
        <v>7.227208614599288</v>
      </c>
    </row>
    <row r="52" spans="2:32" x14ac:dyDescent="0.2">
      <c r="B52" s="9" t="s">
        <v>237</v>
      </c>
      <c r="C52" s="9" t="s">
        <v>238</v>
      </c>
      <c r="D52" s="9" t="s">
        <v>239</v>
      </c>
      <c r="E52" s="19">
        <v>47556</v>
      </c>
      <c r="F52" s="20">
        <v>6.625</v>
      </c>
      <c r="G52" s="13">
        <v>4300000</v>
      </c>
      <c r="H52" s="21">
        <v>111.526</v>
      </c>
      <c r="I52" s="22">
        <v>85852.74</v>
      </c>
      <c r="J52" s="22">
        <v>4881470.74</v>
      </c>
      <c r="K52" s="21">
        <f t="shared" si="11"/>
        <v>113.52257534883721</v>
      </c>
      <c r="L52" s="23">
        <v>170.48138773698531</v>
      </c>
      <c r="M52" s="24">
        <v>0.68891065092380055</v>
      </c>
      <c r="N52" s="24">
        <v>3.465649942319224</v>
      </c>
      <c r="O52" s="24">
        <v>0</v>
      </c>
      <c r="P52" s="21">
        <f t="shared" si="12"/>
        <v>4.1545605932430245</v>
      </c>
      <c r="Q52" s="21">
        <f t="shared" si="13"/>
        <v>4.1545605932430245</v>
      </c>
      <c r="R52" s="25" t="s">
        <v>109</v>
      </c>
      <c r="S52" s="13">
        <f t="shared" si="14"/>
        <v>4881470.74</v>
      </c>
      <c r="T52" s="26">
        <f t="shared" si="15"/>
        <v>1.8831186946862673E-3</v>
      </c>
      <c r="U52" s="26">
        <f t="shared" si="16"/>
        <v>1.8831186946862673E-3</v>
      </c>
      <c r="V52" s="13">
        <f>RL_NAV*T52*(M52*Calculs!$I$13+N52*Calculs!$I$14+O52*Calculs!$I$15+AF52*Calculs!$I$22)</f>
        <v>54849.201912712022</v>
      </c>
      <c r="W52" s="13">
        <f>RL_NAV*U52*(M52*Calculs!$J$13+N52*Calculs!$J$14+O52*Calculs!$J$15+AF52*Calculs!$J$22)</f>
        <v>54849.201912712022</v>
      </c>
      <c r="X52" s="13">
        <f t="shared" si="17"/>
        <v>11236.20417577511</v>
      </c>
      <c r="Y52" s="13">
        <f t="shared" si="18"/>
        <v>507009.14933682163</v>
      </c>
      <c r="Z52" s="13">
        <f t="shared" si="19"/>
        <v>507009.14933682163</v>
      </c>
      <c r="AA52" s="13">
        <f>RL_NAV*T52*(1-SUMPRODUCT((Flux!$B$7:$B$926=B52)*Flux!$F$7:$F$926*EXP(-(RL_Choc_Taux+IF(Q52&gt;0,RL_Choc_Spread,0))/10000*Flux!$D$7:$D$926))/K52)</f>
        <v>479652.10363047663</v>
      </c>
      <c r="AB52" s="13">
        <f>RL_NAV*U52*(1-SUMPRODUCT((Flux!$B$7:$B$926=B52)*Flux!$F$7:$F$926*EXP(-(RL_Choc_Taux+IF(Q52&gt;0,RL_Choc_Spread,0))/10000*Flux!$D$7:$D$926))/K52)</f>
        <v>479652.10363047663</v>
      </c>
      <c r="AC52" s="9" t="str">
        <f t="shared" si="20"/>
        <v/>
      </c>
      <c r="AD52" s="27">
        <f>SUMIF(Flux!$B$7:$B$926,B52,Flux!$F$7:$F$926)-K52</f>
        <v>0</v>
      </c>
      <c r="AE52" s="28">
        <v>1.578531367935049</v>
      </c>
      <c r="AF52" s="21">
        <f t="shared" si="21"/>
        <v>6.5581042164209604</v>
      </c>
    </row>
    <row r="53" spans="2:32" x14ac:dyDescent="0.2">
      <c r="B53" s="9" t="s">
        <v>240</v>
      </c>
      <c r="C53" s="9" t="s">
        <v>241</v>
      </c>
      <c r="D53" s="9" t="s">
        <v>242</v>
      </c>
      <c r="E53" s="19">
        <v>48139</v>
      </c>
      <c r="F53" s="20">
        <v>4.25</v>
      </c>
      <c r="G53" s="13">
        <v>14300000</v>
      </c>
      <c r="H53" s="21">
        <v>106.29</v>
      </c>
      <c r="I53" s="22">
        <v>427922.6</v>
      </c>
      <c r="J53" s="22">
        <v>15627392.6</v>
      </c>
      <c r="K53" s="21">
        <f t="shared" si="11"/>
        <v>109.28246573426573</v>
      </c>
      <c r="L53" s="23">
        <v>81.560378017697843</v>
      </c>
      <c r="M53" s="24">
        <v>0.2368183451306711</v>
      </c>
      <c r="N53" s="24">
        <v>3.9943810988437121</v>
      </c>
      <c r="O53" s="24">
        <v>1.295065750099792</v>
      </c>
      <c r="P53" s="21">
        <f t="shared" si="12"/>
        <v>5.5262651940741749</v>
      </c>
      <c r="Q53" s="21">
        <f t="shared" si="13"/>
        <v>5.5262651940741749</v>
      </c>
      <c r="R53" s="25" t="s">
        <v>109</v>
      </c>
      <c r="S53" s="13">
        <f t="shared" si="14"/>
        <v>15627392.6</v>
      </c>
      <c r="T53" s="26">
        <f t="shared" si="15"/>
        <v>6.028559162122896E-3</v>
      </c>
      <c r="U53" s="26">
        <f t="shared" si="16"/>
        <v>6.028559162122896E-3</v>
      </c>
      <c r="V53" s="13">
        <f>RL_NAV*T53*(M53*Calculs!$I$13+N53*Calculs!$I$14+O53*Calculs!$I$15+AF53*Calculs!$I$22)</f>
        <v>154646.4627492945</v>
      </c>
      <c r="W53" s="13">
        <f>RL_NAV*U53*(M53*Calculs!$J$13+N53*Calculs!$J$14+O53*Calculs!$J$15+AF53*Calculs!$J$22)</f>
        <v>154646.4627492945</v>
      </c>
      <c r="X53" s="13">
        <f t="shared" si="17"/>
        <v>9895.8582987986429</v>
      </c>
      <c r="Y53" s="13">
        <f t="shared" si="18"/>
        <v>2159027.8949878081</v>
      </c>
      <c r="Z53" s="13">
        <f t="shared" si="19"/>
        <v>2159027.8949878081</v>
      </c>
      <c r="AA53" s="13">
        <f>RL_NAV*T53*(1-SUMPRODUCT((Flux!$B$7:$B$926=B53)*Flux!$F$7:$F$926*EXP(-(RL_Choc_Taux+IF(Q53&gt;0,RL_Choc_Spread,0))/10000*Flux!$D$7:$D$926))/K53)</f>
        <v>2004249.7712955682</v>
      </c>
      <c r="AB53" s="13">
        <f>RL_NAV*U53*(1-SUMPRODUCT((Flux!$B$7:$B$926=B53)*Flux!$F$7:$F$926*EXP(-(RL_Choc_Taux+IF(Q53&gt;0,RL_Choc_Spread,0))/10000*Flux!$D$7:$D$926))/K53)</f>
        <v>2004249.7712955682</v>
      </c>
      <c r="AC53" s="9" t="str">
        <f t="shared" si="20"/>
        <v/>
      </c>
      <c r="AD53" s="27">
        <f>SUMIF(Flux!$B$7:$B$926,B53,Flux!$F$7:$F$926)-K53</f>
        <v>0</v>
      </c>
      <c r="AE53" s="28">
        <v>0.75518868534905426</v>
      </c>
      <c r="AF53" s="21">
        <f t="shared" si="21"/>
        <v>4.173372946803112</v>
      </c>
    </row>
    <row r="54" spans="2:32" x14ac:dyDescent="0.2">
      <c r="B54" s="9" t="s">
        <v>243</v>
      </c>
      <c r="C54" s="9" t="s">
        <v>244</v>
      </c>
      <c r="D54" s="9" t="s">
        <v>245</v>
      </c>
      <c r="E54" s="19">
        <v>47591</v>
      </c>
      <c r="F54" s="20">
        <v>4.5</v>
      </c>
      <c r="G54" s="13">
        <v>15000000</v>
      </c>
      <c r="H54" s="21">
        <v>105.3835</v>
      </c>
      <c r="I54" s="22">
        <v>138698.63</v>
      </c>
      <c r="J54" s="22">
        <v>15946223.630000001</v>
      </c>
      <c r="K54" s="21">
        <f t="shared" si="11"/>
        <v>106.30815753333334</v>
      </c>
      <c r="L54" s="23">
        <v>109.0457984410307</v>
      </c>
      <c r="M54" s="24">
        <v>0.51243376929940831</v>
      </c>
      <c r="N54" s="24">
        <v>3.8858291711156299</v>
      </c>
      <c r="O54" s="24">
        <v>0</v>
      </c>
      <c r="P54" s="21">
        <f t="shared" si="12"/>
        <v>4.3982629404150382</v>
      </c>
      <c r="Q54" s="21">
        <f t="shared" si="13"/>
        <v>4.3982629404150382</v>
      </c>
      <c r="R54" s="25" t="s">
        <v>109</v>
      </c>
      <c r="S54" s="13">
        <f t="shared" si="14"/>
        <v>15946223.630000001</v>
      </c>
      <c r="T54" s="26">
        <f t="shared" si="15"/>
        <v>6.1515541988685389E-3</v>
      </c>
      <c r="U54" s="26">
        <f t="shared" si="16"/>
        <v>6.1515541988685389E-3</v>
      </c>
      <c r="V54" s="13">
        <f>RL_NAV*T54*(M54*Calculs!$I$13+N54*Calculs!$I$14+O54*Calculs!$I$15+AF54*Calculs!$I$22)</f>
        <v>146006.78316883623</v>
      </c>
      <c r="W54" s="13">
        <f>RL_NAV*U54*(M54*Calculs!$J$13+N54*Calculs!$J$14+O54*Calculs!$J$15+AF54*Calculs!$J$22)</f>
        <v>146006.78316883623</v>
      </c>
      <c r="X54" s="13">
        <f t="shared" si="17"/>
        <v>9156.1981417437473</v>
      </c>
      <c r="Y54" s="13">
        <f t="shared" si="18"/>
        <v>1753392.1107849891</v>
      </c>
      <c r="Z54" s="13">
        <f t="shared" si="19"/>
        <v>1753392.1107849891</v>
      </c>
      <c r="AA54" s="13">
        <f>RL_NAV*T54*(1-SUMPRODUCT((Flux!$B$7:$B$926=B54)*Flux!$F$7:$F$926*EXP(-(RL_Choc_Taux+IF(Q54&gt;0,RL_Choc_Spread,0))/10000*Flux!$D$7:$D$926))/K54)</f>
        <v>1655617.3600257537</v>
      </c>
      <c r="AB54" s="13">
        <f>RL_NAV*U54*(1-SUMPRODUCT((Flux!$B$7:$B$926=B54)*Flux!$F$7:$F$926*EXP(-(RL_Choc_Taux+IF(Q54&gt;0,RL_Choc_Spread,0))/10000*Flux!$D$7:$D$926))/K54)</f>
        <v>1655617.3600257537</v>
      </c>
      <c r="AC54" s="9" t="str">
        <f t="shared" si="20"/>
        <v/>
      </c>
      <c r="AD54" s="27">
        <f>SUMIF(Flux!$B$7:$B$926,B54,Flux!$F$7:$F$926)-K54</f>
        <v>0</v>
      </c>
      <c r="AE54" s="28">
        <v>1.0096833188984331</v>
      </c>
      <c r="AF54" s="21">
        <f t="shared" si="21"/>
        <v>4.4408527230662367</v>
      </c>
    </row>
    <row r="55" spans="2:32" x14ac:dyDescent="0.2">
      <c r="B55" s="9" t="s">
        <v>246</v>
      </c>
      <c r="C55" s="9" t="s">
        <v>247</v>
      </c>
      <c r="D55" s="9" t="s">
        <v>248</v>
      </c>
      <c r="E55" s="19">
        <v>48950</v>
      </c>
      <c r="F55" s="20">
        <v>3.125</v>
      </c>
      <c r="G55" s="13">
        <v>13000000</v>
      </c>
      <c r="H55" s="21">
        <v>97.590500000000006</v>
      </c>
      <c r="I55" s="22">
        <v>197003.42</v>
      </c>
      <c r="J55" s="22">
        <v>12883768.42</v>
      </c>
      <c r="K55" s="21">
        <f t="shared" si="11"/>
        <v>99.10591092307692</v>
      </c>
      <c r="L55" s="23">
        <v>90.857336959281014</v>
      </c>
      <c r="M55" s="24">
        <v>0.19261902170183459</v>
      </c>
      <c r="N55" s="24">
        <v>2.4654006766888692</v>
      </c>
      <c r="O55" s="24">
        <v>4.8178145427215879</v>
      </c>
      <c r="P55" s="21">
        <f t="shared" si="12"/>
        <v>7.4758342411122918</v>
      </c>
      <c r="Q55" s="21">
        <f t="shared" si="13"/>
        <v>7.4758342411122918</v>
      </c>
      <c r="R55" s="25" t="s">
        <v>109</v>
      </c>
      <c r="S55" s="13">
        <f t="shared" si="14"/>
        <v>12883768.42</v>
      </c>
      <c r="T55" s="26">
        <f t="shared" si="15"/>
        <v>4.9701547877577879E-3</v>
      </c>
      <c r="U55" s="26">
        <f t="shared" si="16"/>
        <v>4.9701547877577879E-3</v>
      </c>
      <c r="V55" s="13">
        <f>RL_NAV*T55*(M55*Calculs!$I$13+N55*Calculs!$I$14+O55*Calculs!$I$15+AF55*Calculs!$I$22)</f>
        <v>179070.74438221537</v>
      </c>
      <c r="W55" s="13">
        <f>RL_NAV*U55*(M55*Calculs!$J$13+N55*Calculs!$J$14+O55*Calculs!$J$15+AF55*Calculs!$J$22)</f>
        <v>179070.74438221537</v>
      </c>
      <c r="X55" s="13">
        <f t="shared" si="17"/>
        <v>13898.94156310948</v>
      </c>
      <c r="Y55" s="13">
        <f t="shared" si="18"/>
        <v>2407922.9277199302</v>
      </c>
      <c r="Z55" s="13">
        <f t="shared" si="19"/>
        <v>2407922.9277199302</v>
      </c>
      <c r="AA55" s="13">
        <f>RL_NAV*T55*(1-SUMPRODUCT((Flux!$B$7:$B$926=B55)*Flux!$F$7:$F$926*EXP(-(RL_Choc_Taux+IF(Q55&gt;0,RL_Choc_Spread,0))/10000*Flux!$D$7:$D$926))/K55)</f>
        <v>2179097.4348257394</v>
      </c>
      <c r="AB55" s="13">
        <f>RL_NAV*U55*(1-SUMPRODUCT((Flux!$B$7:$B$926=B55)*Flux!$F$7:$F$926*EXP(-(RL_Choc_Taux+IF(Q55&gt;0,RL_Choc_Spread,0))/10000*Flux!$D$7:$D$926))/K55)</f>
        <v>2179097.4348257394</v>
      </c>
      <c r="AC55" s="9" t="str">
        <f t="shared" si="20"/>
        <v/>
      </c>
      <c r="AD55" s="27">
        <f>SUMIF(Flux!$B$7:$B$926,B55,Flux!$F$7:$F$926)-K55</f>
        <v>0</v>
      </c>
      <c r="AE55" s="28">
        <v>0.84127163851186149</v>
      </c>
      <c r="AF55" s="21">
        <f t="shared" si="21"/>
        <v>6.2892073212636159</v>
      </c>
    </row>
    <row r="56" spans="2:32" x14ac:dyDescent="0.2">
      <c r="B56" s="9" t="s">
        <v>249</v>
      </c>
      <c r="C56" s="9" t="s">
        <v>250</v>
      </c>
      <c r="D56" s="9" t="s">
        <v>251</v>
      </c>
      <c r="E56" s="19">
        <v>47321</v>
      </c>
      <c r="F56" s="20">
        <v>5.75</v>
      </c>
      <c r="G56" s="13">
        <v>25800000</v>
      </c>
      <c r="H56" s="21">
        <v>107.0205</v>
      </c>
      <c r="I56" s="22">
        <v>1402212.33</v>
      </c>
      <c r="J56" s="22">
        <v>29013501.329999998</v>
      </c>
      <c r="K56" s="21">
        <f t="shared" si="11"/>
        <v>112.45543151162789</v>
      </c>
      <c r="L56" s="23">
        <v>172.22895837710851</v>
      </c>
      <c r="M56" s="24">
        <v>1.267363453706674</v>
      </c>
      <c r="N56" s="24">
        <v>2.3003129786945098</v>
      </c>
      <c r="O56" s="24">
        <v>0</v>
      </c>
      <c r="P56" s="21">
        <f t="shared" si="12"/>
        <v>3.5676764324011838</v>
      </c>
      <c r="Q56" s="21">
        <f t="shared" si="13"/>
        <v>3.5676764324011838</v>
      </c>
      <c r="R56" s="25" t="s">
        <v>109</v>
      </c>
      <c r="S56" s="13">
        <f t="shared" si="14"/>
        <v>29013501.329999998</v>
      </c>
      <c r="T56" s="26">
        <f t="shared" si="15"/>
        <v>1.1192501125762739E-2</v>
      </c>
      <c r="U56" s="26">
        <f t="shared" si="16"/>
        <v>1.1192501125762739E-2</v>
      </c>
      <c r="V56" s="13">
        <f>RL_NAV*T56*(M56*Calculs!$I$13+N56*Calculs!$I$14+O56*Calculs!$I$15+AF56*Calculs!$I$22)</f>
        <v>280614.55732247402</v>
      </c>
      <c r="W56" s="13">
        <f>RL_NAV*U56*(M56*Calculs!$J$13+N56*Calculs!$J$14+O56*Calculs!$J$15+AF56*Calculs!$J$22)</f>
        <v>280614.55732247402</v>
      </c>
      <c r="X56" s="13">
        <f t="shared" si="17"/>
        <v>9671.8611838936595</v>
      </c>
      <c r="Y56" s="13">
        <f t="shared" si="18"/>
        <v>2587769.6229120344</v>
      </c>
      <c r="Z56" s="13">
        <f t="shared" si="19"/>
        <v>2587769.6229120344</v>
      </c>
      <c r="AA56" s="13">
        <f>RL_NAV*T56*(1-SUMPRODUCT((Flux!$B$7:$B$926=B56)*Flux!$F$7:$F$926*EXP(-(RL_Choc_Taux+IF(Q56&gt;0,RL_Choc_Spread,0))/10000*Flux!$D$7:$D$926))/K56)</f>
        <v>2465115.379022934</v>
      </c>
      <c r="AB56" s="13">
        <f>RL_NAV*U56*(1-SUMPRODUCT((Flux!$B$7:$B$926=B56)*Flux!$F$7:$F$926*EXP(-(RL_Choc_Taux+IF(Q56&gt;0,RL_Choc_Spread,0))/10000*Flux!$D$7:$D$926))/K56)</f>
        <v>2465115.379022934</v>
      </c>
      <c r="AC56" s="9" t="str">
        <f t="shared" si="20"/>
        <v/>
      </c>
      <c r="AD56" s="27">
        <f>SUMIF(Flux!$B$7:$B$926,B56,Flux!$F$7:$F$926)-K56</f>
        <v>0</v>
      </c>
      <c r="AE56" s="28">
        <v>1.59471257756582</v>
      </c>
      <c r="AF56" s="21">
        <f t="shared" si="21"/>
        <v>5.6894184794353206</v>
      </c>
    </row>
    <row r="57" spans="2:32" x14ac:dyDescent="0.2">
      <c r="B57" s="9" t="s">
        <v>252</v>
      </c>
      <c r="C57" s="9" t="s">
        <v>253</v>
      </c>
      <c r="D57" s="9" t="s">
        <v>254</v>
      </c>
      <c r="E57" s="19">
        <v>47330</v>
      </c>
      <c r="F57" s="20">
        <v>6.65</v>
      </c>
      <c r="G57" s="13">
        <v>12000000</v>
      </c>
      <c r="H57" s="21">
        <v>100.59350000000001</v>
      </c>
      <c r="I57" s="22">
        <v>744800</v>
      </c>
      <c r="J57" s="22">
        <v>12816020</v>
      </c>
      <c r="K57" s="21">
        <f t="shared" si="11"/>
        <v>106.80016666666667</v>
      </c>
      <c r="L57" s="23">
        <v>419.66785765269111</v>
      </c>
      <c r="M57" s="24">
        <v>1.244703038426356</v>
      </c>
      <c r="N57" s="24">
        <v>2.2560674690302198</v>
      </c>
      <c r="O57" s="24">
        <v>0</v>
      </c>
      <c r="P57" s="21">
        <f t="shared" si="12"/>
        <v>3.5007705074565756</v>
      </c>
      <c r="Q57" s="21">
        <f t="shared" si="13"/>
        <v>3.5007705074565756</v>
      </c>
      <c r="R57" s="25" t="s">
        <v>109</v>
      </c>
      <c r="S57" s="13">
        <f t="shared" si="14"/>
        <v>12816020</v>
      </c>
      <c r="T57" s="26">
        <f t="shared" si="15"/>
        <v>4.9440195668310196E-3</v>
      </c>
      <c r="U57" s="26">
        <f t="shared" si="16"/>
        <v>4.9440195668310196E-3</v>
      </c>
      <c r="V57" s="13">
        <f>RL_NAV*T57*(M57*Calculs!$I$13+N57*Calculs!$I$14+O57*Calculs!$I$15+AF57*Calculs!$I$22)</f>
        <v>234700.99398781051</v>
      </c>
      <c r="W57" s="13">
        <f>RL_NAV*U57*(M57*Calculs!$J$13+N57*Calculs!$J$14+O57*Calculs!$J$15+AF57*Calculs!$J$22)</f>
        <v>234700.99398781051</v>
      </c>
      <c r="X57" s="13">
        <f t="shared" si="17"/>
        <v>18313.095172121339</v>
      </c>
      <c r="Y57" s="13">
        <f t="shared" si="18"/>
        <v>1121648.6209743407</v>
      </c>
      <c r="Z57" s="13">
        <f t="shared" si="19"/>
        <v>1121648.6209743407</v>
      </c>
      <c r="AA57" s="13">
        <f>RL_NAV*T57*(1-SUMPRODUCT((Flux!$B$7:$B$926=B57)*Flux!$F$7:$F$926*EXP(-(RL_Choc_Taux+IF(Q57&gt;0,RL_Choc_Spread,0))/10000*Flux!$D$7:$D$926))/K57)</f>
        <v>1068556.5540970368</v>
      </c>
      <c r="AB57" s="13">
        <f>RL_NAV*U57*(1-SUMPRODUCT((Flux!$B$7:$B$926=B57)*Flux!$F$7:$F$926*EXP(-(RL_Choc_Taux+IF(Q57&gt;0,RL_Choc_Spread,0))/10000*Flux!$D$7:$D$926))/K57)</f>
        <v>1068556.5540970368</v>
      </c>
      <c r="AC57" s="9" t="str">
        <f t="shared" si="20"/>
        <v/>
      </c>
      <c r="AD57" s="27">
        <f>SUMIF(Flux!$B$7:$B$926,B57,Flux!$F$7:$F$926)-K57</f>
        <v>0</v>
      </c>
      <c r="AE57" s="28">
        <v>3.885813496784178</v>
      </c>
      <c r="AF57" s="21">
        <f t="shared" si="21"/>
        <v>13.603341287018758</v>
      </c>
    </row>
    <row r="58" spans="2:32" x14ac:dyDescent="0.2">
      <c r="B58" s="9" t="s">
        <v>255</v>
      </c>
      <c r="C58" s="9" t="s">
        <v>256</v>
      </c>
      <c r="D58" s="9" t="s">
        <v>257</v>
      </c>
      <c r="E58" s="19">
        <v>49204</v>
      </c>
      <c r="F58" s="20">
        <v>4</v>
      </c>
      <c r="G58" s="13">
        <v>32000000</v>
      </c>
      <c r="H58" s="21">
        <v>101.065</v>
      </c>
      <c r="I58" s="22">
        <v>1009972.6</v>
      </c>
      <c r="J58" s="22">
        <v>33350772.600000001</v>
      </c>
      <c r="K58" s="21">
        <f t="shared" si="11"/>
        <v>104.221164375</v>
      </c>
      <c r="L58" s="23">
        <v>124.38066065382741</v>
      </c>
      <c r="M58" s="24">
        <v>0.22977072104001081</v>
      </c>
      <c r="N58" s="24">
        <v>1.6740367913689591</v>
      </c>
      <c r="O58" s="24">
        <v>5.7396011506145008</v>
      </c>
      <c r="P58" s="21">
        <f t="shared" si="12"/>
        <v>7.6434086630234708</v>
      </c>
      <c r="Q58" s="21">
        <f t="shared" si="13"/>
        <v>7.6434086630234708</v>
      </c>
      <c r="R58" s="25" t="s">
        <v>109</v>
      </c>
      <c r="S58" s="13">
        <f t="shared" si="14"/>
        <v>33350772.600000001</v>
      </c>
      <c r="T58" s="26">
        <f t="shared" si="15"/>
        <v>1.2865684690202718E-2</v>
      </c>
      <c r="U58" s="26">
        <f t="shared" si="16"/>
        <v>1.2865684690202718E-2</v>
      </c>
      <c r="V58" s="13">
        <f>RL_NAV*T58*(M58*Calculs!$I$13+N58*Calculs!$I$14+O58*Calculs!$I$15+AF58*Calculs!$I$22)</f>
        <v>559101.05956688733</v>
      </c>
      <c r="W58" s="13">
        <f>RL_NAV*U58*(M58*Calculs!$J$13+N58*Calculs!$J$14+O58*Calculs!$J$15+AF58*Calculs!$J$22)</f>
        <v>559101.05956688733</v>
      </c>
      <c r="X58" s="13">
        <f t="shared" si="17"/>
        <v>16764.261094415768</v>
      </c>
      <c r="Y58" s="13">
        <f t="shared" si="18"/>
        <v>6372839.6052341461</v>
      </c>
      <c r="Z58" s="13">
        <f t="shared" si="19"/>
        <v>6372839.6052341461</v>
      </c>
      <c r="AA58" s="13">
        <f>RL_NAV*T58*(1-SUMPRODUCT((Flux!$B$7:$B$926=B58)*Flux!$F$7:$F$926*EXP(-(RL_Choc_Taux+IF(Q58&gt;0,RL_Choc_Spread,0))/10000*Flux!$D$7:$D$926))/K58)</f>
        <v>5731703.0043247808</v>
      </c>
      <c r="AB58" s="13">
        <f>RL_NAV*U58*(1-SUMPRODUCT((Flux!$B$7:$B$926=B58)*Flux!$F$7:$F$926*EXP(-(RL_Choc_Taux+IF(Q58&gt;0,RL_Choc_Spread,0))/10000*Flux!$D$7:$D$926))/K58)</f>
        <v>5731703.0043247808</v>
      </c>
      <c r="AC58" s="9" t="str">
        <f t="shared" si="20"/>
        <v/>
      </c>
      <c r="AD58" s="27">
        <f>SUMIF(Flux!$B$7:$B$926,B58,Flux!$F$7:$F$926)-K58</f>
        <v>0</v>
      </c>
      <c r="AE58" s="28">
        <v>1.1516727838317351</v>
      </c>
      <c r="AF58" s="21">
        <f t="shared" si="21"/>
        <v>8.8027057329078406</v>
      </c>
    </row>
    <row r="59" spans="2:32" x14ac:dyDescent="0.2">
      <c r="B59" s="9" t="s">
        <v>258</v>
      </c>
      <c r="C59" s="9" t="s">
        <v>259</v>
      </c>
      <c r="D59" s="9" t="s">
        <v>200</v>
      </c>
      <c r="E59" s="19">
        <v>49220</v>
      </c>
      <c r="F59" s="20">
        <v>5.375</v>
      </c>
      <c r="G59" s="13">
        <v>29900000</v>
      </c>
      <c r="H59" s="21">
        <v>105.3835</v>
      </c>
      <c r="I59" s="22">
        <v>1197638.3600000001</v>
      </c>
      <c r="J59" s="22">
        <v>32707304.859999999</v>
      </c>
      <c r="K59" s="21">
        <f t="shared" si="11"/>
        <v>109.38897946488295</v>
      </c>
      <c r="L59" s="23">
        <v>200.89445014065561</v>
      </c>
      <c r="M59" s="24">
        <v>0.28945320171422401</v>
      </c>
      <c r="N59" s="24">
        <v>1.67419546862392</v>
      </c>
      <c r="O59" s="24">
        <v>5.3276438407084088</v>
      </c>
      <c r="P59" s="21">
        <f t="shared" si="12"/>
        <v>7.291292511046553</v>
      </c>
      <c r="Q59" s="21">
        <f t="shared" si="13"/>
        <v>7.291292511046553</v>
      </c>
      <c r="R59" s="25" t="s">
        <v>109</v>
      </c>
      <c r="S59" s="13">
        <f t="shared" si="14"/>
        <v>32707304.859999999</v>
      </c>
      <c r="T59" s="26">
        <f t="shared" si="15"/>
        <v>1.2617454966998124E-2</v>
      </c>
      <c r="U59" s="26">
        <f t="shared" si="16"/>
        <v>1.2617454966998124E-2</v>
      </c>
      <c r="V59" s="13">
        <f>RL_NAV*T59*(M59*Calculs!$I$13+N59*Calculs!$I$14+O59*Calculs!$I$15+AF59*Calculs!$I$22)</f>
        <v>709084.50556370406</v>
      </c>
      <c r="W59" s="13">
        <f>RL_NAV*U59*(M59*Calculs!$J$13+N59*Calculs!$J$14+O59*Calculs!$J$15+AF59*Calculs!$J$22)</f>
        <v>709084.50556370406</v>
      </c>
      <c r="X59" s="13">
        <f t="shared" si="17"/>
        <v>21679.698422076104</v>
      </c>
      <c r="Y59" s="13">
        <f t="shared" si="18"/>
        <v>5961963.1745558642</v>
      </c>
      <c r="Z59" s="13">
        <f t="shared" si="19"/>
        <v>5961963.1745558642</v>
      </c>
      <c r="AA59" s="13">
        <f>RL_NAV*T59*(1-SUMPRODUCT((Flux!$B$7:$B$926=B59)*Flux!$F$7:$F$926*EXP(-(RL_Choc_Taux+IF(Q59&gt;0,RL_Choc_Spread,0))/10000*Flux!$D$7:$D$926))/K59)</f>
        <v>5371096.3443425428</v>
      </c>
      <c r="AB59" s="13">
        <f>RL_NAV*U59*(1-SUMPRODUCT((Flux!$B$7:$B$926=B59)*Flux!$F$7:$F$926*EXP(-(RL_Choc_Taux+IF(Q59&gt;0,RL_Choc_Spread,0))/10000*Flux!$D$7:$D$926))/K59)</f>
        <v>5371096.3443425428</v>
      </c>
      <c r="AC59" s="9" t="str">
        <f t="shared" si="20"/>
        <v/>
      </c>
      <c r="AD59" s="27">
        <f>SUMIF(Flux!$B$7:$B$926,B59,Flux!$F$7:$F$926)-K59</f>
        <v>0</v>
      </c>
      <c r="AE59" s="28">
        <v>1.8601337975986629</v>
      </c>
      <c r="AF59" s="21">
        <f t="shared" si="21"/>
        <v>13.562779627975715</v>
      </c>
    </row>
    <row r="60" spans="2:32" x14ac:dyDescent="0.2">
      <c r="B60" s="9" t="s">
        <v>260</v>
      </c>
      <c r="C60" s="9" t="s">
        <v>261</v>
      </c>
      <c r="D60" s="9" t="s">
        <v>262</v>
      </c>
      <c r="E60" s="19">
        <v>47808</v>
      </c>
      <c r="F60" s="20">
        <v>3</v>
      </c>
      <c r="G60" s="13">
        <v>22000000</v>
      </c>
      <c r="H60" s="21">
        <v>99.448499999999996</v>
      </c>
      <c r="I60" s="22">
        <v>403232.88</v>
      </c>
      <c r="J60" s="22">
        <v>22281902.879999999</v>
      </c>
      <c r="K60" s="21">
        <f t="shared" si="11"/>
        <v>101.28137672727273</v>
      </c>
      <c r="L60" s="23">
        <v>87.708967119581771</v>
      </c>
      <c r="M60" s="24">
        <v>0.18082827595546269</v>
      </c>
      <c r="N60" s="24">
        <v>4.4234998350539572</v>
      </c>
      <c r="O60" s="24">
        <v>0.36578046730687441</v>
      </c>
      <c r="P60" s="21">
        <f t="shared" si="12"/>
        <v>4.9701085783162942</v>
      </c>
      <c r="Q60" s="21">
        <f t="shared" si="13"/>
        <v>4.9701085783162942</v>
      </c>
      <c r="R60" s="25" t="s">
        <v>109</v>
      </c>
      <c r="S60" s="13">
        <f t="shared" si="14"/>
        <v>22281902.879999999</v>
      </c>
      <c r="T60" s="26">
        <f t="shared" si="15"/>
        <v>8.595661041801466E-3</v>
      </c>
      <c r="U60" s="26">
        <f t="shared" si="16"/>
        <v>8.595661041801466E-3</v>
      </c>
      <c r="V60" s="13">
        <f>RL_NAV*T60*(M60*Calculs!$I$13+N60*Calculs!$I$14+O60*Calculs!$I$15+AF60*Calculs!$I$22)</f>
        <v>206468.18265358164</v>
      </c>
      <c r="W60" s="13">
        <f>RL_NAV*U60*(M60*Calculs!$J$13+N60*Calculs!$J$14+O60*Calculs!$J$15+AF60*Calculs!$J$22)</f>
        <v>206468.18265358164</v>
      </c>
      <c r="X60" s="13">
        <f t="shared" si="17"/>
        <v>9266.1826849135632</v>
      </c>
      <c r="Y60" s="13">
        <f t="shared" si="18"/>
        <v>2768586.9161274633</v>
      </c>
      <c r="Z60" s="13">
        <f t="shared" si="19"/>
        <v>2768586.9161274633</v>
      </c>
      <c r="AA60" s="13">
        <f>RL_NAV*T60*(1-SUMPRODUCT((Flux!$B$7:$B$926=B60)*Flux!$F$7:$F$926*EXP(-(RL_Choc_Taux+IF(Q60&gt;0,RL_Choc_Spread,0))/10000*Flux!$D$7:$D$926))/K60)</f>
        <v>2594687.0346061913</v>
      </c>
      <c r="AB60" s="13">
        <f>RL_NAV*U60*(1-SUMPRODUCT((Flux!$B$7:$B$926=B60)*Flux!$F$7:$F$926*EXP(-(RL_Choc_Taux+IF(Q60&gt;0,RL_Choc_Spread,0))/10000*Flux!$D$7:$D$926))/K60)</f>
        <v>2594687.0346061913</v>
      </c>
      <c r="AC60" s="9" t="str">
        <f t="shared" si="20"/>
        <v/>
      </c>
      <c r="AD60" s="27">
        <f>SUMIF(Flux!$B$7:$B$926,B60,Flux!$F$7:$F$926)-K60</f>
        <v>0</v>
      </c>
      <c r="AE60" s="28">
        <v>0.81212006592205366</v>
      </c>
      <c r="AF60" s="21">
        <f t="shared" si="21"/>
        <v>4.036324906261993</v>
      </c>
    </row>
    <row r="61" spans="2:32" x14ac:dyDescent="0.2">
      <c r="B61" s="9" t="s">
        <v>263</v>
      </c>
      <c r="C61" s="9" t="s">
        <v>264</v>
      </c>
      <c r="D61" s="9" t="s">
        <v>265</v>
      </c>
      <c r="E61" s="19">
        <v>47505</v>
      </c>
      <c r="F61" s="20">
        <v>3.75</v>
      </c>
      <c r="G61" s="13">
        <v>15300000</v>
      </c>
      <c r="H61" s="21">
        <v>101.5545</v>
      </c>
      <c r="I61" s="22">
        <v>253078.77</v>
      </c>
      <c r="J61" s="22">
        <v>15790917.27</v>
      </c>
      <c r="K61" s="21">
        <f t="shared" si="11"/>
        <v>103.20860960784313</v>
      </c>
      <c r="L61" s="23">
        <v>121.4118012531622</v>
      </c>
      <c r="M61" s="24">
        <v>0.7722817693860865</v>
      </c>
      <c r="N61" s="24">
        <v>3.4454231643680751</v>
      </c>
      <c r="O61" s="24">
        <v>0</v>
      </c>
      <c r="P61" s="21">
        <f t="shared" si="12"/>
        <v>4.2177049337541614</v>
      </c>
      <c r="Q61" s="21">
        <f t="shared" si="13"/>
        <v>4.2177049337541614</v>
      </c>
      <c r="R61" s="25" t="s">
        <v>109</v>
      </c>
      <c r="S61" s="13">
        <f t="shared" si="14"/>
        <v>15790917.27</v>
      </c>
      <c r="T61" s="26">
        <f t="shared" si="15"/>
        <v>6.0916418639398078E-3</v>
      </c>
      <c r="U61" s="26">
        <f t="shared" si="16"/>
        <v>6.0916418639398078E-3</v>
      </c>
      <c r="V61" s="13">
        <f>RL_NAV*T61*(M61*Calculs!$I$13+N61*Calculs!$I$14+O61*Calculs!$I$15+AF61*Calculs!$I$22)</f>
        <v>146771.29906634233</v>
      </c>
      <c r="W61" s="13">
        <f>RL_NAV*U61*(M61*Calculs!$J$13+N61*Calculs!$J$14+O61*Calculs!$J$15+AF61*Calculs!$J$22)</f>
        <v>146771.29906634233</v>
      </c>
      <c r="X61" s="13">
        <f t="shared" si="17"/>
        <v>9294.6658231933307</v>
      </c>
      <c r="Y61" s="13">
        <f t="shared" si="18"/>
        <v>1665035.7419545697</v>
      </c>
      <c r="Z61" s="13">
        <f t="shared" si="19"/>
        <v>1665035.7419545697</v>
      </c>
      <c r="AA61" s="13">
        <f>RL_NAV*T61*(1-SUMPRODUCT((Flux!$B$7:$B$926=B61)*Flux!$F$7:$F$926*EXP(-(RL_Choc_Taux+IF(Q61&gt;0,RL_Choc_Spread,0))/10000*Flux!$D$7:$D$926))/K61)</f>
        <v>1576033.2406158077</v>
      </c>
      <c r="AB61" s="13">
        <f>RL_NAV*U61*(1-SUMPRODUCT((Flux!$B$7:$B$926=B61)*Flux!$F$7:$F$926*EXP(-(RL_Choc_Taux+IF(Q61&gt;0,RL_Choc_Spread,0))/10000*Flux!$D$7:$D$926))/K61)</f>
        <v>1576033.2406158077</v>
      </c>
      <c r="AC61" s="9" t="str">
        <f t="shared" si="20"/>
        <v/>
      </c>
      <c r="AD61" s="27">
        <f>SUMIF(Flux!$B$7:$B$926,B61,Flux!$F$7:$F$926)-K61</f>
        <v>0</v>
      </c>
      <c r="AE61" s="28">
        <v>1.124183344936688</v>
      </c>
      <c r="AF61" s="21">
        <f t="shared" si="21"/>
        <v>4.7414736403837257</v>
      </c>
    </row>
    <row r="62" spans="2:32" x14ac:dyDescent="0.2">
      <c r="B62" s="9" t="s">
        <v>266</v>
      </c>
      <c r="C62" s="9" t="s">
        <v>267</v>
      </c>
      <c r="D62" s="9" t="s">
        <v>251</v>
      </c>
      <c r="E62" s="19">
        <v>47512</v>
      </c>
      <c r="F62" s="20">
        <v>4.125</v>
      </c>
      <c r="G62" s="13">
        <v>7200000</v>
      </c>
      <c r="H62" s="21">
        <v>101.431</v>
      </c>
      <c r="I62" s="22">
        <v>125309.59</v>
      </c>
      <c r="J62" s="22">
        <v>7428341.5899999999</v>
      </c>
      <c r="K62" s="21">
        <f t="shared" si="11"/>
        <v>103.17141097222222</v>
      </c>
      <c r="L62" s="23">
        <v>160.0637809345663</v>
      </c>
      <c r="M62" s="24">
        <v>0.76032158512867587</v>
      </c>
      <c r="N62" s="24">
        <v>3.4442867979749212</v>
      </c>
      <c r="O62" s="24">
        <v>0</v>
      </c>
      <c r="P62" s="21">
        <f t="shared" si="12"/>
        <v>4.2046083831035972</v>
      </c>
      <c r="Q62" s="21">
        <f t="shared" si="13"/>
        <v>4.2046083831035972</v>
      </c>
      <c r="R62" s="25" t="s">
        <v>109</v>
      </c>
      <c r="S62" s="13">
        <f t="shared" si="14"/>
        <v>7428341.5899999999</v>
      </c>
      <c r="T62" s="26">
        <f t="shared" si="15"/>
        <v>2.8656217897650477E-3</v>
      </c>
      <c r="U62" s="26">
        <f t="shared" si="16"/>
        <v>2.8656217897650477E-3</v>
      </c>
      <c r="V62" s="13">
        <f>RL_NAV*T62*(M62*Calculs!$I$13+N62*Calculs!$I$14+O62*Calculs!$I$15+AF62*Calculs!$I$22)</f>
        <v>81129.664992351798</v>
      </c>
      <c r="W62" s="13">
        <f>RL_NAV*U62*(M62*Calculs!$J$13+N62*Calculs!$J$14+O62*Calculs!$J$15+AF62*Calculs!$J$22)</f>
        <v>81129.664992351798</v>
      </c>
      <c r="X62" s="13">
        <f t="shared" si="17"/>
        <v>10921.638970072161</v>
      </c>
      <c r="Y62" s="13">
        <f t="shared" si="18"/>
        <v>780831.68304677773</v>
      </c>
      <c r="Z62" s="13">
        <f t="shared" si="19"/>
        <v>780831.68304677773</v>
      </c>
      <c r="AA62" s="13">
        <f>RL_NAV*T62*(1-SUMPRODUCT((Flux!$B$7:$B$926=B62)*Flux!$F$7:$F$926*EXP(-(RL_Choc_Taux+IF(Q62&gt;0,RL_Choc_Spread,0))/10000*Flux!$D$7:$D$926))/K62)</f>
        <v>739044.45655472972</v>
      </c>
      <c r="AB62" s="13">
        <f>RL_NAV*U62*(1-SUMPRODUCT((Flux!$B$7:$B$926=B62)*Flux!$F$7:$F$926*EXP(-(RL_Choc_Taux+IF(Q62&gt;0,RL_Choc_Spread,0))/10000*Flux!$D$7:$D$926))/K62)</f>
        <v>739044.45655472972</v>
      </c>
      <c r="AC62" s="9" t="str">
        <f t="shared" si="20"/>
        <v/>
      </c>
      <c r="AD62" s="27">
        <f>SUMIF(Flux!$B$7:$B$926,B62,Flux!$F$7:$F$926)-K62</f>
        <v>0</v>
      </c>
      <c r="AE62" s="28">
        <v>1.4820720456904291</v>
      </c>
      <c r="AF62" s="21">
        <f t="shared" si="21"/>
        <v>6.2315325476734751</v>
      </c>
    </row>
    <row r="63" spans="2:32" x14ac:dyDescent="0.2">
      <c r="B63" s="9" t="s">
        <v>268</v>
      </c>
      <c r="C63" s="9" t="s">
        <v>269</v>
      </c>
      <c r="D63" s="9" t="s">
        <v>239</v>
      </c>
      <c r="E63" s="19">
        <v>47946</v>
      </c>
      <c r="F63" s="20">
        <v>4.25</v>
      </c>
      <c r="G63" s="13">
        <v>17600000</v>
      </c>
      <c r="H63" s="21">
        <v>101.36799999999999</v>
      </c>
      <c r="I63" s="22">
        <v>174191.78</v>
      </c>
      <c r="J63" s="22">
        <v>18014959.780000001</v>
      </c>
      <c r="K63" s="21">
        <f t="shared" si="11"/>
        <v>102.35772602272728</v>
      </c>
      <c r="L63" s="23">
        <v>168.2420156839475</v>
      </c>
      <c r="M63" s="24">
        <v>0.24587897680425169</v>
      </c>
      <c r="N63" s="24">
        <v>4.2248474231839506</v>
      </c>
      <c r="O63" s="24">
        <v>0.72328239922623638</v>
      </c>
      <c r="P63" s="21">
        <f t="shared" si="12"/>
        <v>5.1940087992144388</v>
      </c>
      <c r="Q63" s="21">
        <f t="shared" si="13"/>
        <v>5.1940087992144388</v>
      </c>
      <c r="R63" s="25" t="s">
        <v>109</v>
      </c>
      <c r="S63" s="13">
        <f t="shared" si="14"/>
        <v>18014959.780000001</v>
      </c>
      <c r="T63" s="26">
        <f t="shared" si="15"/>
        <v>6.9496078851307846E-3</v>
      </c>
      <c r="U63" s="26">
        <f t="shared" si="16"/>
        <v>6.9496078851307846E-3</v>
      </c>
      <c r="V63" s="13">
        <f>RL_NAV*T63*(M63*Calculs!$I$13+N63*Calculs!$I$14+O63*Calculs!$I$15+AF63*Calculs!$I$22)</f>
        <v>250730.61493311526</v>
      </c>
      <c r="W63" s="13">
        <f>RL_NAV*U63*(M63*Calculs!$J$13+N63*Calculs!$J$14+O63*Calculs!$J$15+AF63*Calculs!$J$22)</f>
        <v>250730.61493311526</v>
      </c>
      <c r="X63" s="13">
        <f t="shared" si="17"/>
        <v>13917.911446656321</v>
      </c>
      <c r="Y63" s="13">
        <f t="shared" si="18"/>
        <v>2339246.4903703555</v>
      </c>
      <c r="Z63" s="13">
        <f t="shared" si="19"/>
        <v>2339246.4903703555</v>
      </c>
      <c r="AA63" s="13">
        <f>RL_NAV*T63*(1-SUMPRODUCT((Flux!$B$7:$B$926=B63)*Flux!$F$7:$F$926*EXP(-(RL_Choc_Taux+IF(Q63&gt;0,RL_Choc_Spread,0))/10000*Flux!$D$7:$D$926))/K63)</f>
        <v>2184518.8168581296</v>
      </c>
      <c r="AB63" s="13">
        <f>RL_NAV*U63*(1-SUMPRODUCT((Flux!$B$7:$B$926=B63)*Flux!$F$7:$F$926*EXP(-(RL_Choc_Taux+IF(Q63&gt;0,RL_Choc_Spread,0))/10000*Flux!$D$7:$D$926))/K63)</f>
        <v>2184518.8168581296</v>
      </c>
      <c r="AC63" s="9" t="str">
        <f t="shared" si="20"/>
        <v/>
      </c>
      <c r="AD63" s="27">
        <f>SUMIF(Flux!$B$7:$B$926,B63,Flux!$F$7:$F$926)-K63</f>
        <v>0</v>
      </c>
      <c r="AE63" s="28">
        <v>1.557796441518033</v>
      </c>
      <c r="AF63" s="21">
        <f t="shared" si="21"/>
        <v>8.0912084246296043</v>
      </c>
    </row>
    <row r="64" spans="2:32" x14ac:dyDescent="0.2">
      <c r="B64" s="9" t="s">
        <v>270</v>
      </c>
      <c r="C64" s="9" t="s">
        <v>271</v>
      </c>
      <c r="D64" s="9" t="s">
        <v>272</v>
      </c>
      <c r="E64" s="19">
        <v>47646</v>
      </c>
      <c r="F64" s="20">
        <v>4.75</v>
      </c>
      <c r="G64" s="13">
        <v>30000000</v>
      </c>
      <c r="H64" s="21">
        <v>101.16549999999999</v>
      </c>
      <c r="I64" s="22">
        <v>78082.19</v>
      </c>
      <c r="J64" s="22">
        <v>30427732.190000001</v>
      </c>
      <c r="K64" s="21">
        <f t="shared" si="11"/>
        <v>101.42577396666668</v>
      </c>
      <c r="L64" s="23">
        <v>224.55326278344069</v>
      </c>
      <c r="M64" s="24">
        <v>0.33361421585528461</v>
      </c>
      <c r="N64" s="24">
        <v>4.1842577181770908</v>
      </c>
      <c r="O64" s="24">
        <v>0</v>
      </c>
      <c r="P64" s="21">
        <f t="shared" si="12"/>
        <v>4.5178719340323754</v>
      </c>
      <c r="Q64" s="21">
        <f t="shared" si="13"/>
        <v>4.5178719340323754</v>
      </c>
      <c r="R64" s="25" t="s">
        <v>109</v>
      </c>
      <c r="S64" s="13">
        <f t="shared" si="14"/>
        <v>30427732.190000001</v>
      </c>
      <c r="T64" s="26">
        <f t="shared" si="15"/>
        <v>1.1738067147340131E-2</v>
      </c>
      <c r="U64" s="26">
        <f t="shared" si="16"/>
        <v>1.1738067147340131E-2</v>
      </c>
      <c r="V64" s="13">
        <f>RL_NAV*T64*(M64*Calculs!$I$13+N64*Calculs!$I$14+O64*Calculs!$I$15+AF64*Calculs!$I$22)</f>
        <v>448258.08669542475</v>
      </c>
      <c r="W64" s="13">
        <f>RL_NAV*U64*(M64*Calculs!$J$13+N64*Calculs!$J$14+O64*Calculs!$J$15+AF64*Calculs!$J$22)</f>
        <v>448258.08669542475</v>
      </c>
      <c r="X64" s="13">
        <f t="shared" si="17"/>
        <v>14731.89273181337</v>
      </c>
      <c r="Y64" s="13">
        <f t="shared" si="18"/>
        <v>3436714.9319363618</v>
      </c>
      <c r="Z64" s="13">
        <f t="shared" si="19"/>
        <v>3436714.9319363618</v>
      </c>
      <c r="AA64" s="13">
        <f>RL_NAV*T64*(1-SUMPRODUCT((Flux!$B$7:$B$926=B64)*Flux!$F$7:$F$926*EXP(-(RL_Choc_Taux+IF(Q64&gt;0,RL_Choc_Spread,0))/10000*Flux!$D$7:$D$926))/K64)</f>
        <v>3239947.7986333547</v>
      </c>
      <c r="AB64" s="13">
        <f>RL_NAV*U64*(1-SUMPRODUCT((Flux!$B$7:$B$926=B64)*Flux!$F$7:$F$926*EXP(-(RL_Choc_Taux+IF(Q64&gt;0,RL_Choc_Spread,0))/10000*Flux!$D$7:$D$926))/K64)</f>
        <v>3239947.7986333547</v>
      </c>
      <c r="AC64" s="9" t="str">
        <f t="shared" si="20"/>
        <v/>
      </c>
      <c r="AD64" s="27">
        <f>SUMIF(Flux!$B$7:$B$926,B64,Flux!$F$7:$F$926)-K64</f>
        <v>0</v>
      </c>
      <c r="AE64" s="28">
        <v>2.0791968776244509</v>
      </c>
      <c r="AF64" s="21">
        <f t="shared" si="21"/>
        <v>9.3935452187472546</v>
      </c>
    </row>
    <row r="65" spans="2:32" x14ac:dyDescent="0.2">
      <c r="B65" s="9" t="s">
        <v>273</v>
      </c>
      <c r="C65" s="9" t="s">
        <v>274</v>
      </c>
      <c r="D65" s="9" t="s">
        <v>275</v>
      </c>
      <c r="E65" s="19">
        <v>49728</v>
      </c>
      <c r="F65" s="20">
        <v>4.625</v>
      </c>
      <c r="G65" s="13">
        <v>14600000</v>
      </c>
      <c r="H65" s="21">
        <v>100.4885</v>
      </c>
      <c r="I65" s="22">
        <v>74000</v>
      </c>
      <c r="J65" s="22">
        <v>14745321</v>
      </c>
      <c r="K65" s="21">
        <f t="shared" si="11"/>
        <v>100.99534931506848</v>
      </c>
      <c r="L65" s="23">
        <v>198.6486613512084</v>
      </c>
      <c r="M65" s="24">
        <v>0.27115466871443572</v>
      </c>
      <c r="N65" s="24">
        <v>0.79870967734967202</v>
      </c>
      <c r="O65" s="24">
        <v>7.4057354826910258</v>
      </c>
      <c r="P65" s="21">
        <f t="shared" si="12"/>
        <v>8.4755998287551328</v>
      </c>
      <c r="Q65" s="21">
        <f t="shared" si="13"/>
        <v>8.4755998287551328</v>
      </c>
      <c r="R65" s="25" t="s">
        <v>109</v>
      </c>
      <c r="S65" s="13">
        <f t="shared" si="14"/>
        <v>14745321</v>
      </c>
      <c r="T65" s="26">
        <f t="shared" si="15"/>
        <v>5.6882835344517508E-3</v>
      </c>
      <c r="U65" s="26">
        <f t="shared" si="16"/>
        <v>5.6882835344517508E-3</v>
      </c>
      <c r="V65" s="13">
        <f>RL_NAV*T65*(M65*Calculs!$I$13+N65*Calculs!$I$14+O65*Calculs!$I$15+AF65*Calculs!$I$22)</f>
        <v>367609.85045926564</v>
      </c>
      <c r="W65" s="13">
        <f>RL_NAV*U65*(M65*Calculs!$J$13+N65*Calculs!$J$14+O65*Calculs!$J$15+AF65*Calculs!$J$22)</f>
        <v>367609.85045926564</v>
      </c>
      <c r="X65" s="13">
        <f t="shared" si="17"/>
        <v>24930.610222677798</v>
      </c>
      <c r="Y65" s="13">
        <f t="shared" si="18"/>
        <v>3124386.003563487</v>
      </c>
      <c r="Z65" s="13">
        <f t="shared" si="19"/>
        <v>3124386.003563487</v>
      </c>
      <c r="AA65" s="13">
        <f>RL_NAV*T65*(1-SUMPRODUCT((Flux!$B$7:$B$926=B65)*Flux!$F$7:$F$926*EXP(-(RL_Choc_Taux+IF(Q65&gt;0,RL_Choc_Spread,0))/10000*Flux!$D$7:$D$926))/K65)</f>
        <v>2772892.0702259988</v>
      </c>
      <c r="AB65" s="13">
        <f>RL_NAV*U65*(1-SUMPRODUCT((Flux!$B$7:$B$926=B65)*Flux!$F$7:$F$926*EXP(-(RL_Choc_Taux+IF(Q65&gt;0,RL_Choc_Spread,0))/10000*Flux!$D$7:$D$926))/K65)</f>
        <v>2772892.0702259988</v>
      </c>
      <c r="AC65" s="9" t="str">
        <f t="shared" si="20"/>
        <v/>
      </c>
      <c r="AD65" s="27">
        <f>SUMIF(Flux!$B$7:$B$926,B65,Flux!$F$7:$F$926)-K65</f>
        <v>0</v>
      </c>
      <c r="AE65" s="28">
        <v>1.8393394569556341</v>
      </c>
      <c r="AF65" s="21">
        <f t="shared" si="21"/>
        <v>15.589505186395732</v>
      </c>
    </row>
    <row r="66" spans="2:32" x14ac:dyDescent="0.2">
      <c r="B66" s="9" t="s">
        <v>276</v>
      </c>
      <c r="C66" s="9" t="s">
        <v>277</v>
      </c>
      <c r="D66" s="9" t="s">
        <v>278</v>
      </c>
      <c r="E66" s="19">
        <v>49480</v>
      </c>
      <c r="F66" s="20">
        <v>4.5</v>
      </c>
      <c r="G66" s="13">
        <v>35700000</v>
      </c>
      <c r="H66" s="21">
        <v>100.50149999999999</v>
      </c>
      <c r="I66" s="22">
        <v>52816.44</v>
      </c>
      <c r="J66" s="22">
        <v>35931851.939999998</v>
      </c>
      <c r="K66" s="21">
        <f t="shared" si="11"/>
        <v>100.64944521008402</v>
      </c>
      <c r="L66" s="23">
        <v>173.74430931268361</v>
      </c>
      <c r="M66" s="24">
        <v>0.2586275898439187</v>
      </c>
      <c r="N66" s="24">
        <v>0.82960608767498556</v>
      </c>
      <c r="O66" s="24">
        <v>7.1299243992731123</v>
      </c>
      <c r="P66" s="21">
        <f t="shared" si="12"/>
        <v>8.218158076792017</v>
      </c>
      <c r="Q66" s="21">
        <f t="shared" si="13"/>
        <v>8.218158076792017</v>
      </c>
      <c r="R66" s="25" t="s">
        <v>109</v>
      </c>
      <c r="S66" s="13">
        <f t="shared" si="14"/>
        <v>35931851.939999998</v>
      </c>
      <c r="T66" s="26">
        <f t="shared" si="15"/>
        <v>1.3861384350510932E-2</v>
      </c>
      <c r="U66" s="26">
        <f t="shared" si="16"/>
        <v>1.3861384350510932E-2</v>
      </c>
      <c r="V66" s="13">
        <f>RL_NAV*T66*(M66*Calculs!$I$13+N66*Calculs!$I$14+O66*Calculs!$I$15+AF66*Calculs!$I$22)</f>
        <v>793821.24560952641</v>
      </c>
      <c r="W66" s="13">
        <f>RL_NAV*U66*(M66*Calculs!$J$13+N66*Calculs!$J$14+O66*Calculs!$J$15+AF66*Calculs!$J$22)</f>
        <v>793821.24560952641</v>
      </c>
      <c r="X66" s="13">
        <f t="shared" si="17"/>
        <v>22092.411126904095</v>
      </c>
      <c r="Y66" s="13">
        <f t="shared" si="18"/>
        <v>7382340.9808701482</v>
      </c>
      <c r="Z66" s="13">
        <f t="shared" si="19"/>
        <v>7382340.9808701482</v>
      </c>
      <c r="AA66" s="13">
        <f>RL_NAV*T66*(1-SUMPRODUCT((Flux!$B$7:$B$926=B66)*Flux!$F$7:$F$926*EXP(-(RL_Choc_Taux+IF(Q66&gt;0,RL_Choc_Spread,0))/10000*Flux!$D$7:$D$926))/K66)</f>
        <v>6594058.4656948829</v>
      </c>
      <c r="AB66" s="13">
        <f>RL_NAV*U66*(1-SUMPRODUCT((Flux!$B$7:$B$926=B66)*Flux!$F$7:$F$926*EXP(-(RL_Choc_Taux+IF(Q66&gt;0,RL_Choc_Spread,0))/10000*Flux!$D$7:$D$926))/K66)</f>
        <v>6594058.4656948829</v>
      </c>
      <c r="AC66" s="9" t="str">
        <f t="shared" si="20"/>
        <v/>
      </c>
      <c r="AD66" s="27">
        <f>SUMIF(Flux!$B$7:$B$926,B66,Flux!$F$7:$F$926)-K66</f>
        <v>0</v>
      </c>
      <c r="AE66" s="28">
        <v>1.6087436047470709</v>
      </c>
      <c r="AF66" s="21">
        <f t="shared" si="21"/>
        <v>13.220909248839645</v>
      </c>
    </row>
    <row r="67" spans="2:32" x14ac:dyDescent="0.2">
      <c r="B67" s="9" t="s">
        <v>55</v>
      </c>
      <c r="C67" s="9" t="s">
        <v>279</v>
      </c>
      <c r="D67" s="9" t="s">
        <v>188</v>
      </c>
      <c r="E67" s="19">
        <v>49493</v>
      </c>
      <c r="F67" s="20">
        <v>5.07</v>
      </c>
      <c r="G67" s="13">
        <v>25000000</v>
      </c>
      <c r="H67" s="21">
        <v>100.2115</v>
      </c>
      <c r="I67" s="22">
        <v>0</v>
      </c>
      <c r="J67" s="22">
        <v>25052875</v>
      </c>
      <c r="K67" s="21">
        <f t="shared" si="11"/>
        <v>100.21150000000002</v>
      </c>
      <c r="L67" s="23">
        <v>296.67828190604251</v>
      </c>
      <c r="M67" s="24">
        <v>0.28291569041327419</v>
      </c>
      <c r="N67" s="24">
        <v>0.83368731370077787</v>
      </c>
      <c r="O67" s="24">
        <v>6.4857972195478331</v>
      </c>
      <c r="P67" s="21">
        <f t="shared" si="12"/>
        <v>7.6024002236618848</v>
      </c>
      <c r="Q67" s="21">
        <f t="shared" si="13"/>
        <v>7.6024002236618848</v>
      </c>
      <c r="R67" s="25" t="s">
        <v>109</v>
      </c>
      <c r="S67" s="13">
        <f t="shared" si="14"/>
        <v>5052875</v>
      </c>
      <c r="T67" s="26">
        <f t="shared" si="15"/>
        <v>9.664615395838308E-3</v>
      </c>
      <c r="U67" s="26">
        <f t="shared" si="16"/>
        <v>1.9492410958122169E-3</v>
      </c>
      <c r="V67" s="13">
        <f>RL_NAV*T67*(M67*Calculs!$I$13+N67*Calculs!$I$14+O67*Calculs!$I$15+AF67*Calculs!$I$22)</f>
        <v>750603.78521857515</v>
      </c>
      <c r="W67" s="13">
        <f>RL_NAV*U67*(M67*Calculs!$J$13+N67*Calculs!$J$14+O67*Calculs!$J$15+AF67*Calculs!$J$22)</f>
        <v>151388.09822171339</v>
      </c>
      <c r="X67" s="13">
        <f t="shared" si="17"/>
        <v>29960.784349843085</v>
      </c>
      <c r="Y67" s="13">
        <f t="shared" si="18"/>
        <v>4761549.5625843303</v>
      </c>
      <c r="Z67" s="13">
        <f t="shared" si="19"/>
        <v>960349.45075338858</v>
      </c>
      <c r="AA67" s="13">
        <f>RL_NAV*T67*(1-SUMPRODUCT((Flux!$B$7:$B$926=B67)*Flux!$F$7:$F$926*EXP(-(RL_Choc_Taux+IF(Q67&gt;0,RL_Choc_Spread,0))/10000*Flux!$D$7:$D$926))/K67)</f>
        <v>4257679.7216431182</v>
      </c>
      <c r="AB67" s="13">
        <f>RL_NAV*U67*(1-SUMPRODUCT((Flux!$B$7:$B$926=B67)*Flux!$F$7:$F$926*EXP(-(RL_Choc_Taux+IF(Q67&gt;0,RL_Choc_Spread,0))/10000*Flux!$D$7:$D$926))/K67)</f>
        <v>858724.73412721977</v>
      </c>
      <c r="AC67" s="9" t="str">
        <f t="shared" si="20"/>
        <v/>
      </c>
      <c r="AD67" s="27">
        <f>SUMIF(Flux!$B$7:$B$926,B67,Flux!$F$7:$F$926)-K67</f>
        <v>0</v>
      </c>
      <c r="AE67" s="28">
        <v>2.7470211287596529</v>
      </c>
      <c r="AF67" s="21">
        <f t="shared" si="21"/>
        <v>20.883954043686309</v>
      </c>
    </row>
    <row r="68" spans="2:32" x14ac:dyDescent="0.2">
      <c r="B68" s="9" t="s">
        <v>280</v>
      </c>
      <c r="C68" s="9" t="s">
        <v>281</v>
      </c>
      <c r="D68" s="9" t="s">
        <v>282</v>
      </c>
      <c r="E68" s="19">
        <v>47009</v>
      </c>
      <c r="F68" s="20">
        <v>6.875</v>
      </c>
      <c r="G68" s="13">
        <v>23250000</v>
      </c>
      <c r="H68" s="21">
        <v>110.47150000000001</v>
      </c>
      <c r="I68" s="22">
        <v>1278750</v>
      </c>
      <c r="J68" s="22">
        <v>26963373.75</v>
      </c>
      <c r="K68" s="21">
        <f t="shared" si="11"/>
        <v>115.97150000000001</v>
      </c>
      <c r="L68" s="23">
        <v>133.86665585831679</v>
      </c>
      <c r="M68" s="24">
        <v>1.783271761637607</v>
      </c>
      <c r="N68" s="24">
        <v>1.0764912590084681</v>
      </c>
      <c r="O68" s="24">
        <v>0</v>
      </c>
      <c r="P68" s="21">
        <f t="shared" si="12"/>
        <v>2.8597630206460751</v>
      </c>
      <c r="Q68" s="21">
        <f t="shared" si="13"/>
        <v>2.8597630206460751</v>
      </c>
      <c r="R68" s="25" t="s">
        <v>109</v>
      </c>
      <c r="S68" s="13">
        <f t="shared" si="14"/>
        <v>26963373.75</v>
      </c>
      <c r="T68" s="26">
        <f t="shared" si="15"/>
        <v>1.0401626043637407E-2</v>
      </c>
      <c r="U68" s="26">
        <f t="shared" si="16"/>
        <v>1.0401626043637407E-2</v>
      </c>
      <c r="V68" s="13">
        <f>RL_NAV*T68*(M68*Calculs!$I$13+N68*Calculs!$I$14+O68*Calculs!$I$15+AF68*Calculs!$I$22)</f>
        <v>177668.4222513276</v>
      </c>
      <c r="W68" s="13">
        <f>RL_NAV*U68*(M68*Calculs!$J$13+N68*Calculs!$J$14+O68*Calculs!$J$15+AF68*Calculs!$J$22)</f>
        <v>177668.4222513276</v>
      </c>
      <c r="X68" s="13">
        <f t="shared" si="17"/>
        <v>6589.2504364861834</v>
      </c>
      <c r="Y68" s="13">
        <f t="shared" si="18"/>
        <v>1927721.4790527276</v>
      </c>
      <c r="Z68" s="13">
        <f t="shared" si="19"/>
        <v>1927721.4790527276</v>
      </c>
      <c r="AA68" s="13">
        <f>RL_NAV*T68*(1-SUMPRODUCT((Flux!$B$7:$B$926=B68)*Flux!$F$7:$F$926*EXP(-(RL_Choc_Taux+IF(Q68&gt;0,RL_Choc_Spread,0))/10000*Flux!$D$7:$D$926))/K68)</f>
        <v>1854888.092960062</v>
      </c>
      <c r="AB68" s="13">
        <f>RL_NAV*U68*(1-SUMPRODUCT((Flux!$B$7:$B$926=B68)*Flux!$F$7:$F$926*EXP(-(RL_Choc_Taux+IF(Q68&gt;0,RL_Choc_Spread,0))/10000*Flux!$D$7:$D$926))/K68)</f>
        <v>1854888.092960062</v>
      </c>
      <c r="AC68" s="9" t="str">
        <f t="shared" si="20"/>
        <v/>
      </c>
      <c r="AD68" s="27">
        <f>SUMIF(Flux!$B$7:$B$926,B68,Flux!$F$7:$F$926)-K68</f>
        <v>0</v>
      </c>
      <c r="AE68" s="28">
        <v>1.2395060727621929</v>
      </c>
      <c r="AF68" s="21">
        <f t="shared" si="21"/>
        <v>3.5446936307515626</v>
      </c>
    </row>
    <row r="69" spans="2:32" x14ac:dyDescent="0.2">
      <c r="B69" s="9" t="s">
        <v>283</v>
      </c>
      <c r="C69" s="9" t="s">
        <v>284</v>
      </c>
      <c r="D69" s="9" t="s">
        <v>282</v>
      </c>
      <c r="E69" s="19">
        <v>47176</v>
      </c>
      <c r="F69" s="20">
        <v>5.5</v>
      </c>
      <c r="G69" s="13">
        <v>2000000</v>
      </c>
      <c r="H69" s="21">
        <v>106.553</v>
      </c>
      <c r="I69" s="22">
        <v>37671.230000000003</v>
      </c>
      <c r="J69" s="22">
        <v>2168731.23</v>
      </c>
      <c r="K69" s="21">
        <f t="shared" si="11"/>
        <v>108.43656150000001</v>
      </c>
      <c r="L69" s="23">
        <v>147.63675206861291</v>
      </c>
      <c r="M69" s="24">
        <v>1.606095363963534</v>
      </c>
      <c r="N69" s="24">
        <v>1.765763186374899</v>
      </c>
      <c r="O69" s="24">
        <v>0</v>
      </c>
      <c r="P69" s="21">
        <f t="shared" si="12"/>
        <v>3.3718585503384331</v>
      </c>
      <c r="Q69" s="21">
        <f t="shared" si="13"/>
        <v>3.3718585503384331</v>
      </c>
      <c r="R69" s="25" t="s">
        <v>109</v>
      </c>
      <c r="S69" s="13">
        <f t="shared" si="14"/>
        <v>2168731.23</v>
      </c>
      <c r="T69" s="26">
        <f t="shared" si="15"/>
        <v>8.3662865978029871E-4</v>
      </c>
      <c r="U69" s="26">
        <f t="shared" si="16"/>
        <v>8.3662865978029871E-4</v>
      </c>
      <c r="V69" s="13">
        <f>RL_NAV*T69*(M69*Calculs!$I$13+N69*Calculs!$I$14+O69*Calculs!$I$15+AF69*Calculs!$I$22)</f>
        <v>17939.551608278587</v>
      </c>
      <c r="W69" s="13">
        <f>RL_NAV*U69*(M69*Calculs!$J$13+N69*Calculs!$J$14+O69*Calculs!$J$15+AF69*Calculs!$J$22)</f>
        <v>17939.551608278587</v>
      </c>
      <c r="X69" s="13">
        <f t="shared" si="17"/>
        <v>8271.9109496470828</v>
      </c>
      <c r="Y69" s="13">
        <f t="shared" si="18"/>
        <v>182816.37353153716</v>
      </c>
      <c r="Z69" s="13">
        <f t="shared" si="19"/>
        <v>182816.37353153716</v>
      </c>
      <c r="AA69" s="13">
        <f>RL_NAV*T69*(1-SUMPRODUCT((Flux!$B$7:$B$926=B69)*Flux!$F$7:$F$926*EXP(-(RL_Choc_Taux+IF(Q69&gt;0,RL_Choc_Spread,0))/10000*Flux!$D$7:$D$926))/K69)</f>
        <v>174942.40359959606</v>
      </c>
      <c r="AB69" s="13">
        <f>RL_NAV*U69*(1-SUMPRODUCT((Flux!$B$7:$B$926=B69)*Flux!$F$7:$F$926*EXP(-(RL_Choc_Taux+IF(Q69&gt;0,RL_Choc_Spread,0))/10000*Flux!$D$7:$D$926))/K69)</f>
        <v>174942.40359959606</v>
      </c>
      <c r="AC69" s="9" t="str">
        <f t="shared" si="20"/>
        <v/>
      </c>
      <c r="AD69" s="27">
        <f>SUMIF(Flux!$B$7:$B$926,B69,Flux!$F$7:$F$926)-K69</f>
        <v>0</v>
      </c>
      <c r="AE69" s="28">
        <v>1.367006963598268</v>
      </c>
      <c r="AF69" s="21">
        <f t="shared" si="21"/>
        <v>4.609354118580999</v>
      </c>
    </row>
    <row r="70" spans="2:32" x14ac:dyDescent="0.2">
      <c r="B70" s="9" t="s">
        <v>285</v>
      </c>
      <c r="C70" s="9" t="s">
        <v>286</v>
      </c>
      <c r="D70" s="9" t="s">
        <v>287</v>
      </c>
      <c r="E70" s="19">
        <v>48095</v>
      </c>
      <c r="F70" s="20">
        <v>3.875</v>
      </c>
      <c r="G70" s="13">
        <v>20000000</v>
      </c>
      <c r="H70" s="21">
        <v>102.8965</v>
      </c>
      <c r="I70" s="22">
        <v>639109.59</v>
      </c>
      <c r="J70" s="22">
        <v>21218409.59</v>
      </c>
      <c r="K70" s="21">
        <f t="shared" si="11"/>
        <v>106.09204794999999</v>
      </c>
      <c r="L70" s="23">
        <v>103.3378875869185</v>
      </c>
      <c r="M70" s="24">
        <v>0.21914273140642371</v>
      </c>
      <c r="N70" s="24">
        <v>4.0653642948566802</v>
      </c>
      <c r="O70" s="24">
        <v>1.1686410807707079</v>
      </c>
      <c r="P70" s="21">
        <f t="shared" si="12"/>
        <v>5.4531481070338117</v>
      </c>
      <c r="Q70" s="21">
        <f t="shared" si="13"/>
        <v>5.4531481070338117</v>
      </c>
      <c r="R70" s="25" t="s">
        <v>109</v>
      </c>
      <c r="S70" s="13">
        <f t="shared" si="14"/>
        <v>21218409.59</v>
      </c>
      <c r="T70" s="26">
        <f t="shared" si="15"/>
        <v>8.1853986019056572E-3</v>
      </c>
      <c r="U70" s="26">
        <f t="shared" si="16"/>
        <v>8.1853986019056572E-3</v>
      </c>
      <c r="V70" s="13">
        <f>RL_NAV*T70*(M70*Calculs!$I$13+N70*Calculs!$I$14+O70*Calculs!$I$15+AF70*Calculs!$I$22)</f>
        <v>233033.51191561442</v>
      </c>
      <c r="W70" s="13">
        <f>RL_NAV*U70*(M70*Calculs!$J$13+N70*Calculs!$J$14+O70*Calculs!$J$15+AF70*Calculs!$J$22)</f>
        <v>233033.51191561442</v>
      </c>
      <c r="X70" s="13">
        <f t="shared" si="17"/>
        <v>10982.609744014015</v>
      </c>
      <c r="Y70" s="13">
        <f t="shared" si="18"/>
        <v>2892678.252249415</v>
      </c>
      <c r="Z70" s="13">
        <f t="shared" si="19"/>
        <v>2892678.252249415</v>
      </c>
      <c r="AA70" s="13">
        <f>RL_NAV*T70*(1-SUMPRODUCT((Flux!$B$7:$B$926=B70)*Flux!$F$7:$F$926*EXP(-(RL_Choc_Taux+IF(Q70&gt;0,RL_Choc_Spread,0))/10000*Flux!$D$7:$D$926))/K70)</f>
        <v>2688255.4071320496</v>
      </c>
      <c r="AB70" s="13">
        <f>RL_NAV*U70*(1-SUMPRODUCT((Flux!$B$7:$B$926=B70)*Flux!$F$7:$F$926*EXP(-(RL_Choc_Taux+IF(Q70&gt;0,RL_Choc_Spread,0))/10000*Flux!$D$7:$D$926))/K70)</f>
        <v>2688255.4071320496</v>
      </c>
      <c r="AC70" s="9" t="str">
        <f t="shared" si="20"/>
        <v/>
      </c>
      <c r="AD70" s="27">
        <f>SUMIF(Flux!$B$7:$B$926,B70,Flux!$F$7:$F$926)-K70</f>
        <v>0</v>
      </c>
      <c r="AE70" s="28">
        <v>0.95683229247146739</v>
      </c>
      <c r="AF70" s="21">
        <f t="shared" si="21"/>
        <v>5.2177482044396051</v>
      </c>
    </row>
    <row r="71" spans="2:32" x14ac:dyDescent="0.2">
      <c r="B71" s="9" t="s">
        <v>288</v>
      </c>
      <c r="C71" s="9" t="s">
        <v>289</v>
      </c>
      <c r="D71" s="9" t="s">
        <v>290</v>
      </c>
      <c r="E71" s="19">
        <v>46937</v>
      </c>
      <c r="F71" s="20">
        <v>4.875</v>
      </c>
      <c r="G71" s="13">
        <v>18300000</v>
      </c>
      <c r="H71" s="21">
        <v>104.68300000000001</v>
      </c>
      <c r="I71" s="22">
        <v>889680.82</v>
      </c>
      <c r="J71" s="22">
        <v>20046669.82</v>
      </c>
      <c r="K71" s="21">
        <f t="shared" ref="K71:K102" si="22">J71/G71*100</f>
        <v>109.54464382513662</v>
      </c>
      <c r="L71" s="23">
        <v>121.1848802803971</v>
      </c>
      <c r="M71" s="24">
        <v>1.866045091856908</v>
      </c>
      <c r="N71" s="24">
        <v>0.88104441647768783</v>
      </c>
      <c r="O71" s="24">
        <v>0</v>
      </c>
      <c r="P71" s="21">
        <f t="shared" ref="P71:P102" si="23">SUM(M71:O71)</f>
        <v>2.7470895083345956</v>
      </c>
      <c r="Q71" s="21">
        <f t="shared" ref="Q71:Q102" si="24">IF(R71="OUI",0,P71)</f>
        <v>2.7470895083345956</v>
      </c>
      <c r="R71" s="25" t="s">
        <v>109</v>
      </c>
      <c r="S71" s="13">
        <f t="shared" ref="S71:S102" si="25">IF(B71=RL_ISIN_Vente,J71-RL_Montant_Vente,J71)</f>
        <v>20046669.82</v>
      </c>
      <c r="T71" s="26">
        <f t="shared" ref="T71:T102" si="26">J71/RL_NAV</f>
        <v>7.7333780565168337E-3</v>
      </c>
      <c r="U71" s="26">
        <f t="shared" ref="U71:U102" si="27">S71/RL_NAV</f>
        <v>7.7333780565168337E-3</v>
      </c>
      <c r="V71" s="13">
        <f>RL_NAV*T71*(M71*Calculs!$I$13+N71*Calculs!$I$14+O71*Calculs!$I$15+AF71*Calculs!$I$22)</f>
        <v>119590.68627131474</v>
      </c>
      <c r="W71" s="13">
        <f>RL_NAV*U71*(M71*Calculs!$J$13+N71*Calculs!$J$14+O71*Calculs!$J$15+AF71*Calculs!$J$22)</f>
        <v>119590.68627131474</v>
      </c>
      <c r="X71" s="13">
        <f t="shared" ref="X71:X102" si="28">IF(S71&gt;0,W71/S71*1000000,0)</f>
        <v>5965.6136079022199</v>
      </c>
      <c r="Y71" s="13">
        <f t="shared" ref="Y71:Y102" si="29">RL_NAV*T71*(P71*RL_Choc_Taux+Q71*RL_Choc_Spread)/10000</f>
        <v>1376749.9084892445</v>
      </c>
      <c r="Z71" s="13">
        <f t="shared" ref="Z71:Z102" si="30">RL_NAV*U71*(P71*RL_Choc_Taux+Q71*RL_Choc_Spread)/10000</f>
        <v>1376749.9084892445</v>
      </c>
      <c r="AA71" s="13">
        <f>RL_NAV*T71*(1-SUMPRODUCT((Flux!$B$7:$B$926=B71)*Flux!$F$7:$F$926*EXP(-(RL_Choc_Taux+IF(Q71&gt;0,RL_Choc_Spread,0))/10000*Flux!$D$7:$D$926))/K71)</f>
        <v>1327282.6541275322</v>
      </c>
      <c r="AB71" s="13">
        <f>RL_NAV*U71*(1-SUMPRODUCT((Flux!$B$7:$B$926=B71)*Flux!$F$7:$F$926*EXP(-(RL_Choc_Taux+IF(Q71&gt;0,RL_Choc_Spread,0))/10000*Flux!$D$7:$D$926))/K71)</f>
        <v>1327282.6541275322</v>
      </c>
      <c r="AC71" s="9" t="str">
        <f t="shared" ref="AC71:AC102" si="31">IF(U71&gt;RL_Seuil_Ligne,"OUI","")</f>
        <v/>
      </c>
      <c r="AD71" s="27">
        <f>SUMIF(Flux!$B$7:$B$926,B71,Flux!$F$7:$F$926)-K71</f>
        <v>0</v>
      </c>
      <c r="AE71" s="28">
        <v>1.1220822248184921</v>
      </c>
      <c r="AF71" s="21">
        <f t="shared" ref="AF71:AF102" si="32">Q71*AE71</f>
        <v>3.0824603072876204</v>
      </c>
    </row>
    <row r="72" spans="2:32" x14ac:dyDescent="0.2">
      <c r="B72" s="9" t="s">
        <v>291</v>
      </c>
      <c r="C72" s="9" t="s">
        <v>292</v>
      </c>
      <c r="D72" s="9" t="s">
        <v>209</v>
      </c>
      <c r="E72" s="19">
        <v>46105</v>
      </c>
      <c r="F72" s="20">
        <v>2.375</v>
      </c>
      <c r="G72" s="13">
        <v>5000000</v>
      </c>
      <c r="H72" s="21">
        <v>100.003</v>
      </c>
      <c r="I72" s="22">
        <v>32534.25</v>
      </c>
      <c r="J72" s="22">
        <v>5032684.25</v>
      </c>
      <c r="K72" s="21">
        <f t="shared" si="22"/>
        <v>100.65368500000001</v>
      </c>
      <c r="L72" s="23">
        <v>47.4749242233761</v>
      </c>
      <c r="M72" s="24">
        <v>0.73100616016427111</v>
      </c>
      <c r="N72" s="24">
        <v>0</v>
      </c>
      <c r="O72" s="24">
        <v>0</v>
      </c>
      <c r="P72" s="21">
        <f t="shared" si="23"/>
        <v>0.73100616016427111</v>
      </c>
      <c r="Q72" s="21">
        <f t="shared" si="24"/>
        <v>0.73100616016427111</v>
      </c>
      <c r="R72" s="25" t="s">
        <v>109</v>
      </c>
      <c r="S72" s="13">
        <f t="shared" si="25"/>
        <v>5032684.25</v>
      </c>
      <c r="T72" s="26">
        <f t="shared" si="26"/>
        <v>1.9414521361298042E-3</v>
      </c>
      <c r="U72" s="26">
        <f t="shared" si="27"/>
        <v>1.9414521361298042E-3</v>
      </c>
      <c r="V72" s="13">
        <f>RL_NAV*T72*(M72*Calculs!$I$13+N72*Calculs!$I$14+O72*Calculs!$I$15+AF72*Calculs!$I$22)</f>
        <v>5156.3756021640365</v>
      </c>
      <c r="W72" s="13">
        <f>RL_NAV*U72*(M72*Calculs!$J$13+N72*Calculs!$J$14+O72*Calculs!$J$15+AF72*Calculs!$J$22)</f>
        <v>5156.3756021640365</v>
      </c>
      <c r="X72" s="13">
        <f t="shared" si="28"/>
        <v>1024.5776102810416</v>
      </c>
      <c r="Y72" s="13">
        <f t="shared" si="29"/>
        <v>91973.079722792609</v>
      </c>
      <c r="Z72" s="13">
        <f t="shared" si="30"/>
        <v>91973.079722792609</v>
      </c>
      <c r="AA72" s="13">
        <f>RL_NAV*T72*(1-SUMPRODUCT((Flux!$B$7:$B$926=B72)*Flux!$F$7:$F$926*EXP(-(RL_Choc_Taux+IF(Q72&gt;0,RL_Choc_Spread,0))/10000*Flux!$D$7:$D$926))/K72)</f>
        <v>91137.764867227568</v>
      </c>
      <c r="AB72" s="13">
        <f>RL_NAV*U72*(1-SUMPRODUCT((Flux!$B$7:$B$926=B72)*Flux!$F$7:$F$926*EXP(-(RL_Choc_Taux+IF(Q72&gt;0,RL_Choc_Spread,0))/10000*Flux!$D$7:$D$926))/K72)</f>
        <v>91137.764867227568</v>
      </c>
      <c r="AC72" s="9" t="str">
        <f t="shared" si="31"/>
        <v/>
      </c>
      <c r="AD72" s="27">
        <f>SUMIF(Flux!$B$7:$B$926,B72,Flux!$F$7:$F$926)-K72</f>
        <v>0</v>
      </c>
      <c r="AE72" s="28">
        <v>0.439582631697927</v>
      </c>
      <c r="AF72" s="21">
        <f t="shared" si="32"/>
        <v>0.3213376116724066</v>
      </c>
    </row>
    <row r="73" spans="2:32" x14ac:dyDescent="0.2">
      <c r="B73" s="9" t="s">
        <v>293</v>
      </c>
      <c r="C73" s="9" t="s">
        <v>294</v>
      </c>
      <c r="D73" s="9" t="s">
        <v>295</v>
      </c>
      <c r="E73" s="19">
        <v>46280</v>
      </c>
      <c r="F73" s="20">
        <v>1.25</v>
      </c>
      <c r="G73" s="13">
        <v>6100000</v>
      </c>
      <c r="H73" s="21">
        <v>98.711500000000001</v>
      </c>
      <c r="I73" s="22">
        <v>60582.19</v>
      </c>
      <c r="J73" s="22">
        <v>6081983.6900000004</v>
      </c>
      <c r="K73" s="21">
        <f t="shared" si="22"/>
        <v>99.704650655737709</v>
      </c>
      <c r="L73" s="23">
        <v>46.353200031884363</v>
      </c>
      <c r="M73" s="24">
        <v>1.197662422702612</v>
      </c>
      <c r="N73" s="24">
        <v>0</v>
      </c>
      <c r="O73" s="24">
        <v>0</v>
      </c>
      <c r="P73" s="21">
        <f t="shared" si="23"/>
        <v>1.197662422702612</v>
      </c>
      <c r="Q73" s="21">
        <f t="shared" si="24"/>
        <v>1.197662422702612</v>
      </c>
      <c r="R73" s="25" t="s">
        <v>109</v>
      </c>
      <c r="S73" s="13">
        <f t="shared" si="25"/>
        <v>6081983.6900000004</v>
      </c>
      <c r="T73" s="26">
        <f t="shared" si="26"/>
        <v>2.3462390327501927E-3</v>
      </c>
      <c r="U73" s="26">
        <f t="shared" si="27"/>
        <v>2.3462390327501927E-3</v>
      </c>
      <c r="V73" s="13">
        <f>RL_NAV*T73*(M73*Calculs!$I$13+N73*Calculs!$I$14+O73*Calculs!$I$15+AF73*Calculs!$I$22)</f>
        <v>10126.255757422483</v>
      </c>
      <c r="W73" s="13">
        <f>RL_NAV*U73*(M73*Calculs!$J$13+N73*Calculs!$J$14+O73*Calculs!$J$15+AF73*Calculs!$J$22)</f>
        <v>10126.255757422483</v>
      </c>
      <c r="X73" s="13">
        <f t="shared" si="28"/>
        <v>1664.9593740397686</v>
      </c>
      <c r="Y73" s="13">
        <f t="shared" si="29"/>
        <v>182104.08302507931</v>
      </c>
      <c r="Z73" s="13">
        <f t="shared" si="30"/>
        <v>182104.08302507931</v>
      </c>
      <c r="AA73" s="13">
        <f>RL_NAV*T73*(1-SUMPRODUCT((Flux!$B$7:$B$926=B73)*Flux!$F$7:$F$926*EXP(-(RL_Choc_Taux+IF(Q73&gt;0,RL_Choc_Spread,0))/10000*Flux!$D$7:$D$926))/K73)</f>
        <v>179381.96945616163</v>
      </c>
      <c r="AB73" s="13">
        <f>RL_NAV*U73*(1-SUMPRODUCT((Flux!$B$7:$B$926=B73)*Flux!$F$7:$F$926*EXP(-(RL_Choc_Taux+IF(Q73&gt;0,RL_Choc_Spread,0))/10000*Flux!$D$7:$D$926))/K73)</f>
        <v>179381.96945616163</v>
      </c>
      <c r="AC73" s="9" t="str">
        <f t="shared" si="31"/>
        <v/>
      </c>
      <c r="AD73" s="27">
        <f>SUMIF(Flux!$B$7:$B$926,B73,Flux!$F$7:$F$926)-K73</f>
        <v>0</v>
      </c>
      <c r="AE73" s="28">
        <v>0.42919629659152192</v>
      </c>
      <c r="AF73" s="21">
        <f t="shared" si="32"/>
        <v>0.51403227639079097</v>
      </c>
    </row>
    <row r="74" spans="2:32" x14ac:dyDescent="0.2">
      <c r="B74" s="9" t="s">
        <v>296</v>
      </c>
      <c r="C74" s="9" t="s">
        <v>297</v>
      </c>
      <c r="D74" s="9" t="s">
        <v>298</v>
      </c>
      <c r="E74" s="19">
        <v>46841</v>
      </c>
      <c r="F74" s="20">
        <v>2.75</v>
      </c>
      <c r="G74" s="13">
        <v>4300000</v>
      </c>
      <c r="H74" s="21">
        <v>99.388000000000005</v>
      </c>
      <c r="I74" s="22">
        <v>30777.4</v>
      </c>
      <c r="J74" s="22">
        <v>4304461.4000000004</v>
      </c>
      <c r="K74" s="21">
        <f t="shared" si="22"/>
        <v>100.10375348837211</v>
      </c>
      <c r="L74" s="23">
        <v>101.2085671168887</v>
      </c>
      <c r="M74" s="24">
        <v>2.0193521918343</v>
      </c>
      <c r="N74" s="24">
        <v>0.64669904097169617</v>
      </c>
      <c r="O74" s="24">
        <v>0</v>
      </c>
      <c r="P74" s="21">
        <f t="shared" si="23"/>
        <v>2.6660512328059962</v>
      </c>
      <c r="Q74" s="21">
        <f t="shared" si="24"/>
        <v>2.6660512328059962</v>
      </c>
      <c r="R74" s="25" t="s">
        <v>109</v>
      </c>
      <c r="S74" s="13">
        <f t="shared" si="25"/>
        <v>4304461.4000000004</v>
      </c>
      <c r="T74" s="26">
        <f t="shared" si="26"/>
        <v>1.6605265430507167E-3</v>
      </c>
      <c r="U74" s="26">
        <f t="shared" si="27"/>
        <v>1.6605265430507167E-3</v>
      </c>
      <c r="V74" s="13">
        <f>RL_NAV*T74*(M74*Calculs!$I$13+N74*Calculs!$I$14+O74*Calculs!$I$15+AF74*Calculs!$I$22)</f>
        <v>22532.451918943036</v>
      </c>
      <c r="W74" s="13">
        <f>RL_NAV*U74*(M74*Calculs!$J$13+N74*Calculs!$J$14+O74*Calculs!$J$15+AF74*Calculs!$J$22)</f>
        <v>22532.451918943036</v>
      </c>
      <c r="X74" s="13">
        <f t="shared" si="28"/>
        <v>5234.6739406103243</v>
      </c>
      <c r="Y74" s="13">
        <f t="shared" si="29"/>
        <v>286897.86555089563</v>
      </c>
      <c r="Z74" s="13">
        <f t="shared" si="30"/>
        <v>286897.86555089563</v>
      </c>
      <c r="AA74" s="13">
        <f>RL_NAV*T74*(1-SUMPRODUCT((Flux!$B$7:$B$926=B74)*Flux!$F$7:$F$926*EXP(-(RL_Choc_Taux+IF(Q74&gt;0,RL_Choc_Spread,0))/10000*Flux!$D$7:$D$926))/K74)</f>
        <v>277382.9758315314</v>
      </c>
      <c r="AB74" s="13">
        <f>RL_NAV*U74*(1-SUMPRODUCT((Flux!$B$7:$B$926=B74)*Flux!$F$7:$F$926*EXP(-(RL_Choc_Taux+IF(Q74&gt;0,RL_Choc_Spread,0))/10000*Flux!$D$7:$D$926))/K74)</f>
        <v>277382.9758315314</v>
      </c>
      <c r="AC74" s="9" t="str">
        <f t="shared" si="31"/>
        <v/>
      </c>
      <c r="AD74" s="27">
        <f>SUMIF(Flux!$B$7:$B$926,B74,Flux!$F$7:$F$926)-K74</f>
        <v>0</v>
      </c>
      <c r="AE74" s="28">
        <v>0.93711636219341399</v>
      </c>
      <c r="AF74" s="21">
        <f t="shared" si="32"/>
        <v>2.4984002327084216</v>
      </c>
    </row>
    <row r="75" spans="2:32" x14ac:dyDescent="0.2">
      <c r="B75" s="9" t="s">
        <v>299</v>
      </c>
      <c r="C75" s="9" t="s">
        <v>300</v>
      </c>
      <c r="D75" s="9" t="s">
        <v>301</v>
      </c>
      <c r="E75" s="19">
        <v>46164</v>
      </c>
      <c r="F75" s="20">
        <v>1.375</v>
      </c>
      <c r="G75" s="13">
        <v>9600000</v>
      </c>
      <c r="H75" s="21">
        <v>98.838499999999996</v>
      </c>
      <c r="I75" s="22">
        <v>14827.4</v>
      </c>
      <c r="J75" s="22">
        <v>9503323.4000000004</v>
      </c>
      <c r="K75" s="21">
        <f t="shared" si="22"/>
        <v>98.992952083333336</v>
      </c>
      <c r="L75" s="23">
        <v>81.916807522308261</v>
      </c>
      <c r="M75" s="24">
        <v>0.89253935660506512</v>
      </c>
      <c r="N75" s="24">
        <v>0</v>
      </c>
      <c r="O75" s="24">
        <v>0</v>
      </c>
      <c r="P75" s="21">
        <f t="shared" si="23"/>
        <v>0.89253935660506512</v>
      </c>
      <c r="Q75" s="21">
        <f t="shared" si="24"/>
        <v>0.89253935660506512</v>
      </c>
      <c r="R75" s="25" t="s">
        <v>109</v>
      </c>
      <c r="S75" s="13">
        <f t="shared" si="25"/>
        <v>9503323.4000000004</v>
      </c>
      <c r="T75" s="26">
        <f t="shared" si="26"/>
        <v>3.6660848562598287E-3</v>
      </c>
      <c r="U75" s="26">
        <f t="shared" si="27"/>
        <v>3.6660848562598287E-3</v>
      </c>
      <c r="V75" s="13">
        <f>RL_NAV*T75*(M75*Calculs!$I$13+N75*Calculs!$I$14+O75*Calculs!$I$15+AF75*Calculs!$I$22)</f>
        <v>14863.981756420029</v>
      </c>
      <c r="W75" s="13">
        <f>RL_NAV*U75*(M75*Calculs!$J$13+N75*Calculs!$J$14+O75*Calculs!$J$15+AF75*Calculs!$J$22)</f>
        <v>14863.981756420029</v>
      </c>
      <c r="X75" s="13">
        <f t="shared" si="28"/>
        <v>1564.0824931223565</v>
      </c>
      <c r="Y75" s="13">
        <f t="shared" si="29"/>
        <v>212052.25382614654</v>
      </c>
      <c r="Z75" s="13">
        <f t="shared" si="30"/>
        <v>212052.25382614654</v>
      </c>
      <c r="AA75" s="13">
        <f>RL_NAV*T75*(1-SUMPRODUCT((Flux!$B$7:$B$926=B75)*Flux!$F$7:$F$926*EXP(-(RL_Choc_Taux+IF(Q75&gt;0,RL_Choc_Spread,0))/10000*Flux!$D$7:$D$926))/K75)</f>
        <v>209703.9403300219</v>
      </c>
      <c r="AB75" s="13">
        <f>RL_NAV*U75*(1-SUMPRODUCT((Flux!$B$7:$B$926=B75)*Flux!$F$7:$F$926*EXP(-(RL_Choc_Taux+IF(Q75&gt;0,RL_Choc_Spread,0))/10000*Flux!$D$7:$D$926))/K75)</f>
        <v>209703.9403300219</v>
      </c>
      <c r="AC75" s="9" t="str">
        <f t="shared" si="31"/>
        <v/>
      </c>
      <c r="AD75" s="27">
        <f>SUMIF(Flux!$B$7:$B$926,B75,Flux!$F$7:$F$926)-K75</f>
        <v>0</v>
      </c>
      <c r="AE75" s="28">
        <v>0.75848895853989151</v>
      </c>
      <c r="AF75" s="21">
        <f t="shared" si="32"/>
        <v>0.67698124704724072</v>
      </c>
    </row>
    <row r="76" spans="2:32" x14ac:dyDescent="0.2">
      <c r="B76" s="9" t="s">
        <v>302</v>
      </c>
      <c r="C76" s="9" t="s">
        <v>303</v>
      </c>
      <c r="D76" s="9" t="s">
        <v>304</v>
      </c>
      <c r="E76" s="19">
        <v>46583</v>
      </c>
      <c r="F76" s="20">
        <v>1.625</v>
      </c>
      <c r="G76" s="13">
        <v>3500000</v>
      </c>
      <c r="H76" s="21">
        <v>97.531499999999994</v>
      </c>
      <c r="I76" s="22">
        <v>54849.32</v>
      </c>
      <c r="J76" s="22">
        <v>3468451.82</v>
      </c>
      <c r="K76" s="21">
        <f t="shared" si="22"/>
        <v>99.098623428571415</v>
      </c>
      <c r="L76" s="23">
        <v>99.484823534174879</v>
      </c>
      <c r="M76" s="24">
        <v>1.9649349052636049</v>
      </c>
      <c r="N76" s="24">
        <v>2.6119430577053179E-2</v>
      </c>
      <c r="O76" s="24">
        <v>0</v>
      </c>
      <c r="P76" s="21">
        <f t="shared" si="23"/>
        <v>1.9910543358406581</v>
      </c>
      <c r="Q76" s="21">
        <f t="shared" si="24"/>
        <v>1.9910543358406581</v>
      </c>
      <c r="R76" s="25" t="s">
        <v>109</v>
      </c>
      <c r="S76" s="13">
        <f t="shared" si="25"/>
        <v>3468451.82</v>
      </c>
      <c r="T76" s="26">
        <f t="shared" si="26"/>
        <v>1.3380202016453359E-3</v>
      </c>
      <c r="U76" s="26">
        <f t="shared" si="27"/>
        <v>1.3380202016453359E-3</v>
      </c>
      <c r="V76" s="13">
        <f>RL_NAV*T76*(M76*Calculs!$I$13+N76*Calculs!$I$14+O76*Calculs!$I$15+AF76*Calculs!$I$22)</f>
        <v>13342.964257901283</v>
      </c>
      <c r="W76" s="13">
        <f>RL_NAV*U76*(M76*Calculs!$J$13+N76*Calculs!$J$14+O76*Calculs!$J$15+AF76*Calculs!$J$22)</f>
        <v>13342.964257901283</v>
      </c>
      <c r="X76" s="13">
        <f t="shared" si="28"/>
        <v>3846.9510174430748</v>
      </c>
      <c r="Y76" s="13">
        <f t="shared" si="29"/>
        <v>172646.9008716355</v>
      </c>
      <c r="Z76" s="13">
        <f t="shared" si="30"/>
        <v>172646.9008716355</v>
      </c>
      <c r="AA76" s="13">
        <f>RL_NAV*T76*(1-SUMPRODUCT((Flux!$B$7:$B$926=B76)*Flux!$F$7:$F$926*EXP(-(RL_Choc_Taux+IF(Q76&gt;0,RL_Choc_Spread,0))/10000*Flux!$D$7:$D$926))/K76)</f>
        <v>168337.85008438415</v>
      </c>
      <c r="AB76" s="13">
        <f>RL_NAV*U76*(1-SUMPRODUCT((Flux!$B$7:$B$926=B76)*Flux!$F$7:$F$926*EXP(-(RL_Choc_Taux+IF(Q76&gt;0,RL_Choc_Spread,0))/10000*Flux!$D$7:$D$926))/K76)</f>
        <v>168337.85008438415</v>
      </c>
      <c r="AC76" s="9" t="str">
        <f t="shared" si="31"/>
        <v/>
      </c>
      <c r="AD76" s="27">
        <f>SUMIF(Flux!$B$7:$B$926,B76,Flux!$F$7:$F$926)-K76</f>
        <v>0</v>
      </c>
      <c r="AE76" s="28">
        <v>0.92115577346458244</v>
      </c>
      <c r="AF76" s="21">
        <f t="shared" si="32"/>
        <v>1.8340711967413119</v>
      </c>
    </row>
    <row r="77" spans="2:32" x14ac:dyDescent="0.2">
      <c r="B77" s="9" t="s">
        <v>305</v>
      </c>
      <c r="C77" s="9" t="s">
        <v>306</v>
      </c>
      <c r="D77" s="9" t="s">
        <v>307</v>
      </c>
      <c r="E77" s="19">
        <v>47164</v>
      </c>
      <c r="F77" s="20">
        <v>3.4</v>
      </c>
      <c r="G77" s="13">
        <v>19900000</v>
      </c>
      <c r="H77" s="21">
        <v>101.23950000000001</v>
      </c>
      <c r="I77" s="22">
        <v>257483.89</v>
      </c>
      <c r="J77" s="22">
        <v>20404144.390000001</v>
      </c>
      <c r="K77" s="21">
        <f t="shared" si="22"/>
        <v>102.53338889447237</v>
      </c>
      <c r="L77" s="23">
        <v>96.738385984330634</v>
      </c>
      <c r="M77" s="24">
        <v>1.6359528278956419</v>
      </c>
      <c r="N77" s="24">
        <v>1.8024802385647389</v>
      </c>
      <c r="O77" s="24">
        <v>0</v>
      </c>
      <c r="P77" s="21">
        <f t="shared" si="23"/>
        <v>3.438433066460381</v>
      </c>
      <c r="Q77" s="21">
        <f t="shared" si="24"/>
        <v>3.438433066460381</v>
      </c>
      <c r="R77" s="25" t="s">
        <v>109</v>
      </c>
      <c r="S77" s="13">
        <f t="shared" si="25"/>
        <v>20404144.390000001</v>
      </c>
      <c r="T77" s="26">
        <f t="shared" si="26"/>
        <v>7.8712805620313776E-3</v>
      </c>
      <c r="U77" s="26">
        <f t="shared" si="27"/>
        <v>7.8712805620313776E-3</v>
      </c>
      <c r="V77" s="13">
        <f>RL_NAV*T77*(M77*Calculs!$I$13+N77*Calculs!$I$14+O77*Calculs!$I$15+AF77*Calculs!$I$22)</f>
        <v>135745.27520912184</v>
      </c>
      <c r="W77" s="13">
        <f>RL_NAV*U77*(M77*Calculs!$J$13+N77*Calculs!$J$14+O77*Calculs!$J$15+AF77*Calculs!$J$22)</f>
        <v>135745.27520912184</v>
      </c>
      <c r="X77" s="13">
        <f t="shared" si="28"/>
        <v>6652.8285927857933</v>
      </c>
      <c r="Y77" s="13">
        <f t="shared" si="29"/>
        <v>1753957.119085202</v>
      </c>
      <c r="Z77" s="13">
        <f t="shared" si="30"/>
        <v>1753957.119085202</v>
      </c>
      <c r="AA77" s="13">
        <f>RL_NAV*T77*(1-SUMPRODUCT((Flux!$B$7:$B$926=B77)*Flux!$F$7:$F$926*EXP(-(RL_Choc_Taux+IF(Q77&gt;0,RL_Choc_Spread,0))/10000*Flux!$D$7:$D$926))/K77)</f>
        <v>1678216.4885254691</v>
      </c>
      <c r="AB77" s="13">
        <f>RL_NAV*U77*(1-SUMPRODUCT((Flux!$B$7:$B$926=B77)*Flux!$F$7:$F$926*EXP(-(RL_Choc_Taux+IF(Q77&gt;0,RL_Choc_Spread,0))/10000*Flux!$D$7:$D$926))/K77)</f>
        <v>1678216.4885254691</v>
      </c>
      <c r="AC77" s="9" t="str">
        <f t="shared" si="31"/>
        <v/>
      </c>
      <c r="AD77" s="27">
        <f>SUMIF(Flux!$B$7:$B$926,B77,Flux!$F$7:$F$926)-K77</f>
        <v>0</v>
      </c>
      <c r="AE77" s="28">
        <v>0.89572579615120984</v>
      </c>
      <c r="AF77" s="21">
        <f t="shared" si="32"/>
        <v>3.0798931959678706</v>
      </c>
    </row>
    <row r="78" spans="2:32" x14ac:dyDescent="0.2">
      <c r="B78" s="9" t="s">
        <v>308</v>
      </c>
      <c r="C78" s="9" t="s">
        <v>309</v>
      </c>
      <c r="D78" s="9" t="s">
        <v>310</v>
      </c>
      <c r="E78" s="19">
        <v>46582</v>
      </c>
      <c r="F78" s="20">
        <v>3.375</v>
      </c>
      <c r="G78" s="13">
        <v>5000000</v>
      </c>
      <c r="H78" s="21">
        <v>100.8305</v>
      </c>
      <c r="I78" s="22">
        <v>163202.04999999999</v>
      </c>
      <c r="J78" s="22">
        <v>5204727.05</v>
      </c>
      <c r="K78" s="21">
        <f t="shared" si="22"/>
        <v>104.09454099999999</v>
      </c>
      <c r="L78" s="23">
        <v>104.98355256899811</v>
      </c>
      <c r="M78" s="24">
        <v>1.9172971525706179</v>
      </c>
      <c r="N78" s="24">
        <v>2.3493658453467309E-2</v>
      </c>
      <c r="O78" s="24">
        <v>0</v>
      </c>
      <c r="P78" s="21">
        <f t="shared" si="23"/>
        <v>1.9407908110240852</v>
      </c>
      <c r="Q78" s="21">
        <f t="shared" si="24"/>
        <v>1.9407908110240852</v>
      </c>
      <c r="R78" s="25" t="s">
        <v>109</v>
      </c>
      <c r="S78" s="13">
        <f t="shared" si="25"/>
        <v>5204727.05</v>
      </c>
      <c r="T78" s="26">
        <f t="shared" si="26"/>
        <v>2.0078208660110307E-3</v>
      </c>
      <c r="U78" s="26">
        <f t="shared" si="27"/>
        <v>2.0078208660110307E-3</v>
      </c>
      <c r="V78" s="13">
        <f>RL_NAV*T78*(M78*Calculs!$I$13+N78*Calculs!$I$14+O78*Calculs!$I$15+AF78*Calculs!$I$22)</f>
        <v>20081.986365432491</v>
      </c>
      <c r="W78" s="13">
        <f>RL_NAV*U78*(M78*Calculs!$J$13+N78*Calculs!$J$14+O78*Calculs!$J$15+AF78*Calculs!$J$22)</f>
        <v>20081.986365432491</v>
      </c>
      <c r="X78" s="13">
        <f t="shared" si="28"/>
        <v>3858.4129719986931</v>
      </c>
      <c r="Y78" s="13">
        <f t="shared" si="29"/>
        <v>252532.16081321234</v>
      </c>
      <c r="Z78" s="13">
        <f t="shared" si="30"/>
        <v>252532.16081321234</v>
      </c>
      <c r="AA78" s="13">
        <f>RL_NAV*T78*(1-SUMPRODUCT((Flux!$B$7:$B$926=B78)*Flux!$F$7:$F$926*EXP(-(RL_Choc_Taux+IF(Q78&gt;0,RL_Choc_Spread,0))/10000*Flux!$D$7:$D$926))/K78)</f>
        <v>246265.64606315005</v>
      </c>
      <c r="AB78" s="13">
        <f>RL_NAV*U78*(1-SUMPRODUCT((Flux!$B$7:$B$926=B78)*Flux!$F$7:$F$926*EXP(-(RL_Choc_Taux+IF(Q78&gt;0,RL_Choc_Spread,0))/10000*Flux!$D$7:$D$926))/K78)</f>
        <v>246265.64606315005</v>
      </c>
      <c r="AC78" s="9" t="str">
        <f t="shared" si="31"/>
        <v/>
      </c>
      <c r="AD78" s="27">
        <f>SUMIF(Flux!$B$7:$B$926,B78,Flux!$F$7:$F$926)-K78</f>
        <v>0</v>
      </c>
      <c r="AE78" s="28">
        <v>0.97206993119442753</v>
      </c>
      <c r="AF78" s="21">
        <f t="shared" si="32"/>
        <v>1.8865843901349597</v>
      </c>
    </row>
    <row r="79" spans="2:32" x14ac:dyDescent="0.2">
      <c r="B79" s="9" t="s">
        <v>311</v>
      </c>
      <c r="C79" s="9" t="s">
        <v>312</v>
      </c>
      <c r="D79" s="9" t="s">
        <v>313</v>
      </c>
      <c r="E79" s="19">
        <v>47749</v>
      </c>
      <c r="F79" s="20">
        <v>1.026</v>
      </c>
      <c r="G79" s="13">
        <v>6700000</v>
      </c>
      <c r="H79" s="21">
        <v>83.936499999999995</v>
      </c>
      <c r="I79" s="22">
        <v>53110.26</v>
      </c>
      <c r="J79" s="22">
        <v>5676855.7599999998</v>
      </c>
      <c r="K79" s="21">
        <f t="shared" si="22"/>
        <v>84.729190447761198</v>
      </c>
      <c r="L79" s="23">
        <v>226.6953249231976</v>
      </c>
      <c r="M79" s="24">
        <v>7.0721191956770665E-2</v>
      </c>
      <c r="N79" s="24">
        <v>4.7616009512479929</v>
      </c>
      <c r="O79" s="24">
        <v>0.2294029391562532</v>
      </c>
      <c r="P79" s="21">
        <f t="shared" si="23"/>
        <v>5.0617250823610167</v>
      </c>
      <c r="Q79" s="21">
        <f t="shared" si="24"/>
        <v>5.0617250823610167</v>
      </c>
      <c r="R79" s="25" t="s">
        <v>109</v>
      </c>
      <c r="S79" s="13">
        <f t="shared" si="25"/>
        <v>5676855.7599999998</v>
      </c>
      <c r="T79" s="26">
        <f t="shared" si="26"/>
        <v>2.189953351782954E-3</v>
      </c>
      <c r="U79" s="26">
        <f t="shared" si="27"/>
        <v>2.189953351782954E-3</v>
      </c>
      <c r="V79" s="13">
        <f>RL_NAV*T79*(M79*Calculs!$I$13+N79*Calculs!$I$14+O79*Calculs!$I$15+AF79*Calculs!$I$22)</f>
        <v>94341.932549976482</v>
      </c>
      <c r="W79" s="13">
        <f>RL_NAV*U79*(M79*Calculs!$J$13+N79*Calculs!$J$14+O79*Calculs!$J$15+AF79*Calculs!$J$22)</f>
        <v>94341.932549976482</v>
      </c>
      <c r="X79" s="13">
        <f t="shared" si="28"/>
        <v>16618.694668045697</v>
      </c>
      <c r="Y79" s="13">
        <f t="shared" si="29"/>
        <v>718367.07973344019</v>
      </c>
      <c r="Z79" s="13">
        <f t="shared" si="30"/>
        <v>718367.07973344019</v>
      </c>
      <c r="AA79" s="13">
        <f>RL_NAV*T79*(1-SUMPRODUCT((Flux!$B$7:$B$926=B79)*Flux!$F$7:$F$926*EXP(-(RL_Choc_Taux+IF(Q79&gt;0,RL_Choc_Spread,0))/10000*Flux!$D$7:$D$926))/K79)</f>
        <v>673793.79936324281</v>
      </c>
      <c r="AB79" s="13">
        <f>RL_NAV*U79*(1-SUMPRODUCT((Flux!$B$7:$B$926=B79)*Flux!$F$7:$F$926*EXP(-(RL_Choc_Taux+IF(Q79&gt;0,RL_Choc_Spread,0))/10000*Flux!$D$7:$D$926))/K79)</f>
        <v>673793.79936324281</v>
      </c>
      <c r="AC79" s="9" t="str">
        <f t="shared" si="31"/>
        <v/>
      </c>
      <c r="AD79" s="27">
        <f>SUMIF(Flux!$B$7:$B$926,B79,Flux!$F$7:$F$926)-K79</f>
        <v>0</v>
      </c>
      <c r="AE79" s="28">
        <v>2.0990307863259039</v>
      </c>
      <c r="AF79" s="21">
        <f t="shared" si="32"/>
        <v>10.624716779793795</v>
      </c>
    </row>
    <row r="80" spans="2:32" x14ac:dyDescent="0.2">
      <c r="B80" s="9" t="s">
        <v>314</v>
      </c>
      <c r="C80" s="9" t="s">
        <v>315</v>
      </c>
      <c r="D80" s="9" t="s">
        <v>316</v>
      </c>
      <c r="E80" s="19">
        <v>46675</v>
      </c>
      <c r="F80" s="20">
        <v>2.5</v>
      </c>
      <c r="G80" s="13">
        <v>4500000</v>
      </c>
      <c r="H80" s="21">
        <v>92.392499999999998</v>
      </c>
      <c r="I80" s="22">
        <v>80136.990000000005</v>
      </c>
      <c r="J80" s="22">
        <v>4237799.49</v>
      </c>
      <c r="K80" s="21">
        <f t="shared" si="22"/>
        <v>94.173321999999999</v>
      </c>
      <c r="L80" s="23">
        <v>409.15123971956012</v>
      </c>
      <c r="M80" s="24">
        <v>2.0034285508684611</v>
      </c>
      <c r="N80" s="24">
        <v>0.21144042650024999</v>
      </c>
      <c r="O80" s="24">
        <v>0</v>
      </c>
      <c r="P80" s="21">
        <f t="shared" si="23"/>
        <v>2.2148689773687109</v>
      </c>
      <c r="Q80" s="21">
        <f t="shared" si="24"/>
        <v>2.2148689773687109</v>
      </c>
      <c r="R80" s="25" t="s">
        <v>109</v>
      </c>
      <c r="S80" s="13">
        <f t="shared" si="25"/>
        <v>4237799.49</v>
      </c>
      <c r="T80" s="26">
        <f t="shared" si="26"/>
        <v>1.6348104636904838E-3</v>
      </c>
      <c r="U80" s="26">
        <f t="shared" si="27"/>
        <v>1.6348104636904838E-3</v>
      </c>
      <c r="V80" s="13">
        <f>RL_NAV*T80*(M80*Calculs!$I$13+N80*Calculs!$I$14+O80*Calculs!$I$15+AF80*Calculs!$I$22)</f>
        <v>47785.683156903484</v>
      </c>
      <c r="W80" s="13">
        <f>RL_NAV*U80*(M80*Calculs!$J$13+N80*Calculs!$J$14+O80*Calculs!$J$15+AF80*Calculs!$J$22)</f>
        <v>47785.683156903484</v>
      </c>
      <c r="X80" s="13">
        <f t="shared" si="28"/>
        <v>11276.060434115414</v>
      </c>
      <c r="Y80" s="13">
        <f t="shared" si="29"/>
        <v>234654.26556774863</v>
      </c>
      <c r="Z80" s="13">
        <f t="shared" si="30"/>
        <v>234654.26556774863</v>
      </c>
      <c r="AA80" s="13">
        <f>RL_NAV*T80*(1-SUMPRODUCT((Flux!$B$7:$B$926=B80)*Flux!$F$7:$F$926*EXP(-(RL_Choc_Taux+IF(Q80&gt;0,RL_Choc_Spread,0))/10000*Flux!$D$7:$D$926))/K80)</f>
        <v>228119.8041714014</v>
      </c>
      <c r="AB80" s="13">
        <f>RL_NAV*U80*(1-SUMPRODUCT((Flux!$B$7:$B$926=B80)*Flux!$F$7:$F$926*EXP(-(RL_Choc_Taux+IF(Q80&gt;0,RL_Choc_Spread,0))/10000*Flux!$D$7:$D$926))/K80)</f>
        <v>228119.8041714014</v>
      </c>
      <c r="AC80" s="9" t="str">
        <f t="shared" si="31"/>
        <v/>
      </c>
      <c r="AD80" s="27">
        <f>SUMIF(Flux!$B$7:$B$926,B80,Flux!$F$7:$F$926)-K80</f>
        <v>0</v>
      </c>
      <c r="AE80" s="28">
        <v>3.7884374048107432</v>
      </c>
      <c r="AF80" s="21">
        <f t="shared" si="32"/>
        <v>8.3908924806185432</v>
      </c>
    </row>
    <row r="81" spans="2:32" x14ac:dyDescent="0.2">
      <c r="B81" s="9" t="s">
        <v>317</v>
      </c>
      <c r="C81" s="9" t="s">
        <v>318</v>
      </c>
      <c r="D81" s="9" t="s">
        <v>319</v>
      </c>
      <c r="E81" s="19">
        <v>47046</v>
      </c>
      <c r="F81" s="20">
        <v>1.625</v>
      </c>
      <c r="G81" s="13">
        <v>4450000</v>
      </c>
      <c r="H81" s="21">
        <v>95.778999999999996</v>
      </c>
      <c r="I81" s="22">
        <v>50321.58</v>
      </c>
      <c r="J81" s="22">
        <v>4312487.08</v>
      </c>
      <c r="K81" s="21">
        <f t="shared" si="22"/>
        <v>96.909822022471914</v>
      </c>
      <c r="L81" s="23">
        <v>95.91169465736391</v>
      </c>
      <c r="M81" s="24">
        <v>1.834310544967751</v>
      </c>
      <c r="N81" s="24">
        <v>1.375036056420563</v>
      </c>
      <c r="O81" s="24">
        <v>0</v>
      </c>
      <c r="P81" s="21">
        <f t="shared" si="23"/>
        <v>3.2093466013883143</v>
      </c>
      <c r="Q81" s="21">
        <f t="shared" si="24"/>
        <v>3.2093466013883143</v>
      </c>
      <c r="R81" s="25" t="s">
        <v>109</v>
      </c>
      <c r="S81" s="13">
        <f t="shared" si="25"/>
        <v>4312487.08</v>
      </c>
      <c r="T81" s="26">
        <f t="shared" si="26"/>
        <v>1.6636225993113282E-3</v>
      </c>
      <c r="U81" s="26">
        <f t="shared" si="27"/>
        <v>1.6636225993113282E-3</v>
      </c>
      <c r="V81" s="13">
        <f>RL_NAV*T81*(M81*Calculs!$I$13+N81*Calculs!$I$14+O81*Calculs!$I$15+AF81*Calculs!$I$22)</f>
        <v>26582.595653983204</v>
      </c>
      <c r="W81" s="13">
        <f>RL_NAV*U81*(M81*Calculs!$J$13+N81*Calculs!$J$14+O81*Calculs!$J$15+AF81*Calculs!$J$22)</f>
        <v>26582.595653983204</v>
      </c>
      <c r="X81" s="13">
        <f t="shared" si="28"/>
        <v>6164.0986189304022</v>
      </c>
      <c r="Y81" s="13">
        <f t="shared" si="29"/>
        <v>346006.64384322538</v>
      </c>
      <c r="Z81" s="13">
        <f t="shared" si="30"/>
        <v>346006.64384322538</v>
      </c>
      <c r="AA81" s="13">
        <f>RL_NAV*T81*(1-SUMPRODUCT((Flux!$B$7:$B$926=B81)*Flux!$F$7:$F$926*EXP(-(RL_Choc_Taux+IF(Q81&gt;0,RL_Choc_Spread,0))/10000*Flux!$D$7:$D$926))/K81)</f>
        <v>332209.89979761903</v>
      </c>
      <c r="AB81" s="13">
        <f>RL_NAV*U81*(1-SUMPRODUCT((Flux!$B$7:$B$926=B81)*Flux!$F$7:$F$926*EXP(-(RL_Choc_Taux+IF(Q81&gt;0,RL_Choc_Spread,0))/10000*Flux!$D$7:$D$926))/K81)</f>
        <v>332209.89979761903</v>
      </c>
      <c r="AC81" s="9" t="str">
        <f t="shared" si="31"/>
        <v/>
      </c>
      <c r="AD81" s="27">
        <f>SUMIF(Flux!$B$7:$B$926,B81,Flux!$F$7:$F$926)-K81</f>
        <v>0</v>
      </c>
      <c r="AE81" s="28">
        <v>0.88807124682744376</v>
      </c>
      <c r="AF81" s="21">
        <f t="shared" si="32"/>
        <v>2.8501284377963394</v>
      </c>
    </row>
    <row r="82" spans="2:32" x14ac:dyDescent="0.2">
      <c r="B82" s="9" t="s">
        <v>320</v>
      </c>
      <c r="C82" s="9" t="s">
        <v>321</v>
      </c>
      <c r="D82" s="9" t="s">
        <v>322</v>
      </c>
      <c r="E82" s="19">
        <v>46503</v>
      </c>
      <c r="F82" s="20">
        <v>1.25</v>
      </c>
      <c r="G82" s="13">
        <v>10000000</v>
      </c>
      <c r="H82" s="21">
        <v>97.229500000000002</v>
      </c>
      <c r="I82" s="22">
        <v>22945.21</v>
      </c>
      <c r="J82" s="22">
        <v>9745895.2100000009</v>
      </c>
      <c r="K82" s="21">
        <f t="shared" si="22"/>
        <v>97.458952100000005</v>
      </c>
      <c r="L82" s="23">
        <v>94.396817061765603</v>
      </c>
      <c r="M82" s="24">
        <v>1.8081438984802569</v>
      </c>
      <c r="N82" s="24">
        <v>0</v>
      </c>
      <c r="O82" s="24">
        <v>0</v>
      </c>
      <c r="P82" s="21">
        <f t="shared" si="23"/>
        <v>1.8081438984802569</v>
      </c>
      <c r="Q82" s="21">
        <f t="shared" si="24"/>
        <v>1.8081438984802569</v>
      </c>
      <c r="R82" s="25" t="s">
        <v>109</v>
      </c>
      <c r="S82" s="13">
        <f t="shared" si="25"/>
        <v>9745895.2100000009</v>
      </c>
      <c r="T82" s="26">
        <f t="shared" si="26"/>
        <v>3.7596614716990696E-3</v>
      </c>
      <c r="U82" s="26">
        <f t="shared" si="27"/>
        <v>3.7596614716990696E-3</v>
      </c>
      <c r="V82" s="13">
        <f>RL_NAV*T82*(M82*Calculs!$I$13+N82*Calculs!$I$14+O82*Calculs!$I$15+AF82*Calculs!$I$22)</f>
        <v>33120.64210784086</v>
      </c>
      <c r="W82" s="13">
        <f>RL_NAV*U82*(M82*Calculs!$J$13+N82*Calculs!$J$14+O82*Calculs!$J$15+AF82*Calculs!$J$22)</f>
        <v>33120.64210784086</v>
      </c>
      <c r="X82" s="13">
        <f t="shared" si="28"/>
        <v>3398.4196827662031</v>
      </c>
      <c r="Y82" s="13">
        <f t="shared" si="29"/>
        <v>440549.52397973649</v>
      </c>
      <c r="Z82" s="13">
        <f t="shared" si="30"/>
        <v>440549.52397973649</v>
      </c>
      <c r="AA82" s="13">
        <f>RL_NAV*T82*(1-SUMPRODUCT((Flux!$B$7:$B$926=B82)*Flux!$F$7:$F$926*EXP(-(RL_Choc_Taux+IF(Q82&gt;0,RL_Choc_Spread,0))/10000*Flux!$D$7:$D$926))/K82)</f>
        <v>430704.3881784429</v>
      </c>
      <c r="AB82" s="13">
        <f>RL_NAV*U82*(1-SUMPRODUCT((Flux!$B$7:$B$926=B82)*Flux!$F$7:$F$926*EXP(-(RL_Choc_Taux+IF(Q82&gt;0,RL_Choc_Spread,0))/10000*Flux!$D$7:$D$926))/K82)</f>
        <v>430704.3881784429</v>
      </c>
      <c r="AC82" s="9" t="str">
        <f t="shared" si="31"/>
        <v/>
      </c>
      <c r="AD82" s="27">
        <f>SUMIF(Flux!$B$7:$B$926,B82,Flux!$F$7:$F$926)-K82</f>
        <v>0</v>
      </c>
      <c r="AE82" s="28">
        <v>0.87404460242375581</v>
      </c>
      <c r="AF82" s="21">
        <f t="shared" si="32"/>
        <v>1.580398414872116</v>
      </c>
    </row>
    <row r="83" spans="2:32" x14ac:dyDescent="0.2">
      <c r="B83" s="9" t="s">
        <v>323</v>
      </c>
      <c r="C83" s="9" t="s">
        <v>324</v>
      </c>
      <c r="D83" s="9" t="s">
        <v>325</v>
      </c>
      <c r="E83" s="19">
        <v>47091</v>
      </c>
      <c r="F83" s="20">
        <v>2</v>
      </c>
      <c r="G83" s="13">
        <v>4500000</v>
      </c>
      <c r="H83" s="21">
        <v>97.171000000000006</v>
      </c>
      <c r="I83" s="22">
        <v>51780.82</v>
      </c>
      <c r="J83" s="22">
        <v>4424475.82</v>
      </c>
      <c r="K83" s="21">
        <f t="shared" si="22"/>
        <v>98.321684888888896</v>
      </c>
      <c r="L83" s="23">
        <v>84.138564152850577</v>
      </c>
      <c r="M83" s="24">
        <v>1.76556817326714</v>
      </c>
      <c r="N83" s="24">
        <v>1.5463688799373341</v>
      </c>
      <c r="O83" s="24">
        <v>0</v>
      </c>
      <c r="P83" s="21">
        <f t="shared" si="23"/>
        <v>3.3119370532044741</v>
      </c>
      <c r="Q83" s="21">
        <f t="shared" si="24"/>
        <v>3.3119370532044741</v>
      </c>
      <c r="R83" s="25" t="s">
        <v>109</v>
      </c>
      <c r="S83" s="13">
        <f t="shared" si="25"/>
        <v>4424475.82</v>
      </c>
      <c r="T83" s="26">
        <f t="shared" si="26"/>
        <v>1.7068243516357433E-3</v>
      </c>
      <c r="U83" s="26">
        <f t="shared" si="27"/>
        <v>1.7068243516357433E-3</v>
      </c>
      <c r="V83" s="13">
        <f>RL_NAV*T83*(M83*Calculs!$I$13+N83*Calculs!$I$14+O83*Calculs!$I$15+AF83*Calculs!$I$22)</f>
        <v>26421.432425789586</v>
      </c>
      <c r="W83" s="13">
        <f>RL_NAV*U83*(M83*Calculs!$J$13+N83*Calculs!$J$14+O83*Calculs!$J$15+AF83*Calculs!$J$22)</f>
        <v>26421.432425789586</v>
      </c>
      <c r="X83" s="13">
        <f t="shared" si="28"/>
        <v>5971.6525755110997</v>
      </c>
      <c r="Y83" s="13">
        <f t="shared" si="29"/>
        <v>366339.63523163123</v>
      </c>
      <c r="Z83" s="13">
        <f t="shared" si="30"/>
        <v>366339.63523163123</v>
      </c>
      <c r="AA83" s="13">
        <f>RL_NAV*T83*(1-SUMPRODUCT((Flux!$B$7:$B$926=B83)*Flux!$F$7:$F$926*EXP(-(RL_Choc_Taux+IF(Q83&gt;0,RL_Choc_Spread,0))/10000*Flux!$D$7:$D$926))/K83)</f>
        <v>351240.12750511384</v>
      </c>
      <c r="AB83" s="13">
        <f>RL_NAV*U83*(1-SUMPRODUCT((Flux!$B$7:$B$926=B83)*Flux!$F$7:$F$926*EXP(-(RL_Choc_Taux+IF(Q83&gt;0,RL_Choc_Spread,0))/10000*Flux!$D$7:$D$926))/K83)</f>
        <v>351240.12750511384</v>
      </c>
      <c r="AC83" s="9" t="str">
        <f t="shared" si="31"/>
        <v/>
      </c>
      <c r="AD83" s="27">
        <f>SUMIF(Flux!$B$7:$B$926,B83,Flux!$F$7:$F$926)-K83</f>
        <v>0</v>
      </c>
      <c r="AE83" s="28">
        <v>0.77906077919306105</v>
      </c>
      <c r="AF83" s="21">
        <f t="shared" si="32"/>
        <v>2.5802002613078479</v>
      </c>
    </row>
    <row r="84" spans="2:32" x14ac:dyDescent="0.2">
      <c r="B84" s="9" t="s">
        <v>326</v>
      </c>
      <c r="C84" s="9" t="s">
        <v>327</v>
      </c>
      <c r="D84" s="9" t="s">
        <v>304</v>
      </c>
      <c r="E84" s="19">
        <v>47862</v>
      </c>
      <c r="F84" s="20">
        <v>0.875</v>
      </c>
      <c r="G84" s="13">
        <v>4900000</v>
      </c>
      <c r="H84" s="21">
        <v>86.045000000000002</v>
      </c>
      <c r="I84" s="22">
        <v>19851.71</v>
      </c>
      <c r="J84" s="22">
        <v>4236056.71</v>
      </c>
      <c r="K84" s="21">
        <f t="shared" si="22"/>
        <v>86.450136938775515</v>
      </c>
      <c r="L84" s="23">
        <v>143.03961170850241</v>
      </c>
      <c r="M84" s="24">
        <v>6.0990203041309102E-2</v>
      </c>
      <c r="N84" s="24">
        <v>4.7656220736730353</v>
      </c>
      <c r="O84" s="24">
        <v>0.57216533724776353</v>
      </c>
      <c r="P84" s="21">
        <f t="shared" si="23"/>
        <v>5.3987776139621086</v>
      </c>
      <c r="Q84" s="21">
        <f t="shared" si="24"/>
        <v>5.3987776139621086</v>
      </c>
      <c r="R84" s="25" t="s">
        <v>109</v>
      </c>
      <c r="S84" s="13">
        <f t="shared" si="25"/>
        <v>4236056.71</v>
      </c>
      <c r="T84" s="26">
        <f t="shared" si="26"/>
        <v>1.6341381536893538E-3</v>
      </c>
      <c r="U84" s="26">
        <f t="shared" si="27"/>
        <v>1.6341381536893538E-3</v>
      </c>
      <c r="V84" s="13">
        <f>RL_NAV*T84*(M84*Calculs!$I$13+N84*Calculs!$I$14+O84*Calculs!$I$15+AF84*Calculs!$I$22)</f>
        <v>55511.015622075283</v>
      </c>
      <c r="W84" s="13">
        <f>RL_NAV*U84*(M84*Calculs!$J$13+N84*Calculs!$J$14+O84*Calculs!$J$15+AF84*Calculs!$J$22)</f>
        <v>55511.015622075283</v>
      </c>
      <c r="X84" s="13">
        <f t="shared" si="28"/>
        <v>13104.408043223597</v>
      </c>
      <c r="Y84" s="13">
        <f t="shared" si="29"/>
        <v>571738.20343554951</v>
      </c>
      <c r="Z84" s="13">
        <f t="shared" si="30"/>
        <v>571738.20343554951</v>
      </c>
      <c r="AA84" s="13">
        <f>RL_NAV*T84*(1-SUMPRODUCT((Flux!$B$7:$B$926=B84)*Flux!$F$7:$F$926*EXP(-(RL_Choc_Taux+IF(Q84&gt;0,RL_Choc_Spread,0))/10000*Flux!$D$7:$D$926))/K84)</f>
        <v>534223.7525645399</v>
      </c>
      <c r="AB84" s="13">
        <f>RL_NAV*U84*(1-SUMPRODUCT((Flux!$B$7:$B$926=B84)*Flux!$F$7:$F$926*EXP(-(RL_Choc_Taux+IF(Q84&gt;0,RL_Choc_Spread,0))/10000*Flux!$D$7:$D$926))/K84)</f>
        <v>534223.7525645399</v>
      </c>
      <c r="AC84" s="9" t="str">
        <f t="shared" si="31"/>
        <v/>
      </c>
      <c r="AD84" s="27">
        <f>SUMIF(Flux!$B$7:$B$926,B84,Flux!$F$7:$F$926)-K84</f>
        <v>0</v>
      </c>
      <c r="AE84" s="28">
        <v>1.3244408491527999</v>
      </c>
      <c r="AF84" s="21">
        <f t="shared" si="32"/>
        <v>7.1503616074231022</v>
      </c>
    </row>
    <row r="85" spans="2:32" x14ac:dyDescent="0.2">
      <c r="B85" s="9" t="s">
        <v>328</v>
      </c>
      <c r="C85" s="9" t="s">
        <v>329</v>
      </c>
      <c r="D85" s="9" t="s">
        <v>330</v>
      </c>
      <c r="E85" s="19">
        <v>46055</v>
      </c>
      <c r="F85" s="20">
        <v>3.875</v>
      </c>
      <c r="G85" s="13">
        <v>25050000</v>
      </c>
      <c r="H85" s="21">
        <v>100.093</v>
      </c>
      <c r="I85" s="22">
        <v>398912.67</v>
      </c>
      <c r="J85" s="22">
        <v>25472209.170000002</v>
      </c>
      <c r="K85" s="21">
        <f t="shared" si="22"/>
        <v>101.68546574850301</v>
      </c>
      <c r="L85" s="23">
        <v>174.0924778109393</v>
      </c>
      <c r="M85" s="24">
        <v>0.59411362080766594</v>
      </c>
      <c r="N85" s="24">
        <v>0</v>
      </c>
      <c r="O85" s="24">
        <v>0</v>
      </c>
      <c r="P85" s="21">
        <f t="shared" si="23"/>
        <v>0.59411362080766594</v>
      </c>
      <c r="Q85" s="21">
        <f t="shared" si="24"/>
        <v>0.59411362080766594</v>
      </c>
      <c r="R85" s="25" t="s">
        <v>109</v>
      </c>
      <c r="S85" s="13">
        <f t="shared" si="25"/>
        <v>25472209.170000002</v>
      </c>
      <c r="T85" s="26">
        <f t="shared" si="26"/>
        <v>9.8263813997553472E-3</v>
      </c>
      <c r="U85" s="26">
        <f t="shared" si="27"/>
        <v>9.8263813997553472E-3</v>
      </c>
      <c r="V85" s="13">
        <f>RL_NAV*T85*(M85*Calculs!$I$13+N85*Calculs!$I$14+O85*Calculs!$I$15+AF85*Calculs!$I$22)</f>
        <v>40727.308182759967</v>
      </c>
      <c r="W85" s="13">
        <f>RL_NAV*U85*(M85*Calculs!$J$13+N85*Calculs!$J$14+O85*Calculs!$J$15+AF85*Calculs!$J$22)</f>
        <v>40727.308182759967</v>
      </c>
      <c r="X85" s="13">
        <f t="shared" si="28"/>
        <v>1598.8918711741233</v>
      </c>
      <c r="Y85" s="13">
        <f t="shared" si="29"/>
        <v>378334.66049897333</v>
      </c>
      <c r="Z85" s="13">
        <f t="shared" si="30"/>
        <v>378334.66049897333</v>
      </c>
      <c r="AA85" s="13">
        <f>RL_NAV*T85*(1-SUMPRODUCT((Flux!$B$7:$B$926=B85)*Flux!$F$7:$F$926*EXP(-(RL_Choc_Taux+IF(Q85&gt;0,RL_Choc_Spread,0))/10000*Flux!$D$7:$D$926))/K85)</f>
        <v>375538.8473490958</v>
      </c>
      <c r="AB85" s="13">
        <f>RL_NAV*U85*(1-SUMPRODUCT((Flux!$B$7:$B$926=B85)*Flux!$F$7:$F$926*EXP(-(RL_Choc_Taux+IF(Q85&gt;0,RL_Choc_Spread,0))/10000*Flux!$D$7:$D$926))/K85)</f>
        <v>375538.8473490958</v>
      </c>
      <c r="AC85" s="9" t="str">
        <f t="shared" si="31"/>
        <v/>
      </c>
      <c r="AD85" s="27">
        <f>SUMIF(Flux!$B$7:$B$926,B85,Flux!$F$7:$F$926)-K85</f>
        <v>0</v>
      </c>
      <c r="AE85" s="28">
        <v>1.6119673871383271</v>
      </c>
      <c r="AF85" s="21">
        <f t="shared" si="32"/>
        <v>0.95769178099662411</v>
      </c>
    </row>
    <row r="86" spans="2:32" x14ac:dyDescent="0.2">
      <c r="B86" s="9" t="s">
        <v>331</v>
      </c>
      <c r="C86" s="9" t="s">
        <v>332</v>
      </c>
      <c r="D86" s="9" t="s">
        <v>333</v>
      </c>
      <c r="E86" s="19">
        <v>46635</v>
      </c>
      <c r="F86" s="20">
        <v>2.625</v>
      </c>
      <c r="G86" s="13">
        <v>1500000</v>
      </c>
      <c r="H86" s="21">
        <v>92.04</v>
      </c>
      <c r="I86" s="22">
        <v>32363.01</v>
      </c>
      <c r="J86" s="22">
        <v>1412963.01</v>
      </c>
      <c r="K86" s="21">
        <f t="shared" si="22"/>
        <v>94.197534000000005</v>
      </c>
      <c r="L86" s="23">
        <v>457.66281174596691</v>
      </c>
      <c r="M86" s="24">
        <v>1.975852403533888</v>
      </c>
      <c r="N86" s="24">
        <v>0.1253599376404535</v>
      </c>
      <c r="O86" s="24">
        <v>0</v>
      </c>
      <c r="P86" s="21">
        <f t="shared" si="23"/>
        <v>2.1012123411743415</v>
      </c>
      <c r="Q86" s="21">
        <f t="shared" si="24"/>
        <v>2.1012123411743415</v>
      </c>
      <c r="R86" s="25" t="s">
        <v>109</v>
      </c>
      <c r="S86" s="13">
        <f t="shared" si="25"/>
        <v>1412963.01</v>
      </c>
      <c r="T86" s="26">
        <f t="shared" si="26"/>
        <v>5.4507692471207549E-4</v>
      </c>
      <c r="U86" s="26">
        <f t="shared" si="27"/>
        <v>5.4507692471207549E-4</v>
      </c>
      <c r="V86" s="13">
        <f>RL_NAV*T86*(M86*Calculs!$I$13+N86*Calculs!$I$14+O86*Calculs!$I$15+AF86*Calculs!$I$22)</f>
        <v>16575.631792978136</v>
      </c>
      <c r="W86" s="13">
        <f>RL_NAV*U86*(M86*Calculs!$J$13+N86*Calculs!$J$14+O86*Calculs!$J$15+AF86*Calculs!$J$22)</f>
        <v>16575.631792978136</v>
      </c>
      <c r="X86" s="13">
        <f t="shared" si="28"/>
        <v>11731.115164138753</v>
      </c>
      <c r="Y86" s="13">
        <f t="shared" si="29"/>
        <v>74223.38285587111</v>
      </c>
      <c r="Z86" s="13">
        <f t="shared" si="30"/>
        <v>74223.38285587111</v>
      </c>
      <c r="AA86" s="13">
        <f>RL_NAV*T86*(1-SUMPRODUCT((Flux!$B$7:$B$926=B86)*Flux!$F$7:$F$926*EXP(-(RL_Choc_Taux+IF(Q86&gt;0,RL_Choc_Spread,0))/10000*Flux!$D$7:$D$926))/K86)</f>
        <v>72252.674081405115</v>
      </c>
      <c r="AB86" s="13">
        <f>RL_NAV*U86*(1-SUMPRODUCT((Flux!$B$7:$B$926=B86)*Flux!$F$7:$F$926*EXP(-(RL_Choc_Taux+IF(Q86&gt;0,RL_Choc_Spread,0))/10000*Flux!$D$7:$D$926))/K86)</f>
        <v>72252.674081405115</v>
      </c>
      <c r="AC86" s="9" t="str">
        <f t="shared" si="31"/>
        <v/>
      </c>
      <c r="AD86" s="27">
        <f>SUMIF(Flux!$B$7:$B$926,B86,Flux!$F$7:$F$926)-K86</f>
        <v>0</v>
      </c>
      <c r="AE86" s="28">
        <v>4.2376186272774721</v>
      </c>
      <c r="AF86" s="21">
        <f t="shared" si="32"/>
        <v>8.904136556825696</v>
      </c>
    </row>
    <row r="87" spans="2:32" x14ac:dyDescent="0.2">
      <c r="B87" s="9" t="s">
        <v>334</v>
      </c>
      <c r="C87" s="9" t="s">
        <v>335</v>
      </c>
      <c r="D87" s="9" t="s">
        <v>336</v>
      </c>
      <c r="E87" s="19">
        <v>47133</v>
      </c>
      <c r="F87" s="20">
        <v>1.25</v>
      </c>
      <c r="G87" s="13">
        <v>14400000</v>
      </c>
      <c r="H87" s="21">
        <v>94.454499999999996</v>
      </c>
      <c r="I87" s="22">
        <v>82849.320000000007</v>
      </c>
      <c r="J87" s="22">
        <v>13684297.32</v>
      </c>
      <c r="K87" s="21">
        <f t="shared" si="22"/>
        <v>95.029842500000001</v>
      </c>
      <c r="L87" s="23">
        <v>87.083079699353661</v>
      </c>
      <c r="M87" s="24">
        <v>1.7060012094187169</v>
      </c>
      <c r="N87" s="24">
        <v>1.7630971348927931</v>
      </c>
      <c r="O87" s="24">
        <v>0</v>
      </c>
      <c r="P87" s="21">
        <f t="shared" si="23"/>
        <v>3.4690983443115098</v>
      </c>
      <c r="Q87" s="21">
        <f t="shared" si="24"/>
        <v>3.4690983443115098</v>
      </c>
      <c r="R87" s="25" t="s">
        <v>109</v>
      </c>
      <c r="S87" s="13">
        <f t="shared" si="25"/>
        <v>13684297.32</v>
      </c>
      <c r="T87" s="26">
        <f t="shared" si="26"/>
        <v>5.2789737928321959E-3</v>
      </c>
      <c r="U87" s="26">
        <f t="shared" si="27"/>
        <v>5.2789737928321959E-3</v>
      </c>
      <c r="V87" s="13">
        <f>RL_NAV*T87*(M87*Calculs!$I$13+N87*Calculs!$I$14+O87*Calculs!$I$15+AF87*Calculs!$I$22)</f>
        <v>87137.160100666486</v>
      </c>
      <c r="W87" s="13">
        <f>RL_NAV*U87*(M87*Calculs!$J$13+N87*Calculs!$J$14+O87*Calculs!$J$15+AF87*Calculs!$J$22)</f>
        <v>87137.160100666486</v>
      </c>
      <c r="X87" s="13">
        <f t="shared" si="28"/>
        <v>6367.6751581035132</v>
      </c>
      <c r="Y87" s="13">
        <f t="shared" si="29"/>
        <v>1186804.3293969608</v>
      </c>
      <c r="Z87" s="13">
        <f t="shared" si="30"/>
        <v>1186804.3293969608</v>
      </c>
      <c r="AA87" s="13">
        <f>RL_NAV*T87*(1-SUMPRODUCT((Flux!$B$7:$B$926=B87)*Flux!$F$7:$F$926*EXP(-(RL_Choc_Taux+IF(Q87&gt;0,RL_Choc_Spread,0))/10000*Flux!$D$7:$D$926))/K87)</f>
        <v>1136101.0246419411</v>
      </c>
      <c r="AB87" s="13">
        <f>RL_NAV*U87*(1-SUMPRODUCT((Flux!$B$7:$B$926=B87)*Flux!$F$7:$F$926*EXP(-(RL_Choc_Taux+IF(Q87&gt;0,RL_Choc_Spread,0))/10000*Flux!$D$7:$D$926))/K87)</f>
        <v>1136101.0246419411</v>
      </c>
      <c r="AC87" s="9" t="str">
        <f t="shared" si="31"/>
        <v/>
      </c>
      <c r="AD87" s="27">
        <f>SUMIF(Flux!$B$7:$B$926,B87,Flux!$F$7:$F$926)-K87</f>
        <v>0</v>
      </c>
      <c r="AE87" s="28">
        <v>0.80632481203105266</v>
      </c>
      <c r="AF87" s="21">
        <f t="shared" si="32"/>
        <v>2.7972200703942143</v>
      </c>
    </row>
    <row r="88" spans="2:32" x14ac:dyDescent="0.2">
      <c r="B88" s="9" t="s">
        <v>337</v>
      </c>
      <c r="C88" s="9" t="s">
        <v>338</v>
      </c>
      <c r="D88" s="9" t="s">
        <v>336</v>
      </c>
      <c r="E88" s="19">
        <v>48625</v>
      </c>
      <c r="F88" s="20">
        <v>2</v>
      </c>
      <c r="G88" s="13">
        <v>14200000</v>
      </c>
      <c r="H88" s="21">
        <v>88.916499999999999</v>
      </c>
      <c r="I88" s="22">
        <v>106597.26</v>
      </c>
      <c r="J88" s="22">
        <v>12732740.26</v>
      </c>
      <c r="K88" s="21">
        <f t="shared" si="22"/>
        <v>89.667184929577459</v>
      </c>
      <c r="L88" s="23">
        <v>121.3344391525508</v>
      </c>
      <c r="M88" s="24">
        <v>0.1348447887735906</v>
      </c>
      <c r="N88" s="24">
        <v>3.412250936609337</v>
      </c>
      <c r="O88" s="24">
        <v>3.508808001749105</v>
      </c>
      <c r="P88" s="21">
        <f t="shared" si="23"/>
        <v>7.0559037271320326</v>
      </c>
      <c r="Q88" s="21">
        <f t="shared" si="24"/>
        <v>7.0559037271320326</v>
      </c>
      <c r="R88" s="25" t="s">
        <v>109</v>
      </c>
      <c r="S88" s="13">
        <f t="shared" si="25"/>
        <v>12732740.26</v>
      </c>
      <c r="T88" s="26">
        <f t="shared" si="26"/>
        <v>4.9118928485455769E-3</v>
      </c>
      <c r="U88" s="26">
        <f t="shared" si="27"/>
        <v>4.9118928485455769E-3</v>
      </c>
      <c r="V88" s="13">
        <f>RL_NAV*T88*(M88*Calculs!$I$13+N88*Calculs!$I$14+O88*Calculs!$I$15+AF88*Calculs!$I$22)</f>
        <v>195832.59393953555</v>
      </c>
      <c r="W88" s="13">
        <f>RL_NAV*U88*(M88*Calculs!$J$13+N88*Calculs!$J$14+O88*Calculs!$J$15+AF88*Calculs!$J$22)</f>
        <v>195832.59393953555</v>
      </c>
      <c r="X88" s="13">
        <f t="shared" si="28"/>
        <v>15380.239441053011</v>
      </c>
      <c r="Y88" s="13">
        <f t="shared" si="29"/>
        <v>2246024.7364284522</v>
      </c>
      <c r="Z88" s="13">
        <f t="shared" si="30"/>
        <v>2246024.7364284522</v>
      </c>
      <c r="AA88" s="13">
        <f>RL_NAV*T88*(1-SUMPRODUCT((Flux!$B$7:$B$926=B88)*Flux!$F$7:$F$926*EXP(-(RL_Choc_Taux+IF(Q88&gt;0,RL_Choc_Spread,0))/10000*Flux!$D$7:$D$926))/K88)</f>
        <v>2050058.4361137878</v>
      </c>
      <c r="AB88" s="13">
        <f>RL_NAV*U88*(1-SUMPRODUCT((Flux!$B$7:$B$926=B88)*Flux!$F$7:$F$926*EXP(-(RL_Choc_Taux+IF(Q88&gt;0,RL_Choc_Spread,0))/10000*Flux!$D$7:$D$926))/K88)</f>
        <v>2050058.4361137878</v>
      </c>
      <c r="AC88" s="9" t="str">
        <f t="shared" si="31"/>
        <v/>
      </c>
      <c r="AD88" s="27">
        <f>SUMIF(Flux!$B$7:$B$926,B88,Flux!$F$7:$F$926)-K88</f>
        <v>0</v>
      </c>
      <c r="AE88" s="28">
        <v>1.123467029190286</v>
      </c>
      <c r="AF88" s="21">
        <f t="shared" si="32"/>
        <v>7.9270751985736911</v>
      </c>
    </row>
    <row r="89" spans="2:32" x14ac:dyDescent="0.2">
      <c r="B89" s="9" t="s">
        <v>339</v>
      </c>
      <c r="C89" s="9" t="s">
        <v>340</v>
      </c>
      <c r="D89" s="9" t="s">
        <v>341</v>
      </c>
      <c r="E89" s="19">
        <v>46824</v>
      </c>
      <c r="F89" s="20">
        <v>1.625</v>
      </c>
      <c r="G89" s="13">
        <v>3000000</v>
      </c>
      <c r="H89" s="21">
        <v>94.244</v>
      </c>
      <c r="I89" s="22">
        <v>14958.9</v>
      </c>
      <c r="J89" s="22">
        <v>2842278.9</v>
      </c>
      <c r="K89" s="21">
        <f t="shared" si="22"/>
        <v>94.742629999999991</v>
      </c>
      <c r="L89" s="23">
        <v>191.56124981147289</v>
      </c>
      <c r="M89" s="24">
        <v>2.0411474020839551</v>
      </c>
      <c r="N89" s="24">
        <v>0.60881190088224002</v>
      </c>
      <c r="O89" s="24">
        <v>0</v>
      </c>
      <c r="P89" s="21">
        <f t="shared" si="23"/>
        <v>2.6499593029661952</v>
      </c>
      <c r="Q89" s="21">
        <f t="shared" si="24"/>
        <v>2.6499593029661952</v>
      </c>
      <c r="R89" s="25" t="s">
        <v>109</v>
      </c>
      <c r="S89" s="13">
        <f t="shared" si="25"/>
        <v>2842278.9</v>
      </c>
      <c r="T89" s="26">
        <f t="shared" si="26"/>
        <v>1.0964622789283213E-3</v>
      </c>
      <c r="U89" s="26">
        <f t="shared" si="27"/>
        <v>1.0964622789283213E-3</v>
      </c>
      <c r="V89" s="13">
        <f>RL_NAV*T89*(M89*Calculs!$I$13+N89*Calculs!$I$14+O89*Calculs!$I$15+AF89*Calculs!$I$22)</f>
        <v>21714.116409046099</v>
      </c>
      <c r="W89" s="13">
        <f>RL_NAV*U89*(M89*Calculs!$J$13+N89*Calculs!$J$14+O89*Calculs!$J$15+AF89*Calculs!$J$22)</f>
        <v>21714.116409046099</v>
      </c>
      <c r="X89" s="13">
        <f t="shared" si="28"/>
        <v>7639.6853275187377</v>
      </c>
      <c r="Y89" s="13">
        <f t="shared" si="29"/>
        <v>188298.08531698809</v>
      </c>
      <c r="Z89" s="13">
        <f t="shared" si="30"/>
        <v>188298.08531698809</v>
      </c>
      <c r="AA89" s="13">
        <f>RL_NAV*T89*(1-SUMPRODUCT((Flux!$B$7:$B$926=B89)*Flux!$F$7:$F$926*EXP(-(RL_Choc_Taux+IF(Q89&gt;0,RL_Choc_Spread,0))/10000*Flux!$D$7:$D$926))/K89)</f>
        <v>182128.30746981211</v>
      </c>
      <c r="AB89" s="13">
        <f>RL_NAV*U89*(1-SUMPRODUCT((Flux!$B$7:$B$926=B89)*Flux!$F$7:$F$926*EXP(-(RL_Choc_Taux+IF(Q89&gt;0,RL_Choc_Spread,0))/10000*Flux!$D$7:$D$926))/K89)</f>
        <v>182128.30746981211</v>
      </c>
      <c r="AC89" s="9" t="str">
        <f t="shared" si="31"/>
        <v/>
      </c>
      <c r="AD89" s="27">
        <f>SUMIF(Flux!$B$7:$B$926,B89,Flux!$F$7:$F$926)-K89</f>
        <v>0</v>
      </c>
      <c r="AE89" s="28">
        <v>1.773715276032156</v>
      </c>
      <c r="AF89" s="21">
        <f t="shared" si="32"/>
        <v>4.7002732965346645</v>
      </c>
    </row>
    <row r="90" spans="2:32" x14ac:dyDescent="0.2">
      <c r="B90" s="9" t="s">
        <v>342</v>
      </c>
      <c r="C90" s="9" t="s">
        <v>343</v>
      </c>
      <c r="D90" s="9" t="s">
        <v>344</v>
      </c>
      <c r="E90" s="19">
        <v>47938</v>
      </c>
      <c r="F90" s="20">
        <v>0.875</v>
      </c>
      <c r="G90" s="13">
        <v>12000000</v>
      </c>
      <c r="H90" s="21">
        <v>86.465999999999994</v>
      </c>
      <c r="I90" s="22">
        <v>26753.42</v>
      </c>
      <c r="J90" s="22">
        <v>10402673.42</v>
      </c>
      <c r="K90" s="21">
        <f t="shared" si="22"/>
        <v>86.68894516666667</v>
      </c>
      <c r="L90" s="23">
        <v>122.4796900385096</v>
      </c>
      <c r="M90" s="24">
        <v>6.0581971733104277E-2</v>
      </c>
      <c r="N90" s="24">
        <v>4.7251292010207653</v>
      </c>
      <c r="O90" s="24">
        <v>0.82199263487461505</v>
      </c>
      <c r="P90" s="21">
        <f t="shared" si="23"/>
        <v>5.6077038076284849</v>
      </c>
      <c r="Q90" s="21">
        <f t="shared" si="24"/>
        <v>5.6077038076284849</v>
      </c>
      <c r="R90" s="25" t="s">
        <v>109</v>
      </c>
      <c r="S90" s="13">
        <f t="shared" si="25"/>
        <v>10402673.42</v>
      </c>
      <c r="T90" s="26">
        <f t="shared" si="26"/>
        <v>4.0130259578116259E-3</v>
      </c>
      <c r="U90" s="26">
        <f t="shared" si="27"/>
        <v>4.0130259578116259E-3</v>
      </c>
      <c r="V90" s="13">
        <f>RL_NAV*T90*(M90*Calculs!$I$13+N90*Calculs!$I$14+O90*Calculs!$I$15+AF90*Calculs!$I$22)</f>
        <v>129225.03515087096</v>
      </c>
      <c r="W90" s="13">
        <f>RL_NAV*U90*(M90*Calculs!$J$13+N90*Calculs!$J$14+O90*Calculs!$J$15+AF90*Calculs!$J$22)</f>
        <v>129225.03515087096</v>
      </c>
      <c r="X90" s="13">
        <f t="shared" si="28"/>
        <v>12422.290879806449</v>
      </c>
      <c r="Y90" s="13">
        <f t="shared" si="29"/>
        <v>1458377.7836712406</v>
      </c>
      <c r="Z90" s="13">
        <f t="shared" si="30"/>
        <v>1458377.7836712406</v>
      </c>
      <c r="AA90" s="13">
        <f>RL_NAV*T90*(1-SUMPRODUCT((Flux!$B$7:$B$926=B90)*Flux!$F$7:$F$926*EXP(-(RL_Choc_Taux+IF(Q90&gt;0,RL_Choc_Spread,0))/10000*Flux!$D$7:$D$926))/K90)</f>
        <v>1359285.4605464041</v>
      </c>
      <c r="AB90" s="13">
        <f>RL_NAV*U90*(1-SUMPRODUCT((Flux!$B$7:$B$926=B90)*Flux!$F$7:$F$926*EXP(-(RL_Choc_Taux+IF(Q90&gt;0,RL_Choc_Spread,0))/10000*Flux!$D$7:$D$926))/K90)</f>
        <v>1359285.4605464041</v>
      </c>
      <c r="AC90" s="9" t="str">
        <f t="shared" si="31"/>
        <v/>
      </c>
      <c r="AD90" s="27">
        <f>SUMIF(Flux!$B$7:$B$926,B90,Flux!$F$7:$F$926)-K90</f>
        <v>0</v>
      </c>
      <c r="AE90" s="28">
        <v>1.1340712040602741</v>
      </c>
      <c r="AF90" s="21">
        <f t="shared" si="32"/>
        <v>6.3595354091306193</v>
      </c>
    </row>
    <row r="91" spans="2:32" x14ac:dyDescent="0.2">
      <c r="B91" s="9" t="s">
        <v>345</v>
      </c>
      <c r="C91" s="9" t="s">
        <v>346</v>
      </c>
      <c r="D91" s="9" t="s">
        <v>347</v>
      </c>
      <c r="E91" s="19">
        <v>46865</v>
      </c>
      <c r="F91" s="20">
        <v>1.5</v>
      </c>
      <c r="G91" s="13">
        <v>5450000</v>
      </c>
      <c r="H91" s="21">
        <v>96.058499999999995</v>
      </c>
      <c r="I91" s="22">
        <v>15902.05</v>
      </c>
      <c r="J91" s="22">
        <v>5251090.3</v>
      </c>
      <c r="K91" s="21">
        <f t="shared" si="22"/>
        <v>96.350280733944942</v>
      </c>
      <c r="L91" s="23">
        <v>100.5934054102362</v>
      </c>
      <c r="M91" s="24">
        <v>2.0284944363985442</v>
      </c>
      <c r="N91" s="24">
        <v>0.73801648527580876</v>
      </c>
      <c r="O91" s="24">
        <v>0</v>
      </c>
      <c r="P91" s="21">
        <f t="shared" si="23"/>
        <v>2.7665109216743531</v>
      </c>
      <c r="Q91" s="21">
        <f t="shared" si="24"/>
        <v>2.7665109216743531</v>
      </c>
      <c r="R91" s="25" t="s">
        <v>109</v>
      </c>
      <c r="S91" s="13">
        <f t="shared" si="25"/>
        <v>5251090.3</v>
      </c>
      <c r="T91" s="26">
        <f t="shared" si="26"/>
        <v>2.025706357386815E-3</v>
      </c>
      <c r="U91" s="26">
        <f t="shared" si="27"/>
        <v>2.025706357386815E-3</v>
      </c>
      <c r="V91" s="13">
        <f>RL_NAV*T91*(M91*Calculs!$I$13+N91*Calculs!$I$14+O91*Calculs!$I$15+AF91*Calculs!$I$22)</f>
        <v>28453.608662764338</v>
      </c>
      <c r="W91" s="13">
        <f>RL_NAV*U91*(M91*Calculs!$J$13+N91*Calculs!$J$14+O91*Calculs!$J$15+AF91*Calculs!$J$22)</f>
        <v>28453.608662764338</v>
      </c>
      <c r="X91" s="13">
        <f t="shared" si="28"/>
        <v>5418.6096671703281</v>
      </c>
      <c r="Y91" s="13">
        <f t="shared" si="29"/>
        <v>363179.96664120647</v>
      </c>
      <c r="Z91" s="13">
        <f t="shared" si="30"/>
        <v>363179.96664120647</v>
      </c>
      <c r="AA91" s="13">
        <f>RL_NAV*T91*(1-SUMPRODUCT((Flux!$B$7:$B$926=B91)*Flux!$F$7:$F$926*EXP(-(RL_Choc_Taux+IF(Q91&gt;0,RL_Choc_Spread,0))/10000*Flux!$D$7:$D$926))/K91)</f>
        <v>350790.7649196093</v>
      </c>
      <c r="AB91" s="13">
        <f>RL_NAV*U91*(1-SUMPRODUCT((Flux!$B$7:$B$926=B91)*Flux!$F$7:$F$926*EXP(-(RL_Choc_Taux+IF(Q91&gt;0,RL_Choc_Spread,0))/10000*Flux!$D$7:$D$926))/K91)</f>
        <v>350790.7649196093</v>
      </c>
      <c r="AC91" s="9" t="str">
        <f t="shared" si="31"/>
        <v/>
      </c>
      <c r="AD91" s="27">
        <f>SUMIF(Flux!$B$7:$B$926,B91,Flux!$F$7:$F$926)-K91</f>
        <v>0</v>
      </c>
      <c r="AE91" s="28">
        <v>0.93142042046515006</v>
      </c>
      <c r="AF91" s="21">
        <f t="shared" si="32"/>
        <v>2.5767847658873557</v>
      </c>
    </row>
    <row r="92" spans="2:32" x14ac:dyDescent="0.2">
      <c r="B92" s="9" t="s">
        <v>348</v>
      </c>
      <c r="C92" s="9" t="s">
        <v>349</v>
      </c>
      <c r="D92" s="9" t="s">
        <v>350</v>
      </c>
      <c r="E92" s="19">
        <v>47250</v>
      </c>
      <c r="F92" s="20">
        <v>1.125</v>
      </c>
      <c r="G92" s="13">
        <v>6000000</v>
      </c>
      <c r="H92" s="21">
        <v>92.926500000000004</v>
      </c>
      <c r="I92" s="22">
        <v>9431.51</v>
      </c>
      <c r="J92" s="22">
        <v>5585021.5099999998</v>
      </c>
      <c r="K92" s="21">
        <f t="shared" si="22"/>
        <v>93.083691833333333</v>
      </c>
      <c r="L92" s="23">
        <v>100.9376611916959</v>
      </c>
      <c r="M92" s="24">
        <v>1.4654854319433399</v>
      </c>
      <c r="N92" s="24">
        <v>2.330943576968092</v>
      </c>
      <c r="O92" s="24">
        <v>0</v>
      </c>
      <c r="P92" s="21">
        <f t="shared" si="23"/>
        <v>3.7964290089114319</v>
      </c>
      <c r="Q92" s="21">
        <f t="shared" si="24"/>
        <v>3.7964290089114319</v>
      </c>
      <c r="R92" s="25" t="s">
        <v>109</v>
      </c>
      <c r="S92" s="13">
        <f t="shared" si="25"/>
        <v>5585021.5099999998</v>
      </c>
      <c r="T92" s="26">
        <f t="shared" si="26"/>
        <v>2.1545265711673455E-3</v>
      </c>
      <c r="U92" s="26">
        <f t="shared" si="27"/>
        <v>2.1545265711673455E-3</v>
      </c>
      <c r="V92" s="13">
        <f>RL_NAV*T92*(M92*Calculs!$I$13+N92*Calculs!$I$14+O92*Calculs!$I$15+AF92*Calculs!$I$22)</f>
        <v>42045.934976246273</v>
      </c>
      <c r="W92" s="13">
        <f>RL_NAV*U92*(M92*Calculs!$J$13+N92*Calculs!$J$14+O92*Calculs!$J$15+AF92*Calculs!$J$22)</f>
        <v>42045.934976246273</v>
      </c>
      <c r="X92" s="13">
        <f t="shared" si="28"/>
        <v>7528.3389510609559</v>
      </c>
      <c r="Y92" s="13">
        <f t="shared" si="29"/>
        <v>530078.44189895818</v>
      </c>
      <c r="Z92" s="13">
        <f t="shared" si="30"/>
        <v>530078.44189895818</v>
      </c>
      <c r="AA92" s="13">
        <f>RL_NAV*T92*(1-SUMPRODUCT((Flux!$B$7:$B$926=B92)*Flux!$F$7:$F$926*EXP(-(RL_Choc_Taux+IF(Q92&gt;0,RL_Choc_Spread,0))/10000*Flux!$D$7:$D$926))/K92)</f>
        <v>505444.11698748119</v>
      </c>
      <c r="AB92" s="13">
        <f>RL_NAV*U92*(1-SUMPRODUCT((Flux!$B$7:$B$926=B92)*Flux!$F$7:$F$926*EXP(-(RL_Choc_Taux+IF(Q92&gt;0,RL_Choc_Spread,0))/10000*Flux!$D$7:$D$926))/K92)</f>
        <v>505444.11698748119</v>
      </c>
      <c r="AC92" s="9" t="str">
        <f t="shared" si="31"/>
        <v/>
      </c>
      <c r="AD92" s="27">
        <f>SUMIF(Flux!$B$7:$B$926,B92,Flux!$F$7:$F$926)-K92</f>
        <v>0</v>
      </c>
      <c r="AE92" s="28">
        <v>0.93460797399718432</v>
      </c>
      <c r="AF92" s="21">
        <f t="shared" si="32"/>
        <v>3.5481728244428519</v>
      </c>
    </row>
    <row r="93" spans="2:32" x14ac:dyDescent="0.2">
      <c r="B93" s="9" t="s">
        <v>351</v>
      </c>
      <c r="C93" s="9" t="s">
        <v>352</v>
      </c>
      <c r="D93" s="9" t="s">
        <v>353</v>
      </c>
      <c r="E93" s="19">
        <v>46901</v>
      </c>
      <c r="F93" s="20">
        <v>1.125</v>
      </c>
      <c r="G93" s="13">
        <v>13325000</v>
      </c>
      <c r="H93" s="21">
        <v>95.581500000000005</v>
      </c>
      <c r="I93" s="22">
        <v>14374.57</v>
      </c>
      <c r="J93" s="22">
        <v>12750609.449999999</v>
      </c>
      <c r="K93" s="21">
        <f t="shared" si="22"/>
        <v>95.689376735459646</v>
      </c>
      <c r="L93" s="23">
        <v>74.711910302737323</v>
      </c>
      <c r="M93" s="24">
        <v>2.013036768431232</v>
      </c>
      <c r="N93" s="24">
        <v>0.86310444697886135</v>
      </c>
      <c r="O93" s="24">
        <v>0</v>
      </c>
      <c r="P93" s="21">
        <f t="shared" si="23"/>
        <v>2.8761412154100934</v>
      </c>
      <c r="Q93" s="21">
        <f t="shared" si="24"/>
        <v>2.8761412154100934</v>
      </c>
      <c r="R93" s="25" t="s">
        <v>109</v>
      </c>
      <c r="S93" s="13">
        <f t="shared" si="25"/>
        <v>12750609.449999999</v>
      </c>
      <c r="T93" s="26">
        <f t="shared" si="26"/>
        <v>4.9187862230099903E-3</v>
      </c>
      <c r="U93" s="26">
        <f t="shared" si="27"/>
        <v>4.9187862230099903E-3</v>
      </c>
      <c r="V93" s="13">
        <f>RL_NAV*T93*(M93*Calculs!$I$13+N93*Calculs!$I$14+O93*Calculs!$I$15+AF93*Calculs!$I$22)</f>
        <v>62234.701061113155</v>
      </c>
      <c r="W93" s="13">
        <f>RL_NAV*U93*(M93*Calculs!$J$13+N93*Calculs!$J$14+O93*Calculs!$J$15+AF93*Calculs!$J$22)</f>
        <v>62234.701061113155</v>
      </c>
      <c r="X93" s="13">
        <f t="shared" si="28"/>
        <v>4880.9197164385869</v>
      </c>
      <c r="Y93" s="13">
        <f t="shared" si="29"/>
        <v>916813.83401856059</v>
      </c>
      <c r="Z93" s="13">
        <f t="shared" si="30"/>
        <v>916813.83401856059</v>
      </c>
      <c r="AA93" s="13">
        <f>RL_NAV*T93*(1-SUMPRODUCT((Flux!$B$7:$B$926=B93)*Flux!$F$7:$F$926*EXP(-(RL_Choc_Taux+IF(Q93&gt;0,RL_Choc_Spread,0))/10000*Flux!$D$7:$D$926))/K93)</f>
        <v>884417.83446433756</v>
      </c>
      <c r="AB93" s="13">
        <f>RL_NAV*U93*(1-SUMPRODUCT((Flux!$B$7:$B$926=B93)*Flux!$F$7:$F$926*EXP(-(RL_Choc_Taux+IF(Q93&gt;0,RL_Choc_Spread,0))/10000*Flux!$D$7:$D$926))/K93)</f>
        <v>884417.83446433756</v>
      </c>
      <c r="AC93" s="9" t="str">
        <f t="shared" si="31"/>
        <v/>
      </c>
      <c r="AD93" s="27">
        <f>SUMIF(Flux!$B$7:$B$926,B93,Flux!$F$7:$F$926)-K93</f>
        <v>0</v>
      </c>
      <c r="AE93" s="28">
        <v>0.69177694724756789</v>
      </c>
      <c r="AF93" s="21">
        <f t="shared" si="32"/>
        <v>1.9896481898493039</v>
      </c>
    </row>
    <row r="94" spans="2:32" x14ac:dyDescent="0.2">
      <c r="B94" s="9" t="s">
        <v>354</v>
      </c>
      <c r="C94" s="9" t="s">
        <v>355</v>
      </c>
      <c r="D94" s="9" t="s">
        <v>356</v>
      </c>
      <c r="E94" s="19">
        <v>47499</v>
      </c>
      <c r="F94" s="20">
        <v>1</v>
      </c>
      <c r="G94" s="13">
        <v>10000000</v>
      </c>
      <c r="H94" s="21">
        <v>90.097499999999997</v>
      </c>
      <c r="I94" s="22">
        <v>45753.42</v>
      </c>
      <c r="J94" s="22">
        <v>9055503.4199999999</v>
      </c>
      <c r="K94" s="21">
        <f t="shared" si="22"/>
        <v>90.555034199999994</v>
      </c>
      <c r="L94" s="23">
        <v>122.2027431818386</v>
      </c>
      <c r="M94" s="24">
        <v>0.71778710827831749</v>
      </c>
      <c r="N94" s="24">
        <v>3.7244925691797599</v>
      </c>
      <c r="O94" s="24">
        <v>0</v>
      </c>
      <c r="P94" s="21">
        <f t="shared" si="23"/>
        <v>4.4422796774580773</v>
      </c>
      <c r="Q94" s="21">
        <f t="shared" si="24"/>
        <v>4.4422796774580773</v>
      </c>
      <c r="R94" s="25" t="s">
        <v>109</v>
      </c>
      <c r="S94" s="13">
        <f t="shared" si="25"/>
        <v>9055503.4199999999</v>
      </c>
      <c r="T94" s="26">
        <f t="shared" si="26"/>
        <v>3.4933299180233187E-3</v>
      </c>
      <c r="U94" s="26">
        <f t="shared" si="27"/>
        <v>3.4933299180233187E-3</v>
      </c>
      <c r="V94" s="13">
        <f>RL_NAV*T94*(M94*Calculs!$I$13+N94*Calculs!$I$14+O94*Calculs!$I$15+AF94*Calculs!$I$22)</f>
        <v>89025.5286540753</v>
      </c>
      <c r="W94" s="13">
        <f>RL_NAV*U94*(M94*Calculs!$J$13+N94*Calculs!$J$14+O94*Calculs!$J$15+AF94*Calculs!$J$22)</f>
        <v>89025.5286540753</v>
      </c>
      <c r="X94" s="13">
        <f t="shared" si="28"/>
        <v>9831.0965746480051</v>
      </c>
      <c r="Y94" s="13">
        <f t="shared" si="29"/>
        <v>1005676.9702954529</v>
      </c>
      <c r="Z94" s="13">
        <f t="shared" si="30"/>
        <v>1005676.9702954529</v>
      </c>
      <c r="AA94" s="13">
        <f>RL_NAV*T94*(1-SUMPRODUCT((Flux!$B$7:$B$926=B94)*Flux!$F$7:$F$926*EXP(-(RL_Choc_Taux+IF(Q94&gt;0,RL_Choc_Spread,0))/10000*Flux!$D$7:$D$926))/K94)</f>
        <v>951042.98744307877</v>
      </c>
      <c r="AB94" s="13">
        <f>RL_NAV*U94*(1-SUMPRODUCT((Flux!$B$7:$B$926=B94)*Flux!$F$7:$F$926*EXP(-(RL_Choc_Taux+IF(Q94&gt;0,RL_Choc_Spread,0))/10000*Flux!$D$7:$D$926))/K94)</f>
        <v>951042.98744307877</v>
      </c>
      <c r="AC94" s="9" t="str">
        <f t="shared" si="31"/>
        <v/>
      </c>
      <c r="AD94" s="27">
        <f>SUMIF(Flux!$B$7:$B$926,B94,Flux!$F$7:$F$926)-K94</f>
        <v>0</v>
      </c>
      <c r="AE94" s="28">
        <v>1.13150688131332</v>
      </c>
      <c r="AF94" s="21">
        <f t="shared" si="32"/>
        <v>5.0264700237621298</v>
      </c>
    </row>
    <row r="95" spans="2:32" x14ac:dyDescent="0.2">
      <c r="B95" s="9" t="s">
        <v>357</v>
      </c>
      <c r="C95" s="9" t="s">
        <v>358</v>
      </c>
      <c r="D95" s="9" t="s">
        <v>359</v>
      </c>
      <c r="E95" s="19">
        <v>46918</v>
      </c>
      <c r="F95" s="20">
        <v>0.75</v>
      </c>
      <c r="G95" s="13">
        <v>4350000</v>
      </c>
      <c r="H95" s="21">
        <v>94.15</v>
      </c>
      <c r="I95" s="22">
        <v>1608.9</v>
      </c>
      <c r="J95" s="22">
        <v>4097133.9</v>
      </c>
      <c r="K95" s="21">
        <f t="shared" si="22"/>
        <v>94.186986206896549</v>
      </c>
      <c r="L95" s="23">
        <v>85.586546884676252</v>
      </c>
      <c r="M95" s="24">
        <v>2.0050968001359428</v>
      </c>
      <c r="N95" s="24">
        <v>0.92868248810684284</v>
      </c>
      <c r="O95" s="24">
        <v>0</v>
      </c>
      <c r="P95" s="21">
        <f t="shared" si="23"/>
        <v>2.9337792882427856</v>
      </c>
      <c r="Q95" s="21">
        <f t="shared" si="24"/>
        <v>2.9337792882427856</v>
      </c>
      <c r="R95" s="25" t="s">
        <v>109</v>
      </c>
      <c r="S95" s="13">
        <f t="shared" si="25"/>
        <v>4097133.9</v>
      </c>
      <c r="T95" s="26">
        <f t="shared" si="26"/>
        <v>1.5805460797912833E-3</v>
      </c>
      <c r="U95" s="26">
        <f t="shared" si="27"/>
        <v>1.5805460797912833E-3</v>
      </c>
      <c r="V95" s="13">
        <f>RL_NAV*T95*(M95*Calculs!$I$13+N95*Calculs!$I$14+O95*Calculs!$I$15+AF95*Calculs!$I$22)</f>
        <v>21741.767209555488</v>
      </c>
      <c r="W95" s="13">
        <f>RL_NAV*U95*(M95*Calculs!$J$13+N95*Calculs!$J$14+O95*Calculs!$J$15+AF95*Calculs!$J$22)</f>
        <v>21741.767209555488</v>
      </c>
      <c r="X95" s="13">
        <f t="shared" si="28"/>
        <v>5306.5796091154079</v>
      </c>
      <c r="Y95" s="13">
        <f t="shared" si="29"/>
        <v>300502.16442443471</v>
      </c>
      <c r="Z95" s="13">
        <f t="shared" si="30"/>
        <v>300502.16442443471</v>
      </c>
      <c r="AA95" s="13">
        <f>RL_NAV*T95*(1-SUMPRODUCT((Flux!$B$7:$B$926=B95)*Flux!$F$7:$F$926*EXP(-(RL_Choc_Taux+IF(Q95&gt;0,RL_Choc_Spread,0))/10000*Flux!$D$7:$D$926))/K95)</f>
        <v>289700.58374540793</v>
      </c>
      <c r="AB95" s="13">
        <f>RL_NAV*U95*(1-SUMPRODUCT((Flux!$B$7:$B$926=B95)*Flux!$F$7:$F$926*EXP(-(RL_Choc_Taux+IF(Q95&gt;0,RL_Choc_Spread,0))/10000*Flux!$D$7:$D$926))/K95)</f>
        <v>289700.58374540793</v>
      </c>
      <c r="AC95" s="9" t="str">
        <f t="shared" si="31"/>
        <v/>
      </c>
      <c r="AD95" s="27">
        <f>SUMIF(Flux!$B$7:$B$926,B95,Flux!$F$7:$F$926)-K95</f>
        <v>0</v>
      </c>
      <c r="AE95" s="28">
        <v>0.79246802670996552</v>
      </c>
      <c r="AF95" s="21">
        <f t="shared" si="32"/>
        <v>2.3249262833563273</v>
      </c>
    </row>
    <row r="96" spans="2:32" x14ac:dyDescent="0.2">
      <c r="B96" s="9" t="s">
        <v>360</v>
      </c>
      <c r="C96" s="9" t="s">
        <v>361</v>
      </c>
      <c r="D96" s="9" t="s">
        <v>362</v>
      </c>
      <c r="E96" s="19">
        <v>47312</v>
      </c>
      <c r="F96" s="20">
        <v>1.288</v>
      </c>
      <c r="G96" s="13">
        <v>12800000</v>
      </c>
      <c r="H96" s="21">
        <v>92.762500000000003</v>
      </c>
      <c r="I96" s="22">
        <v>159895.5</v>
      </c>
      <c r="J96" s="22">
        <v>12033495.5</v>
      </c>
      <c r="K96" s="21">
        <f t="shared" si="22"/>
        <v>94.011683593749993</v>
      </c>
      <c r="L96" s="23">
        <v>112.3646576105634</v>
      </c>
      <c r="M96" s="24">
        <v>1.2943812535476089</v>
      </c>
      <c r="N96" s="24">
        <v>2.608318895352292</v>
      </c>
      <c r="O96" s="24">
        <v>0</v>
      </c>
      <c r="P96" s="21">
        <f t="shared" si="23"/>
        <v>3.9027001488999007</v>
      </c>
      <c r="Q96" s="21">
        <f t="shared" si="24"/>
        <v>3.9027001488999007</v>
      </c>
      <c r="R96" s="25" t="s">
        <v>109</v>
      </c>
      <c r="S96" s="13">
        <f t="shared" si="25"/>
        <v>12033495.5</v>
      </c>
      <c r="T96" s="26">
        <f t="shared" si="26"/>
        <v>4.6421460960089809E-3</v>
      </c>
      <c r="U96" s="26">
        <f t="shared" si="27"/>
        <v>4.6421460960089809E-3</v>
      </c>
      <c r="V96" s="13">
        <f>RL_NAV*T96*(M96*Calculs!$I$13+N96*Calculs!$I$14+O96*Calculs!$I$15+AF96*Calculs!$I$22)</f>
        <v>98747.301113574533</v>
      </c>
      <c r="W96" s="13">
        <f>RL_NAV*U96*(M96*Calculs!$J$13+N96*Calculs!$J$14+O96*Calculs!$J$15+AF96*Calculs!$J$22)</f>
        <v>98747.301113574533</v>
      </c>
      <c r="X96" s="13">
        <f t="shared" si="28"/>
        <v>8206.0363186718714</v>
      </c>
      <c r="Y96" s="13">
        <f t="shared" si="29"/>
        <v>1174078.1169909071</v>
      </c>
      <c r="Z96" s="13">
        <f t="shared" si="30"/>
        <v>1174078.1169909071</v>
      </c>
      <c r="AA96" s="13">
        <f>RL_NAV*T96*(1-SUMPRODUCT((Flux!$B$7:$B$926=B96)*Flux!$F$7:$F$926*EXP(-(RL_Choc_Taux+IF(Q96&gt;0,RL_Choc_Spread,0))/10000*Flux!$D$7:$D$926))/K96)</f>
        <v>1117272.2590409436</v>
      </c>
      <c r="AB96" s="13">
        <f>RL_NAV*U96*(1-SUMPRODUCT((Flux!$B$7:$B$926=B96)*Flux!$F$7:$F$926*EXP(-(RL_Choc_Taux+IF(Q96&gt;0,RL_Choc_Spread,0))/10000*Flux!$D$7:$D$926))/K96)</f>
        <v>1117272.2590409436</v>
      </c>
      <c r="AC96" s="9" t="str">
        <f t="shared" si="31"/>
        <v/>
      </c>
      <c r="AD96" s="27">
        <f>SUMIF(Flux!$B$7:$B$926,B96,Flux!$F$7:$F$926)-K96</f>
        <v>0</v>
      </c>
      <c r="AE96" s="28">
        <v>1.0404134963941061</v>
      </c>
      <c r="AF96" s="21">
        <f t="shared" si="32"/>
        <v>4.0604219072947441</v>
      </c>
    </row>
    <row r="97" spans="2:32" x14ac:dyDescent="0.2">
      <c r="B97" s="9" t="s">
        <v>363</v>
      </c>
      <c r="C97" s="9" t="s">
        <v>364</v>
      </c>
      <c r="D97" s="9" t="s">
        <v>365</v>
      </c>
      <c r="E97" s="19">
        <v>46954</v>
      </c>
      <c r="F97" s="20">
        <v>2.25</v>
      </c>
      <c r="G97" s="13">
        <v>27300000</v>
      </c>
      <c r="H97" s="21">
        <v>93.627499999999998</v>
      </c>
      <c r="I97" s="22">
        <v>583958.22</v>
      </c>
      <c r="J97" s="22">
        <v>26144265.719999999</v>
      </c>
      <c r="K97" s="21">
        <f t="shared" si="22"/>
        <v>95.766541098901087</v>
      </c>
      <c r="L97" s="23">
        <v>247.29343781329891</v>
      </c>
      <c r="M97" s="24">
        <v>1.915341234317977</v>
      </c>
      <c r="N97" s="24">
        <v>1.0032944967558499</v>
      </c>
      <c r="O97" s="24">
        <v>0</v>
      </c>
      <c r="P97" s="21">
        <f t="shared" si="23"/>
        <v>2.9186357310738269</v>
      </c>
      <c r="Q97" s="21">
        <f t="shared" si="24"/>
        <v>2.9186357310738269</v>
      </c>
      <c r="R97" s="25" t="s">
        <v>109</v>
      </c>
      <c r="S97" s="13">
        <f t="shared" si="25"/>
        <v>26144265.719999999</v>
      </c>
      <c r="T97" s="26">
        <f t="shared" si="26"/>
        <v>1.0085639791457057E-2</v>
      </c>
      <c r="U97" s="26">
        <f t="shared" si="27"/>
        <v>1.0085639791457057E-2</v>
      </c>
      <c r="V97" s="13">
        <f>RL_NAV*T97*(M97*Calculs!$I$13+N97*Calculs!$I$14+O97*Calculs!$I$15+AF97*Calculs!$I$22)</f>
        <v>263821.61084914184</v>
      </c>
      <c r="W97" s="13">
        <f>RL_NAV*U97*(M97*Calculs!$J$13+N97*Calculs!$J$14+O97*Calculs!$J$15+AF97*Calculs!$J$22)</f>
        <v>263821.61084914184</v>
      </c>
      <c r="X97" s="13">
        <f t="shared" si="28"/>
        <v>10090.993324296043</v>
      </c>
      <c r="Y97" s="13">
        <f t="shared" si="29"/>
        <v>1907639.7023270146</v>
      </c>
      <c r="Z97" s="13">
        <f t="shared" si="30"/>
        <v>1907639.7023270146</v>
      </c>
      <c r="AA97" s="13">
        <f>RL_NAV*T97*(1-SUMPRODUCT((Flux!$B$7:$B$926=B97)*Flux!$F$7:$F$926*EXP(-(RL_Choc_Taux+IF(Q97&gt;0,RL_Choc_Spread,0))/10000*Flux!$D$7:$D$926))/K97)</f>
        <v>1837352.4187954527</v>
      </c>
      <c r="AB97" s="13">
        <f>RL_NAV*U97*(1-SUMPRODUCT((Flux!$B$7:$B$926=B97)*Flux!$F$7:$F$926*EXP(-(RL_Choc_Taux+IF(Q97&gt;0,RL_Choc_Spread,0))/10000*Flux!$D$7:$D$926))/K97)</f>
        <v>1837352.4187954527</v>
      </c>
      <c r="AC97" s="9" t="str">
        <f t="shared" si="31"/>
        <v/>
      </c>
      <c r="AD97" s="27">
        <f>SUMIF(Flux!$B$7:$B$926,B97,Flux!$F$7:$F$926)-K97</f>
        <v>0</v>
      </c>
      <c r="AE97" s="28">
        <v>2.2897540538268419</v>
      </c>
      <c r="AF97" s="21">
        <f t="shared" si="32"/>
        <v>6.6829579968701633</v>
      </c>
    </row>
    <row r="98" spans="2:32" x14ac:dyDescent="0.2">
      <c r="B98" s="9" t="s">
        <v>366</v>
      </c>
      <c r="C98" s="9" t="s">
        <v>367</v>
      </c>
      <c r="D98" s="9" t="s">
        <v>368</v>
      </c>
      <c r="E98" s="19">
        <v>48823</v>
      </c>
      <c r="F98" s="20">
        <v>0.75</v>
      </c>
      <c r="G98" s="13">
        <v>5000000</v>
      </c>
      <c r="H98" s="21">
        <v>80.144000000000005</v>
      </c>
      <c r="I98" s="22">
        <v>31232.880000000001</v>
      </c>
      <c r="J98" s="22">
        <v>4038432.88</v>
      </c>
      <c r="K98" s="21">
        <f t="shared" si="22"/>
        <v>80.768657599999997</v>
      </c>
      <c r="L98" s="23">
        <v>105.48835564302649</v>
      </c>
      <c r="M98" s="24">
        <v>5.5638117712194082E-2</v>
      </c>
      <c r="N98" s="24">
        <v>2.9299181309916471</v>
      </c>
      <c r="O98" s="24">
        <v>4.8771312266383546</v>
      </c>
      <c r="P98" s="21">
        <f t="shared" si="23"/>
        <v>7.862687475342196</v>
      </c>
      <c r="Q98" s="21">
        <f t="shared" si="24"/>
        <v>7.862687475342196</v>
      </c>
      <c r="R98" s="25" t="s">
        <v>109</v>
      </c>
      <c r="S98" s="13">
        <f t="shared" si="25"/>
        <v>4038432.88</v>
      </c>
      <c r="T98" s="26">
        <f t="shared" si="26"/>
        <v>1.5579010627366175E-3</v>
      </c>
      <c r="U98" s="26">
        <f t="shared" si="27"/>
        <v>1.5579010627366175E-3</v>
      </c>
      <c r="V98" s="13">
        <f>RL_NAV*T98*(M98*Calculs!$I$13+N98*Calculs!$I$14+O98*Calculs!$I$15+AF98*Calculs!$I$22)</f>
        <v>63852.909073984563</v>
      </c>
      <c r="W98" s="13">
        <f>RL_NAV*U98*(M98*Calculs!$J$13+N98*Calculs!$J$14+O98*Calculs!$J$15+AF98*Calculs!$J$22)</f>
        <v>63852.909073984563</v>
      </c>
      <c r="X98" s="13">
        <f t="shared" si="28"/>
        <v>15811.308735675846</v>
      </c>
      <c r="Y98" s="13">
        <f t="shared" si="29"/>
        <v>793823.39063965285</v>
      </c>
      <c r="Z98" s="13">
        <f t="shared" si="30"/>
        <v>793823.39063965285</v>
      </c>
      <c r="AA98" s="13">
        <f>RL_NAV*T98*(1-SUMPRODUCT((Flux!$B$7:$B$926=B98)*Flux!$F$7:$F$926*EXP(-(RL_Choc_Taux+IF(Q98&gt;0,RL_Choc_Spread,0))/10000*Flux!$D$7:$D$926))/K98)</f>
        <v>718823.19636983122</v>
      </c>
      <c r="AB98" s="13">
        <f>RL_NAV*U98*(1-SUMPRODUCT((Flux!$B$7:$B$926=B98)*Flux!$F$7:$F$926*EXP(-(RL_Choc_Taux+IF(Q98&gt;0,RL_Choc_Spread,0))/10000*Flux!$D$7:$D$926))/K98)</f>
        <v>718823.19636983122</v>
      </c>
      <c r="AC98" s="9" t="str">
        <f t="shared" si="31"/>
        <v/>
      </c>
      <c r="AD98" s="27">
        <f>SUMIF(Flux!$B$7:$B$926,B98,Flux!$F$7:$F$926)-K98</f>
        <v>0</v>
      </c>
      <c r="AE98" s="28">
        <v>0.97674403373172702</v>
      </c>
      <c r="AF98" s="21">
        <f t="shared" si="32"/>
        <v>7.6798330806376658</v>
      </c>
    </row>
    <row r="99" spans="2:32" x14ac:dyDescent="0.2">
      <c r="B99" s="9" t="s">
        <v>369</v>
      </c>
      <c r="C99" s="9" t="s">
        <v>370</v>
      </c>
      <c r="D99" s="9" t="s">
        <v>371</v>
      </c>
      <c r="E99" s="19">
        <v>47378</v>
      </c>
      <c r="F99" s="20">
        <v>0.875</v>
      </c>
      <c r="G99" s="13">
        <v>200000</v>
      </c>
      <c r="H99" s="21">
        <v>90.1785</v>
      </c>
      <c r="I99" s="22">
        <v>1380.82</v>
      </c>
      <c r="J99" s="22">
        <v>181737.82</v>
      </c>
      <c r="K99" s="21">
        <f t="shared" si="22"/>
        <v>90.86891</v>
      </c>
      <c r="L99" s="23">
        <v>128.44708725155169</v>
      </c>
      <c r="M99" s="24">
        <v>1.109644407491994</v>
      </c>
      <c r="N99" s="24">
        <v>3.013934625764239</v>
      </c>
      <c r="O99" s="24">
        <v>0</v>
      </c>
      <c r="P99" s="21">
        <f t="shared" si="23"/>
        <v>4.1235790332562328</v>
      </c>
      <c r="Q99" s="21">
        <f t="shared" si="24"/>
        <v>4.1235790332562328</v>
      </c>
      <c r="R99" s="25" t="s">
        <v>109</v>
      </c>
      <c r="S99" s="13">
        <f t="shared" si="25"/>
        <v>181737.82</v>
      </c>
      <c r="T99" s="26">
        <f t="shared" si="26"/>
        <v>7.0108765288538392E-5</v>
      </c>
      <c r="U99" s="26">
        <f t="shared" si="27"/>
        <v>7.0108765288538392E-5</v>
      </c>
      <c r="V99" s="13">
        <f>RL_NAV*T99*(M99*Calculs!$I$13+N99*Calculs!$I$14+O99*Calculs!$I$15+AF99*Calculs!$I$22)</f>
        <v>1701.3236049616919</v>
      </c>
      <c r="W99" s="13">
        <f>RL_NAV*U99*(M99*Calculs!$J$13+N99*Calculs!$J$14+O99*Calculs!$J$15+AF99*Calculs!$J$22)</f>
        <v>1701.3236049616919</v>
      </c>
      <c r="X99" s="13">
        <f t="shared" si="28"/>
        <v>9361.4174802013786</v>
      </c>
      <c r="Y99" s="13">
        <f t="shared" si="29"/>
        <v>18735.256602542384</v>
      </c>
      <c r="Z99" s="13">
        <f t="shared" si="30"/>
        <v>18735.256602542384</v>
      </c>
      <c r="AA99" s="13">
        <f>RL_NAV*T99*(1-SUMPRODUCT((Flux!$B$7:$B$926=B99)*Flux!$F$7:$F$926*EXP(-(RL_Choc_Taux+IF(Q99&gt;0,RL_Choc_Spread,0))/10000*Flux!$D$7:$D$926))/K99)</f>
        <v>17787.559605845527</v>
      </c>
      <c r="AB99" s="13">
        <f>RL_NAV*U99*(1-SUMPRODUCT((Flux!$B$7:$B$926=B99)*Flux!$F$7:$F$926*EXP(-(RL_Choc_Taux+IF(Q99&gt;0,RL_Choc_Spread,0))/10000*Flux!$D$7:$D$926))/K99)</f>
        <v>17787.559605845527</v>
      </c>
      <c r="AC99" s="9" t="str">
        <f t="shared" si="31"/>
        <v/>
      </c>
      <c r="AD99" s="27">
        <f>SUMIF(Flux!$B$7:$B$926,B99,Flux!$F$7:$F$926)-K99</f>
        <v>0</v>
      </c>
      <c r="AE99" s="28">
        <v>1.189324881958812</v>
      </c>
      <c r="AF99" s="21">
        <f t="shared" si="32"/>
        <v>4.9042751469753014</v>
      </c>
    </row>
    <row r="100" spans="2:32" x14ac:dyDescent="0.2">
      <c r="B100" s="9" t="s">
        <v>372</v>
      </c>
      <c r="C100" s="9" t="s">
        <v>373</v>
      </c>
      <c r="D100" s="9" t="s">
        <v>374</v>
      </c>
      <c r="E100" s="19">
        <v>49215</v>
      </c>
      <c r="F100" s="20">
        <v>0.875</v>
      </c>
      <c r="G100" s="13">
        <v>20000000</v>
      </c>
      <c r="H100" s="21">
        <v>78.721000000000004</v>
      </c>
      <c r="I100" s="22">
        <v>132808.22</v>
      </c>
      <c r="J100" s="22">
        <v>15877008.220000001</v>
      </c>
      <c r="K100" s="21">
        <f t="shared" si="22"/>
        <v>79.385041099999995</v>
      </c>
      <c r="L100" s="23">
        <v>97.389399990744508</v>
      </c>
      <c r="M100" s="24">
        <v>6.6604008394628489E-2</v>
      </c>
      <c r="N100" s="24">
        <v>1.466971258756149</v>
      </c>
      <c r="O100" s="24">
        <v>7.2577465412368642</v>
      </c>
      <c r="P100" s="21">
        <f t="shared" si="23"/>
        <v>8.7913218083876412</v>
      </c>
      <c r="Q100" s="21">
        <f t="shared" si="24"/>
        <v>8.7913218083876412</v>
      </c>
      <c r="R100" s="25" t="s">
        <v>109</v>
      </c>
      <c r="S100" s="13">
        <f t="shared" si="25"/>
        <v>15877008.220000001</v>
      </c>
      <c r="T100" s="26">
        <f t="shared" si="26"/>
        <v>6.12485305909455E-3</v>
      </c>
      <c r="U100" s="26">
        <f t="shared" si="27"/>
        <v>6.12485305909455E-3</v>
      </c>
      <c r="V100" s="13">
        <f>RL_NAV*T100*(M100*Calculs!$I$13+N100*Calculs!$I$14+O100*Calculs!$I$15+AF100*Calculs!$I$22)</f>
        <v>267264.81362368533</v>
      </c>
      <c r="W100" s="13">
        <f>RL_NAV*U100*(M100*Calculs!$J$13+N100*Calculs!$J$14+O100*Calculs!$J$15+AF100*Calculs!$J$22)</f>
        <v>267264.81362368533</v>
      </c>
      <c r="X100" s="13">
        <f t="shared" si="28"/>
        <v>16833.449345136469</v>
      </c>
      <c r="Y100" s="13">
        <f t="shared" si="29"/>
        <v>3489497.2154108961</v>
      </c>
      <c r="Z100" s="13">
        <f t="shared" si="30"/>
        <v>3489497.2154108961</v>
      </c>
      <c r="AA100" s="13">
        <f>RL_NAV*T100*(1-SUMPRODUCT((Flux!$B$7:$B$926=B100)*Flux!$F$7:$F$926*EXP(-(RL_Choc_Taux+IF(Q100&gt;0,RL_Choc_Spread,0))/10000*Flux!$D$7:$D$926))/K100)</f>
        <v>3121113.9355023243</v>
      </c>
      <c r="AB100" s="13">
        <f>RL_NAV*U100*(1-SUMPRODUCT((Flux!$B$7:$B$926=B100)*Flux!$F$7:$F$926*EXP(-(RL_Choc_Taux+IF(Q100&gt;0,RL_Choc_Spread,0))/10000*Flux!$D$7:$D$926))/K100)</f>
        <v>3121113.9355023243</v>
      </c>
      <c r="AC100" s="9" t="str">
        <f t="shared" si="31"/>
        <v/>
      </c>
      <c r="AD100" s="27">
        <f>SUMIF(Flux!$B$7:$B$926,B100,Flux!$F$7:$F$926)-K100</f>
        <v>0</v>
      </c>
      <c r="AE100" s="28">
        <v>0.90175370361800489</v>
      </c>
      <c r="AF100" s="21">
        <f t="shared" si="32"/>
        <v>7.9276070004112915</v>
      </c>
    </row>
    <row r="101" spans="2:32" x14ac:dyDescent="0.2">
      <c r="B101" s="9" t="s">
        <v>375</v>
      </c>
      <c r="C101" s="9" t="s">
        <v>376</v>
      </c>
      <c r="D101" s="9" t="s">
        <v>377</v>
      </c>
      <c r="E101" s="19">
        <v>47041</v>
      </c>
      <c r="F101" s="20">
        <v>5</v>
      </c>
      <c r="G101" s="13">
        <v>11400000</v>
      </c>
      <c r="H101" s="21">
        <v>85.647999999999996</v>
      </c>
      <c r="I101" s="22">
        <v>121916.67</v>
      </c>
      <c r="J101" s="22">
        <v>9885788.6699999999</v>
      </c>
      <c r="K101" s="21">
        <f t="shared" si="22"/>
        <v>86.71744447368421</v>
      </c>
      <c r="L101" s="23">
        <v>880.89059260034765</v>
      </c>
      <c r="M101" s="24">
        <v>1.7646825188911111</v>
      </c>
      <c r="N101" s="24">
        <v>1.215469687720266</v>
      </c>
      <c r="O101" s="24">
        <v>0</v>
      </c>
      <c r="P101" s="21">
        <f t="shared" si="23"/>
        <v>2.9801522066113773</v>
      </c>
      <c r="Q101" s="21">
        <f t="shared" si="24"/>
        <v>2.9801522066113773</v>
      </c>
      <c r="R101" s="25" t="s">
        <v>109</v>
      </c>
      <c r="S101" s="13">
        <f t="shared" si="25"/>
        <v>9885788.6699999999</v>
      </c>
      <c r="T101" s="26">
        <f t="shared" si="26"/>
        <v>3.8136279920003555E-3</v>
      </c>
      <c r="U101" s="26">
        <f t="shared" si="27"/>
        <v>3.8136279920003555E-3</v>
      </c>
      <c r="V101" s="13">
        <f>RL_NAV*T101*(M101*Calculs!$I$13+N101*Calculs!$I$14+O101*Calculs!$I$15+AF101*Calculs!$I$22)</f>
        <v>292095.25646521337</v>
      </c>
      <c r="W101" s="13">
        <f>RL_NAV*U101*(M101*Calculs!$J$13+N101*Calculs!$J$14+O101*Calculs!$J$15+AF101*Calculs!$J$22)</f>
        <v>292095.25646521337</v>
      </c>
      <c r="X101" s="13">
        <f t="shared" si="28"/>
        <v>29546.985699949557</v>
      </c>
      <c r="Y101" s="13">
        <f t="shared" si="29"/>
        <v>736528.87297485641</v>
      </c>
      <c r="Z101" s="13">
        <f t="shared" si="30"/>
        <v>736528.87297485641</v>
      </c>
      <c r="AA101" s="13">
        <f>RL_NAV*T101*(1-SUMPRODUCT((Flux!$B$7:$B$926=B101)*Flux!$F$7:$F$926*EXP(-(RL_Choc_Taux+IF(Q101&gt;0,RL_Choc_Spread,0))/10000*Flux!$D$7:$D$926))/K101)</f>
        <v>707860.53244815452</v>
      </c>
      <c r="AB101" s="13">
        <f>RL_NAV*U101*(1-SUMPRODUCT((Flux!$B$7:$B$926=B101)*Flux!$F$7:$F$926*EXP(-(RL_Choc_Taux+IF(Q101&gt;0,RL_Choc_Spread,0))/10000*Flux!$D$7:$D$926))/K101)</f>
        <v>707860.53244815452</v>
      </c>
      <c r="AC101" s="9" t="str">
        <f t="shared" si="31"/>
        <v/>
      </c>
      <c r="AD101" s="27">
        <f>SUMIF(Flux!$B$7:$B$926,B101,Flux!$F$7:$F$926)-K101</f>
        <v>0</v>
      </c>
      <c r="AE101" s="28">
        <v>8.156394375929148</v>
      </c>
      <c r="AF101" s="21">
        <f t="shared" si="32"/>
        <v>24.307296697417879</v>
      </c>
    </row>
    <row r="102" spans="2:32" x14ac:dyDescent="0.2">
      <c r="B102" s="9" t="s">
        <v>378</v>
      </c>
      <c r="C102" s="9" t="s">
        <v>379</v>
      </c>
      <c r="D102" s="9" t="s">
        <v>362</v>
      </c>
      <c r="E102" s="19">
        <v>47502</v>
      </c>
      <c r="F102" s="20">
        <v>2.085</v>
      </c>
      <c r="G102" s="13">
        <v>12600000</v>
      </c>
      <c r="H102" s="21">
        <v>95.042000000000002</v>
      </c>
      <c r="I102" s="22">
        <v>118039.56</v>
      </c>
      <c r="J102" s="22">
        <v>12093331.560000001</v>
      </c>
      <c r="K102" s="21">
        <f t="shared" si="22"/>
        <v>95.978821904761915</v>
      </c>
      <c r="L102" s="23">
        <v>111.4062867315662</v>
      </c>
      <c r="M102" s="24">
        <v>0.73878252020142055</v>
      </c>
      <c r="N102" s="24">
        <v>3.609589318239768</v>
      </c>
      <c r="O102" s="24">
        <v>0</v>
      </c>
      <c r="P102" s="21">
        <f t="shared" si="23"/>
        <v>4.3483718384411887</v>
      </c>
      <c r="Q102" s="21">
        <f t="shared" si="24"/>
        <v>4.3483718384411887</v>
      </c>
      <c r="R102" s="25" t="s">
        <v>109</v>
      </c>
      <c r="S102" s="13">
        <f t="shared" si="25"/>
        <v>12093331.560000001</v>
      </c>
      <c r="T102" s="26">
        <f t="shared" si="26"/>
        <v>4.6652289759859219E-3</v>
      </c>
      <c r="U102" s="26">
        <f t="shared" si="27"/>
        <v>4.6652289759859219E-3</v>
      </c>
      <c r="V102" s="13">
        <f>RL_NAV*T102*(M102*Calculs!$I$13+N102*Calculs!$I$14+O102*Calculs!$I$15+AF102*Calculs!$I$22)</f>
        <v>110568.54548811057</v>
      </c>
      <c r="W102" s="13">
        <f>RL_NAV*U102*(M102*Calculs!$J$13+N102*Calculs!$J$14+O102*Calculs!$J$15+AF102*Calculs!$J$22)</f>
        <v>110568.54548811057</v>
      </c>
      <c r="X102" s="13">
        <f t="shared" si="28"/>
        <v>9142.9350910900321</v>
      </c>
      <c r="Y102" s="13">
        <f t="shared" si="29"/>
        <v>1314657.5597109012</v>
      </c>
      <c r="Z102" s="13">
        <f t="shared" si="30"/>
        <v>1314657.5597109012</v>
      </c>
      <c r="AA102" s="13">
        <f>RL_NAV*T102*(1-SUMPRODUCT((Flux!$B$7:$B$926=B102)*Flux!$F$7:$F$926*EXP(-(RL_Choc_Taux+IF(Q102&gt;0,RL_Choc_Spread,0))/10000*Flux!$D$7:$D$926))/K102)</f>
        <v>1243684.8874196569</v>
      </c>
      <c r="AB102" s="13">
        <f>RL_NAV*U102*(1-SUMPRODUCT((Flux!$B$7:$B$926=B102)*Flux!$F$7:$F$926*EXP(-(RL_Choc_Taux+IF(Q102&gt;0,RL_Choc_Spread,0))/10000*Flux!$D$7:$D$926))/K102)</f>
        <v>1243684.8874196569</v>
      </c>
      <c r="AC102" s="9" t="str">
        <f t="shared" si="31"/>
        <v/>
      </c>
      <c r="AD102" s="27">
        <f>SUMIF(Flux!$B$7:$B$926,B102,Flux!$F$7:$F$926)-K102</f>
        <v>0</v>
      </c>
      <c r="AE102" s="28">
        <v>1.0315396919589459</v>
      </c>
      <c r="AF102" s="21">
        <f t="shared" si="32"/>
        <v>4.4855181467485794</v>
      </c>
    </row>
    <row r="103" spans="2:32" x14ac:dyDescent="0.2">
      <c r="B103" s="9" t="s">
        <v>380</v>
      </c>
      <c r="C103" s="9" t="s">
        <v>381</v>
      </c>
      <c r="D103" s="9" t="s">
        <v>362</v>
      </c>
      <c r="E103" s="19">
        <v>46041</v>
      </c>
      <c r="F103" s="20">
        <v>1.2070000000000001</v>
      </c>
      <c r="G103" s="13">
        <v>6050000</v>
      </c>
      <c r="H103" s="21">
        <v>99.420500000000004</v>
      </c>
      <c r="I103" s="22">
        <v>32810.559999999998</v>
      </c>
      <c r="J103" s="22">
        <v>6047750.8099999996</v>
      </c>
      <c r="K103" s="21">
        <f t="shared" ref="K103:K134" si="33">J103/G103*100</f>
        <v>99.962823305785122</v>
      </c>
      <c r="L103" s="23">
        <v>38.070941801303817</v>
      </c>
      <c r="M103" s="24">
        <v>0.55578370978781655</v>
      </c>
      <c r="N103" s="24">
        <v>0</v>
      </c>
      <c r="O103" s="24">
        <v>0</v>
      </c>
      <c r="P103" s="21">
        <f t="shared" ref="P103:P134" si="34">SUM(M103:O103)</f>
        <v>0.55578370978781655</v>
      </c>
      <c r="Q103" s="21">
        <f t="shared" ref="Q103:Q134" si="35">IF(R103="OUI",0,P103)</f>
        <v>0.55578370978781655</v>
      </c>
      <c r="R103" s="25" t="s">
        <v>109</v>
      </c>
      <c r="S103" s="13">
        <f t="shared" ref="S103:S134" si="36">IF(B103=RL_ISIN_Vente,J103-RL_Montant_Vente,J103)</f>
        <v>6047750.8099999996</v>
      </c>
      <c r="T103" s="26">
        <f t="shared" ref="T103:T134" si="37">J103/RL_NAV</f>
        <v>2.3330330586217988E-3</v>
      </c>
      <c r="U103" s="26">
        <f t="shared" ref="U103:U134" si="38">S103/RL_NAV</f>
        <v>2.3330330586217988E-3</v>
      </c>
      <c r="V103" s="13">
        <f>RL_NAV*T103*(M103*Calculs!$I$13+N103*Calculs!$I$14+O103*Calculs!$I$15+AF103*Calculs!$I$22)</f>
        <v>4389.1689740488036</v>
      </c>
      <c r="W103" s="13">
        <f>RL_NAV*U103*(M103*Calculs!$J$13+N103*Calculs!$J$14+O103*Calculs!$J$15+AF103*Calculs!$J$22)</f>
        <v>4389.1689740488036</v>
      </c>
      <c r="X103" s="13">
        <f t="shared" ref="X103:X134" si="39">IF(S103&gt;0,W103/S103*1000000,0)</f>
        <v>725.75228575742256</v>
      </c>
      <c r="Y103" s="13">
        <f t="shared" ref="Y103:Y134" si="40">RL_NAV*T103*(P103*RL_Choc_Taux+Q103*RL_Choc_Spread)/10000</f>
        <v>84031.034526351796</v>
      </c>
      <c r="Z103" s="13">
        <f t="shared" ref="Z103:Z134" si="41">RL_NAV*U103*(P103*RL_Choc_Taux+Q103*RL_Choc_Spread)/10000</f>
        <v>84031.034526351796</v>
      </c>
      <c r="AA103" s="13">
        <f>RL_NAV*T103*(1-SUMPRODUCT((Flux!$B$7:$B$926=B103)*Flux!$F$7:$F$926*EXP(-(RL_Choc_Taux+IF(Q103&gt;0,RL_Choc_Spread,0))/10000*Flux!$D$7:$D$926))/K103)</f>
        <v>83449.940493384027</v>
      </c>
      <c r="AB103" s="13">
        <f>RL_NAV*U103*(1-SUMPRODUCT((Flux!$B$7:$B$926=B103)*Flux!$F$7:$F$926*EXP(-(RL_Choc_Taux+IF(Q103&gt;0,RL_Choc_Spread,0))/10000*Flux!$D$7:$D$926))/K103)</f>
        <v>83449.940493384027</v>
      </c>
      <c r="AC103" s="9" t="str">
        <f t="shared" ref="AC103:AC134" si="42">IF(U103&gt;RL_Seuil_Ligne,"OUI","")</f>
        <v/>
      </c>
      <c r="AD103" s="27">
        <f>SUMIF(Flux!$B$7:$B$926,B103,Flux!$F$7:$F$926)-K103</f>
        <v>0</v>
      </c>
      <c r="AE103" s="28">
        <v>0.35250872038244291</v>
      </c>
      <c r="AF103" s="21">
        <f t="shared" ref="AF103:AF134" si="43">Q103*AE103</f>
        <v>0.19591860434671021</v>
      </c>
    </row>
    <row r="104" spans="2:32" x14ac:dyDescent="0.2">
      <c r="B104" s="9" t="s">
        <v>382</v>
      </c>
      <c r="C104" s="9" t="s">
        <v>383</v>
      </c>
      <c r="D104" s="9" t="s">
        <v>384</v>
      </c>
      <c r="E104" s="19">
        <v>46491</v>
      </c>
      <c r="F104" s="20">
        <v>3.125</v>
      </c>
      <c r="G104" s="13">
        <v>18000000</v>
      </c>
      <c r="H104" s="21">
        <v>100.7475</v>
      </c>
      <c r="I104" s="22">
        <v>121746.58</v>
      </c>
      <c r="J104" s="22">
        <v>18256296.579999998</v>
      </c>
      <c r="K104" s="21">
        <f t="shared" si="33"/>
        <v>101.42386988888887</v>
      </c>
      <c r="L104" s="23">
        <v>79.930673954612743</v>
      </c>
      <c r="M104" s="24">
        <v>1.7576616829777729</v>
      </c>
      <c r="N104" s="24">
        <v>0</v>
      </c>
      <c r="O104" s="24">
        <v>0</v>
      </c>
      <c r="P104" s="21">
        <f t="shared" si="34"/>
        <v>1.7576616829777729</v>
      </c>
      <c r="Q104" s="21">
        <f t="shared" si="35"/>
        <v>1.7576616829777729</v>
      </c>
      <c r="R104" s="25" t="s">
        <v>109</v>
      </c>
      <c r="S104" s="13">
        <f t="shared" si="36"/>
        <v>18256296.579999998</v>
      </c>
      <c r="T104" s="26">
        <f t="shared" si="37"/>
        <v>7.0427080723493105E-3</v>
      </c>
      <c r="U104" s="26">
        <f t="shared" si="38"/>
        <v>7.0427080723493105E-3</v>
      </c>
      <c r="V104" s="13">
        <f>RL_NAV*T104*(M104*Calculs!$I$13+N104*Calculs!$I$14+O104*Calculs!$I$15+AF104*Calculs!$I$22)</f>
        <v>55582.454361382814</v>
      </c>
      <c r="W104" s="13">
        <f>RL_NAV*U104*(M104*Calculs!$J$13+N104*Calculs!$J$14+O104*Calculs!$J$15+AF104*Calculs!$J$22)</f>
        <v>55582.454361382814</v>
      </c>
      <c r="X104" s="13">
        <f t="shared" si="39"/>
        <v>3044.5635081473256</v>
      </c>
      <c r="Y104" s="13">
        <f t="shared" si="40"/>
        <v>802209.82429360377</v>
      </c>
      <c r="Z104" s="13">
        <f t="shared" si="41"/>
        <v>802209.82429360377</v>
      </c>
      <c r="AA104" s="13">
        <f>RL_NAV*T104*(1-SUMPRODUCT((Flux!$B$7:$B$926=B104)*Flux!$F$7:$F$926*EXP(-(RL_Choc_Taux+IF(Q104&gt;0,RL_Choc_Spread,0))/10000*Flux!$D$7:$D$926))/K104)</f>
        <v>784679.18439161836</v>
      </c>
      <c r="AB104" s="13">
        <f>RL_NAV*U104*(1-SUMPRODUCT((Flux!$B$7:$B$926=B104)*Flux!$F$7:$F$926*EXP(-(RL_Choc_Taux+IF(Q104&gt;0,RL_Choc_Spread,0))/10000*Flux!$D$7:$D$926))/K104)</f>
        <v>784679.18439161836</v>
      </c>
      <c r="AC104" s="9" t="str">
        <f t="shared" si="42"/>
        <v/>
      </c>
      <c r="AD104" s="27">
        <f>SUMIF(Flux!$B$7:$B$926,B104,Flux!$F$7:$F$926)-K104</f>
        <v>0</v>
      </c>
      <c r="AE104" s="28">
        <v>0.74009883291308121</v>
      </c>
      <c r="AF104" s="21">
        <f t="shared" si="43"/>
        <v>1.3008433602278919</v>
      </c>
    </row>
    <row r="105" spans="2:32" x14ac:dyDescent="0.2">
      <c r="B105" s="9" t="s">
        <v>385</v>
      </c>
      <c r="C105" s="9" t="s">
        <v>386</v>
      </c>
      <c r="D105" s="9" t="s">
        <v>387</v>
      </c>
      <c r="E105" s="19">
        <v>46573</v>
      </c>
      <c r="F105" s="20">
        <v>4</v>
      </c>
      <c r="G105" s="13">
        <v>4000000</v>
      </c>
      <c r="H105" s="21">
        <v>102.90049999999999</v>
      </c>
      <c r="I105" s="22">
        <v>158684.93</v>
      </c>
      <c r="J105" s="22">
        <v>4274704.93</v>
      </c>
      <c r="K105" s="21">
        <f t="shared" si="33"/>
        <v>106.86762324999999</v>
      </c>
      <c r="L105" s="23">
        <v>61.857954683552983</v>
      </c>
      <c r="M105" s="24">
        <v>1.89340259456795</v>
      </c>
      <c r="N105" s="24">
        <v>7.6532314902789719E-3</v>
      </c>
      <c r="O105" s="24">
        <v>0</v>
      </c>
      <c r="P105" s="21">
        <f t="shared" si="34"/>
        <v>1.9010558260582291</v>
      </c>
      <c r="Q105" s="21">
        <f t="shared" si="35"/>
        <v>1.9010558260582291</v>
      </c>
      <c r="R105" s="25" t="s">
        <v>109</v>
      </c>
      <c r="S105" s="13">
        <f t="shared" si="36"/>
        <v>4274704.93</v>
      </c>
      <c r="T105" s="26">
        <f t="shared" si="37"/>
        <v>1.6490474278558415E-3</v>
      </c>
      <c r="U105" s="26">
        <f t="shared" si="38"/>
        <v>1.6490474278558415E-3</v>
      </c>
      <c r="V105" s="13">
        <f>RL_NAV*T105*(M105*Calculs!$I$13+N105*Calculs!$I$14+O105*Calculs!$I$15+AF105*Calculs!$I$22)</f>
        <v>12582.469371371091</v>
      </c>
      <c r="W105" s="13">
        <f>RL_NAV*U105*(M105*Calculs!$J$13+N105*Calculs!$J$14+O105*Calculs!$J$15+AF105*Calculs!$J$22)</f>
        <v>12582.469371371091</v>
      </c>
      <c r="X105" s="13">
        <f t="shared" si="39"/>
        <v>2943.4708541090095</v>
      </c>
      <c r="Y105" s="13">
        <f t="shared" si="40"/>
        <v>203161.31779640834</v>
      </c>
      <c r="Z105" s="13">
        <f t="shared" si="41"/>
        <v>203161.31779640834</v>
      </c>
      <c r="AA105" s="13">
        <f>RL_NAV*T105*(1-SUMPRODUCT((Flux!$B$7:$B$926=B105)*Flux!$F$7:$F$926*EXP(-(RL_Choc_Taux+IF(Q105&gt;0,RL_Choc_Spread,0))/10000*Flux!$D$7:$D$926))/K105)</f>
        <v>198185.11308854521</v>
      </c>
      <c r="AB105" s="13">
        <f>RL_NAV*U105*(1-SUMPRODUCT((Flux!$B$7:$B$926=B105)*Flux!$F$7:$F$926*EXP(-(RL_Choc_Taux+IF(Q105&gt;0,RL_Choc_Spread,0))/10000*Flux!$D$7:$D$926))/K105)</f>
        <v>198185.11308854521</v>
      </c>
      <c r="AC105" s="9" t="str">
        <f t="shared" si="42"/>
        <v/>
      </c>
      <c r="AD105" s="27">
        <f>SUMIF(Flux!$B$7:$B$926,B105,Flux!$F$7:$F$926)-K105</f>
        <v>0</v>
      </c>
      <c r="AE105" s="28">
        <v>0.57275883966252772</v>
      </c>
      <c r="AF105" s="21">
        <f t="shared" si="43"/>
        <v>1.0888465290667995</v>
      </c>
    </row>
    <row r="106" spans="2:32" x14ac:dyDescent="0.2">
      <c r="B106" s="9" t="s">
        <v>388</v>
      </c>
      <c r="C106" s="9" t="s">
        <v>389</v>
      </c>
      <c r="D106" s="9" t="s">
        <v>390</v>
      </c>
      <c r="E106" s="19">
        <v>49250</v>
      </c>
      <c r="F106" s="20">
        <v>4.125</v>
      </c>
      <c r="G106" s="13">
        <v>10000000</v>
      </c>
      <c r="H106" s="21">
        <v>104.2705</v>
      </c>
      <c r="I106" s="22">
        <v>273493.15000000002</v>
      </c>
      <c r="J106" s="22">
        <v>10700543.15</v>
      </c>
      <c r="K106" s="21">
        <f t="shared" si="33"/>
        <v>107.00543150000001</v>
      </c>
      <c r="L106" s="23">
        <v>96.15579366450342</v>
      </c>
      <c r="M106" s="24">
        <v>0.23436583581234369</v>
      </c>
      <c r="N106" s="24">
        <v>1.538775525455615</v>
      </c>
      <c r="O106" s="24">
        <v>5.983503485817959</v>
      </c>
      <c r="P106" s="21">
        <f t="shared" si="34"/>
        <v>7.7566448470859175</v>
      </c>
      <c r="Q106" s="21">
        <f t="shared" si="35"/>
        <v>7.7566448470859175</v>
      </c>
      <c r="R106" s="25" t="s">
        <v>109</v>
      </c>
      <c r="S106" s="13">
        <f t="shared" si="36"/>
        <v>10700543.15</v>
      </c>
      <c r="T106" s="26">
        <f t="shared" si="37"/>
        <v>4.1279347807915119E-3</v>
      </c>
      <c r="U106" s="26">
        <f t="shared" si="38"/>
        <v>4.1279347807915119E-3</v>
      </c>
      <c r="V106" s="13">
        <f>RL_NAV*T106*(M106*Calculs!$I$13+N106*Calculs!$I$14+O106*Calculs!$I$15+AF106*Calculs!$I$22)</f>
        <v>158070.09172169326</v>
      </c>
      <c r="W106" s="13">
        <f>RL_NAV*U106*(M106*Calculs!$J$13+N106*Calculs!$J$14+O106*Calculs!$J$15+AF106*Calculs!$J$22)</f>
        <v>158070.09172169326</v>
      </c>
      <c r="X106" s="13">
        <f t="shared" si="39"/>
        <v>14772.155908898256</v>
      </c>
      <c r="Y106" s="13">
        <f t="shared" si="40"/>
        <v>2075007.8221367004</v>
      </c>
      <c r="Z106" s="13">
        <f t="shared" si="41"/>
        <v>2075007.8221367004</v>
      </c>
      <c r="AA106" s="13">
        <f>RL_NAV*T106*(1-SUMPRODUCT((Flux!$B$7:$B$926=B106)*Flux!$F$7:$F$926*EXP(-(RL_Choc_Taux+IF(Q106&gt;0,RL_Choc_Spread,0))/10000*Flux!$D$7:$D$926))/K106)</f>
        <v>1863996.7386161401</v>
      </c>
      <c r="AB106" s="13">
        <f>RL_NAV*U106*(1-SUMPRODUCT((Flux!$B$7:$B$926=B106)*Flux!$F$7:$F$926*EXP(-(RL_Choc_Taux+IF(Q106&gt;0,RL_Choc_Spread,0))/10000*Flux!$D$7:$D$926))/K106)</f>
        <v>1863996.7386161401</v>
      </c>
      <c r="AC106" s="9" t="str">
        <f t="shared" si="42"/>
        <v/>
      </c>
      <c r="AD106" s="27">
        <f>SUMIF(Flux!$B$7:$B$926,B106,Flux!$F$7:$F$926)-K106</f>
        <v>0</v>
      </c>
      <c r="AE106" s="28">
        <v>0.8903314228194763</v>
      </c>
      <c r="AF106" s="21">
        <f t="shared" si="43"/>
        <v>6.9059846430113643</v>
      </c>
    </row>
    <row r="107" spans="2:32" x14ac:dyDescent="0.2">
      <c r="B107" s="9" t="s">
        <v>391</v>
      </c>
      <c r="C107" s="9" t="s">
        <v>392</v>
      </c>
      <c r="D107" s="9" t="s">
        <v>393</v>
      </c>
      <c r="E107" s="19">
        <v>47493</v>
      </c>
      <c r="F107" s="20">
        <v>4</v>
      </c>
      <c r="G107" s="13">
        <v>17100000</v>
      </c>
      <c r="H107" s="21">
        <v>104.6675</v>
      </c>
      <c r="I107" s="22">
        <v>324197.26</v>
      </c>
      <c r="J107" s="22">
        <v>18222339.760000002</v>
      </c>
      <c r="K107" s="21">
        <f t="shared" si="33"/>
        <v>106.56339040935674</v>
      </c>
      <c r="L107" s="23">
        <v>74.242841300716705</v>
      </c>
      <c r="M107" s="24">
        <v>0.81429624417391511</v>
      </c>
      <c r="N107" s="24">
        <v>3.3561788575078149</v>
      </c>
      <c r="O107" s="24">
        <v>0</v>
      </c>
      <c r="P107" s="21">
        <f t="shared" si="34"/>
        <v>4.1704751016817303</v>
      </c>
      <c r="Q107" s="21">
        <f t="shared" si="35"/>
        <v>4.1704751016817303</v>
      </c>
      <c r="R107" s="25" t="s">
        <v>109</v>
      </c>
      <c r="S107" s="13">
        <f t="shared" si="36"/>
        <v>18222339.760000002</v>
      </c>
      <c r="T107" s="26">
        <f t="shared" si="37"/>
        <v>7.0296085935323809E-3</v>
      </c>
      <c r="U107" s="26">
        <f t="shared" si="38"/>
        <v>7.0296085935323809E-3</v>
      </c>
      <c r="V107" s="13">
        <f>RL_NAV*T107*(M107*Calculs!$I$13+N107*Calculs!$I$14+O107*Calculs!$I$15+AF107*Calculs!$I$22)</f>
        <v>130908.23966840413</v>
      </c>
      <c r="W107" s="13">
        <f>RL_NAV*U107*(M107*Calculs!$J$13+N107*Calculs!$J$14+O107*Calculs!$J$15+AF107*Calculs!$J$22)</f>
        <v>130908.23966840413</v>
      </c>
      <c r="X107" s="13">
        <f t="shared" si="39"/>
        <v>7183.9424241096531</v>
      </c>
      <c r="Y107" s="13">
        <f t="shared" si="40"/>
        <v>1899895.356586626</v>
      </c>
      <c r="Z107" s="13">
        <f t="shared" si="41"/>
        <v>1899895.356586626</v>
      </c>
      <c r="AA107" s="13">
        <f>RL_NAV*T107*(1-SUMPRODUCT((Flux!$B$7:$B$926=B107)*Flux!$F$7:$F$926*EXP(-(RL_Choc_Taux+IF(Q107&gt;0,RL_Choc_Spread,0))/10000*Flux!$D$7:$D$926))/K107)</f>
        <v>1799159.26446761</v>
      </c>
      <c r="AB107" s="13">
        <f>RL_NAV*U107*(1-SUMPRODUCT((Flux!$B$7:$B$926=B107)*Flux!$F$7:$F$926*EXP(-(RL_Choc_Taux+IF(Q107&gt;0,RL_Choc_Spread,0))/10000*Flux!$D$7:$D$926))/K107)</f>
        <v>1799159.26446761</v>
      </c>
      <c r="AC107" s="9" t="str">
        <f t="shared" si="42"/>
        <v/>
      </c>
      <c r="AD107" s="27">
        <f>SUMIF(Flux!$B$7:$B$926,B107,Flux!$F$7:$F$926)-K107</f>
        <v>0</v>
      </c>
      <c r="AE107" s="28">
        <v>0.68743371574737711</v>
      </c>
      <c r="AF107" s="21">
        <f t="shared" si="43"/>
        <v>2.866925195580992</v>
      </c>
    </row>
    <row r="108" spans="2:32" x14ac:dyDescent="0.2">
      <c r="B108" s="9" t="s">
        <v>394</v>
      </c>
      <c r="C108" s="9" t="s">
        <v>395</v>
      </c>
      <c r="D108" s="9" t="s">
        <v>368</v>
      </c>
      <c r="E108" s="19">
        <v>49325</v>
      </c>
      <c r="F108" s="20">
        <v>4.2750000000000004</v>
      </c>
      <c r="G108" s="13">
        <v>10000000</v>
      </c>
      <c r="H108" s="21">
        <v>104.09650000000001</v>
      </c>
      <c r="I108" s="22">
        <v>195595.89</v>
      </c>
      <c r="J108" s="22">
        <v>10605245.890000001</v>
      </c>
      <c r="K108" s="21">
        <f t="shared" si="33"/>
        <v>106.05245890000002</v>
      </c>
      <c r="L108" s="23">
        <v>111.5786172557668</v>
      </c>
      <c r="M108" s="24">
        <v>0.2448576530051654</v>
      </c>
      <c r="N108" s="24">
        <v>1.3113122583749941</v>
      </c>
      <c r="O108" s="24">
        <v>6.352067977914797</v>
      </c>
      <c r="P108" s="21">
        <f t="shared" si="34"/>
        <v>7.9082378892949565</v>
      </c>
      <c r="Q108" s="21">
        <f t="shared" si="35"/>
        <v>7.9082378892949565</v>
      </c>
      <c r="R108" s="25" t="s">
        <v>109</v>
      </c>
      <c r="S108" s="13">
        <f t="shared" si="36"/>
        <v>10605245.890000001</v>
      </c>
      <c r="T108" s="26">
        <f t="shared" si="37"/>
        <v>4.0911720792581666E-3</v>
      </c>
      <c r="U108" s="26">
        <f t="shared" si="38"/>
        <v>4.0911720792581666E-3</v>
      </c>
      <c r="V108" s="13">
        <f>RL_NAV*T108*(M108*Calculs!$I$13+N108*Calculs!$I$14+O108*Calculs!$I$15+AF108*Calculs!$I$22)</f>
        <v>172717.61789633826</v>
      </c>
      <c r="W108" s="13">
        <f>RL_NAV*U108*(M108*Calculs!$J$13+N108*Calculs!$J$14+O108*Calculs!$J$15+AF108*Calculs!$J$22)</f>
        <v>172717.61789633826</v>
      </c>
      <c r="X108" s="13">
        <f t="shared" si="39"/>
        <v>16286.055004080463</v>
      </c>
      <c r="Y108" s="13">
        <f t="shared" si="40"/>
        <v>2096720.1843146903</v>
      </c>
      <c r="Z108" s="13">
        <f t="shared" si="41"/>
        <v>2096720.1843146903</v>
      </c>
      <c r="AA108" s="13">
        <f>RL_NAV*T108*(1-SUMPRODUCT((Flux!$B$7:$B$926=B108)*Flux!$F$7:$F$926*EXP(-(RL_Choc_Taux+IF(Q108&gt;0,RL_Choc_Spread,0))/10000*Flux!$D$7:$D$926))/K108)</f>
        <v>1880004.077008279</v>
      </c>
      <c r="AB108" s="13">
        <f>RL_NAV*U108*(1-SUMPRODUCT((Flux!$B$7:$B$926=B108)*Flux!$F$7:$F$926*EXP(-(RL_Choc_Taux+IF(Q108&gt;0,RL_Choc_Spread,0))/10000*Flux!$D$7:$D$926))/K108)</f>
        <v>1880004.077008279</v>
      </c>
      <c r="AC108" s="9" t="str">
        <f t="shared" si="42"/>
        <v/>
      </c>
      <c r="AD108" s="27">
        <f>SUMIF(Flux!$B$7:$B$926,B108,Flux!$F$7:$F$926)-K108</f>
        <v>0</v>
      </c>
      <c r="AE108" s="28">
        <v>1.0331353449608041</v>
      </c>
      <c r="AF108" s="21">
        <f t="shared" si="43"/>
        <v>8.1702800797888457</v>
      </c>
    </row>
    <row r="109" spans="2:32" x14ac:dyDescent="0.2">
      <c r="B109" s="9" t="s">
        <v>396</v>
      </c>
      <c r="C109" s="9" t="s">
        <v>397</v>
      </c>
      <c r="D109" s="9" t="s">
        <v>398</v>
      </c>
      <c r="E109" s="19">
        <v>47560</v>
      </c>
      <c r="F109" s="20">
        <v>4.25</v>
      </c>
      <c r="G109" s="13">
        <v>5300000</v>
      </c>
      <c r="H109" s="21">
        <v>104.5145</v>
      </c>
      <c r="I109" s="22">
        <v>65415.07</v>
      </c>
      <c r="J109" s="22">
        <v>5604683.5700000003</v>
      </c>
      <c r="K109" s="21">
        <f t="shared" si="33"/>
        <v>105.74874660377358</v>
      </c>
      <c r="L109" s="23">
        <v>103.29192166312239</v>
      </c>
      <c r="M109" s="24">
        <v>0.60847869615612971</v>
      </c>
      <c r="N109" s="24">
        <v>3.7238341673842932</v>
      </c>
      <c r="O109" s="24">
        <v>0</v>
      </c>
      <c r="P109" s="21">
        <f t="shared" si="34"/>
        <v>4.3323128635404231</v>
      </c>
      <c r="Q109" s="21">
        <f t="shared" si="35"/>
        <v>4.3323128635404231</v>
      </c>
      <c r="R109" s="25" t="s">
        <v>109</v>
      </c>
      <c r="S109" s="13">
        <f t="shared" si="36"/>
        <v>5604683.5700000003</v>
      </c>
      <c r="T109" s="26">
        <f t="shared" si="37"/>
        <v>2.1621115787878245E-3</v>
      </c>
      <c r="U109" s="26">
        <f t="shared" si="38"/>
        <v>2.1621115787878245E-3</v>
      </c>
      <c r="V109" s="13">
        <f>RL_NAV*T109*(M109*Calculs!$I$13+N109*Calculs!$I$14+O109*Calculs!$I$15+AF109*Calculs!$I$22)</f>
        <v>49090.203417846787</v>
      </c>
      <c r="W109" s="13">
        <f>RL_NAV*U109*(M109*Calculs!$J$13+N109*Calculs!$J$14+O109*Calculs!$J$15+AF109*Calculs!$J$22)</f>
        <v>49090.203417846787</v>
      </c>
      <c r="X109" s="13">
        <f t="shared" si="39"/>
        <v>8758.7823299445936</v>
      </c>
      <c r="Y109" s="13">
        <f t="shared" si="40"/>
        <v>607031.06815961667</v>
      </c>
      <c r="Z109" s="13">
        <f t="shared" si="41"/>
        <v>607031.06815961667</v>
      </c>
      <c r="AA109" s="13">
        <f>RL_NAV*T109*(1-SUMPRODUCT((Flux!$B$7:$B$926=B109)*Flux!$F$7:$F$926*EXP(-(RL_Choc_Taux+IF(Q109&gt;0,RL_Choc_Spread,0))/10000*Flux!$D$7:$D$926))/K109)</f>
        <v>573686.66613978066</v>
      </c>
      <c r="AB109" s="13">
        <f>RL_NAV*U109*(1-SUMPRODUCT((Flux!$B$7:$B$926=B109)*Flux!$F$7:$F$926*EXP(-(RL_Choc_Taux+IF(Q109&gt;0,RL_Choc_Spread,0))/10000*Flux!$D$7:$D$926))/K109)</f>
        <v>573686.66613978066</v>
      </c>
      <c r="AC109" s="9" t="str">
        <f t="shared" si="42"/>
        <v/>
      </c>
      <c r="AD109" s="27">
        <f>SUMIF(Flux!$B$7:$B$926,B109,Flux!$F$7:$F$926)-K109</f>
        <v>0</v>
      </c>
      <c r="AE109" s="28">
        <v>0.95640668206594837</v>
      </c>
      <c r="AF109" s="21">
        <f t="shared" si="43"/>
        <v>4.1434529714903237</v>
      </c>
    </row>
    <row r="110" spans="2:32" x14ac:dyDescent="0.2">
      <c r="B110" s="9" t="s">
        <v>399</v>
      </c>
      <c r="C110" s="9" t="s">
        <v>400</v>
      </c>
      <c r="D110" s="9" t="s">
        <v>401</v>
      </c>
      <c r="E110" s="19">
        <v>46813</v>
      </c>
      <c r="F110" s="20">
        <v>8</v>
      </c>
      <c r="G110" s="13">
        <v>8500000</v>
      </c>
      <c r="H110" s="21">
        <v>56.063499999999998</v>
      </c>
      <c r="I110" s="22">
        <v>202111.11</v>
      </c>
      <c r="J110" s="22">
        <v>4967508.6100000003</v>
      </c>
      <c r="K110" s="21">
        <f t="shared" si="33"/>
        <v>58.441277764705887</v>
      </c>
      <c r="L110" s="23">
        <v>2912.3543481808229</v>
      </c>
      <c r="M110" s="24">
        <v>1.8841027770172969</v>
      </c>
      <c r="N110" s="24">
        <v>0.48068618079697423</v>
      </c>
      <c r="O110" s="24">
        <v>0</v>
      </c>
      <c r="P110" s="21">
        <f t="shared" si="34"/>
        <v>2.3647889578142713</v>
      </c>
      <c r="Q110" s="21">
        <f t="shared" si="35"/>
        <v>2.3647889578142713</v>
      </c>
      <c r="R110" s="25" t="s">
        <v>109</v>
      </c>
      <c r="S110" s="13">
        <f t="shared" si="36"/>
        <v>4967508.6100000003</v>
      </c>
      <c r="T110" s="26">
        <f t="shared" si="37"/>
        <v>1.9163094132376166E-3</v>
      </c>
      <c r="U110" s="26">
        <f t="shared" si="38"/>
        <v>1.9163094132376166E-3</v>
      </c>
      <c r="V110" s="13">
        <f>RL_NAV*T110*(M110*Calculs!$I$13+N110*Calculs!$I$14+O110*Calculs!$I$15+AF110*Calculs!$I$22)</f>
        <v>359380.91545781738</v>
      </c>
      <c r="W110" s="13">
        <f>RL_NAV*U110*(M110*Calculs!$J$13+N110*Calculs!$J$14+O110*Calculs!$J$15+AF110*Calculs!$J$22)</f>
        <v>359380.91545781738</v>
      </c>
      <c r="X110" s="13">
        <f t="shared" si="39"/>
        <v>72346.309523118747</v>
      </c>
      <c r="Y110" s="13">
        <f t="shared" si="40"/>
        <v>293677.73771938297</v>
      </c>
      <c r="Z110" s="13">
        <f t="shared" si="41"/>
        <v>293677.73771938297</v>
      </c>
      <c r="AA110" s="13">
        <f>RL_NAV*T110*(1-SUMPRODUCT((Flux!$B$7:$B$926=B110)*Flux!$F$7:$F$926*EXP(-(RL_Choc_Taux+IF(Q110&gt;0,RL_Choc_Spread,0))/10000*Flux!$D$7:$D$926))/K110)</f>
        <v>284521.87625682377</v>
      </c>
      <c r="AB110" s="13">
        <f>RL_NAV*U110*(1-SUMPRODUCT((Flux!$B$7:$B$926=B110)*Flux!$F$7:$F$926*EXP(-(RL_Choc_Taux+IF(Q110&gt;0,RL_Choc_Spread,0))/10000*Flux!$D$7:$D$926))/K110)</f>
        <v>284521.87625682377</v>
      </c>
      <c r="AC110" s="9" t="str">
        <f t="shared" si="42"/>
        <v/>
      </c>
      <c r="AD110" s="27">
        <f>SUMIF(Flux!$B$7:$B$926,B110,Flux!$F$7:$F$926)-K110</f>
        <v>0</v>
      </c>
      <c r="AE110" s="28">
        <v>26.966243964637261</v>
      </c>
      <c r="AF110" s="21">
        <f t="shared" si="43"/>
        <v>63.769475961299932</v>
      </c>
    </row>
    <row r="111" spans="2:32" x14ac:dyDescent="0.2">
      <c r="B111" s="9" t="s">
        <v>402</v>
      </c>
      <c r="C111" s="9" t="s">
        <v>403</v>
      </c>
      <c r="D111" s="9" t="s">
        <v>404</v>
      </c>
      <c r="E111" s="19">
        <v>46811</v>
      </c>
      <c r="F111" s="20">
        <v>4.875</v>
      </c>
      <c r="G111" s="13">
        <v>6800000</v>
      </c>
      <c r="H111" s="21">
        <v>104.608</v>
      </c>
      <c r="I111" s="22">
        <v>112619.18</v>
      </c>
      <c r="J111" s="22">
        <v>7225963.1799999997</v>
      </c>
      <c r="K111" s="21">
        <f t="shared" si="33"/>
        <v>106.2641644117647</v>
      </c>
      <c r="L111" s="23">
        <v>107.85656597417029</v>
      </c>
      <c r="M111" s="24">
        <v>1.993072275441065</v>
      </c>
      <c r="N111" s="24">
        <v>0.53726573723423854</v>
      </c>
      <c r="O111" s="24">
        <v>0</v>
      </c>
      <c r="P111" s="21">
        <f t="shared" si="34"/>
        <v>2.5303380126753034</v>
      </c>
      <c r="Q111" s="21">
        <f t="shared" si="35"/>
        <v>2.5303380126753034</v>
      </c>
      <c r="R111" s="25" t="s">
        <v>109</v>
      </c>
      <c r="S111" s="13">
        <f t="shared" si="36"/>
        <v>7225963.1799999997</v>
      </c>
      <c r="T111" s="26">
        <f t="shared" si="37"/>
        <v>2.7875505305953404E-3</v>
      </c>
      <c r="U111" s="26">
        <f t="shared" si="38"/>
        <v>2.7875505305953404E-3</v>
      </c>
      <c r="V111" s="13">
        <f>RL_NAV*T111*(M111*Calculs!$I$13+N111*Calculs!$I$14+O111*Calculs!$I$15+AF111*Calculs!$I$22)</f>
        <v>37104.911040511746</v>
      </c>
      <c r="W111" s="13">
        <f>RL_NAV*U111*(M111*Calculs!$J$13+N111*Calculs!$J$14+O111*Calculs!$J$15+AF111*Calculs!$J$22)</f>
        <v>37104.911040511746</v>
      </c>
      <c r="X111" s="13">
        <f t="shared" si="39"/>
        <v>5134.943275549841</v>
      </c>
      <c r="Y111" s="13">
        <f t="shared" si="40"/>
        <v>457103.2328136529</v>
      </c>
      <c r="Z111" s="13">
        <f t="shared" si="41"/>
        <v>457103.2328136529</v>
      </c>
      <c r="AA111" s="13">
        <f>RL_NAV*T111*(1-SUMPRODUCT((Flux!$B$7:$B$926=B111)*Flux!$F$7:$F$926*EXP(-(RL_Choc_Taux+IF(Q111&gt;0,RL_Choc_Spread,0))/10000*Flux!$D$7:$D$926))/K111)</f>
        <v>442504.20052383689</v>
      </c>
      <c r="AB111" s="13">
        <f>RL_NAV*U111*(1-SUMPRODUCT((Flux!$B$7:$B$926=B111)*Flux!$F$7:$F$926*EXP(-(RL_Choc_Taux+IF(Q111&gt;0,RL_Choc_Spread,0))/10000*Flux!$D$7:$D$926))/K111)</f>
        <v>442504.20052383689</v>
      </c>
      <c r="AC111" s="9" t="str">
        <f t="shared" si="42"/>
        <v/>
      </c>
      <c r="AD111" s="27">
        <f>SUMIF(Flux!$B$7:$B$926,B111,Flux!$F$7:$F$926)-K111</f>
        <v>0</v>
      </c>
      <c r="AE111" s="28">
        <v>0.9986719071682435</v>
      </c>
      <c r="AF111" s="21">
        <f t="shared" si="43"/>
        <v>2.5269774888987482</v>
      </c>
    </row>
    <row r="112" spans="2:32" x14ac:dyDescent="0.2">
      <c r="B112" s="9" t="s">
        <v>405</v>
      </c>
      <c r="C112" s="9" t="s">
        <v>406</v>
      </c>
      <c r="D112" s="9" t="s">
        <v>407</v>
      </c>
      <c r="E112" s="19">
        <v>48702</v>
      </c>
      <c r="F112" s="20">
        <v>4.375</v>
      </c>
      <c r="G112" s="13">
        <v>20000000</v>
      </c>
      <c r="H112" s="21">
        <v>105.0745</v>
      </c>
      <c r="I112" s="22">
        <v>143835.62</v>
      </c>
      <c r="J112" s="22">
        <v>21158735.620000001</v>
      </c>
      <c r="K112" s="21">
        <f t="shared" si="33"/>
        <v>105.79367809999999</v>
      </c>
      <c r="L112" s="23">
        <v>114.16410879793681</v>
      </c>
      <c r="M112" s="24">
        <v>0.246772001935817</v>
      </c>
      <c r="N112" s="24">
        <v>3.1034990460538499</v>
      </c>
      <c r="O112" s="24">
        <v>3.431500549044642</v>
      </c>
      <c r="P112" s="21">
        <f t="shared" si="34"/>
        <v>6.7817715970343091</v>
      </c>
      <c r="Q112" s="21">
        <f t="shared" si="35"/>
        <v>6.7817715970343091</v>
      </c>
      <c r="R112" s="25" t="s">
        <v>109</v>
      </c>
      <c r="S112" s="13">
        <f t="shared" si="36"/>
        <v>21158735.620000001</v>
      </c>
      <c r="T112" s="26">
        <f t="shared" si="37"/>
        <v>8.1623782511797312E-3</v>
      </c>
      <c r="U112" s="26">
        <f t="shared" si="38"/>
        <v>8.1623782511797312E-3</v>
      </c>
      <c r="V112" s="13">
        <f>RL_NAV*T112*(M112*Calculs!$I$13+N112*Calculs!$I$14+O112*Calculs!$I$15+AF112*Calculs!$I$22)</f>
        <v>302071.80548247742</v>
      </c>
      <c r="W112" s="13">
        <f>RL_NAV*U112*(M112*Calculs!$J$13+N112*Calculs!$J$14+O112*Calculs!$J$15+AF112*Calculs!$J$22)</f>
        <v>302071.80548247742</v>
      </c>
      <c r="X112" s="13">
        <f t="shared" si="39"/>
        <v>14276.458239638301</v>
      </c>
      <c r="Y112" s="13">
        <f t="shared" si="40"/>
        <v>3587342.8064218527</v>
      </c>
      <c r="Z112" s="13">
        <f t="shared" si="41"/>
        <v>3587342.8064218527</v>
      </c>
      <c r="AA112" s="13">
        <f>RL_NAV*T112*(1-SUMPRODUCT((Flux!$B$7:$B$926=B112)*Flux!$F$7:$F$926*EXP(-(RL_Choc_Taux+IF(Q112&gt;0,RL_Choc_Spread,0))/10000*Flux!$D$7:$D$926))/K112)</f>
        <v>3275053.9259986579</v>
      </c>
      <c r="AB112" s="13">
        <f>RL_NAV*U112*(1-SUMPRODUCT((Flux!$B$7:$B$926=B112)*Flux!$F$7:$F$926*EXP(-(RL_Choc_Taux+IF(Q112&gt;0,RL_Choc_Spread,0))/10000*Flux!$D$7:$D$926))/K112)</f>
        <v>3275053.9259986579</v>
      </c>
      <c r="AC112" s="9" t="str">
        <f t="shared" si="42"/>
        <v/>
      </c>
      <c r="AD112" s="27">
        <f>SUMIF(Flux!$B$7:$B$926,B112,Flux!$F$7:$F$926)-K112</f>
        <v>0</v>
      </c>
      <c r="AE112" s="28">
        <v>1.0570750814623779</v>
      </c>
      <c r="AF112" s="21">
        <f t="shared" si="43"/>
        <v>7.1688417633942834</v>
      </c>
    </row>
    <row r="113" spans="2:32" x14ac:dyDescent="0.2">
      <c r="B113" s="9" t="s">
        <v>408</v>
      </c>
      <c r="C113" s="9" t="s">
        <v>409</v>
      </c>
      <c r="D113" s="9" t="s">
        <v>410</v>
      </c>
      <c r="E113" s="19">
        <v>47971</v>
      </c>
      <c r="F113" s="20">
        <v>4.625</v>
      </c>
      <c r="G113" s="13">
        <v>21000000</v>
      </c>
      <c r="H113" s="21">
        <v>104.979</v>
      </c>
      <c r="I113" s="22">
        <v>159657.53</v>
      </c>
      <c r="J113" s="22">
        <v>22205247.530000001</v>
      </c>
      <c r="K113" s="21">
        <f t="shared" si="33"/>
        <v>105.73927395238097</v>
      </c>
      <c r="L113" s="23">
        <v>137.21329437317021</v>
      </c>
      <c r="M113" s="24">
        <v>0.25946791990155871</v>
      </c>
      <c r="N113" s="24">
        <v>4.1838769927003892</v>
      </c>
      <c r="O113" s="24">
        <v>0.78580609317929251</v>
      </c>
      <c r="P113" s="21">
        <f t="shared" si="34"/>
        <v>5.2291510057812403</v>
      </c>
      <c r="Q113" s="21">
        <f t="shared" si="35"/>
        <v>5.2291510057812403</v>
      </c>
      <c r="R113" s="25" t="s">
        <v>109</v>
      </c>
      <c r="S113" s="13">
        <f t="shared" si="36"/>
        <v>22205247.530000001</v>
      </c>
      <c r="T113" s="26">
        <f t="shared" si="37"/>
        <v>8.5660898059339921E-3</v>
      </c>
      <c r="U113" s="26">
        <f t="shared" si="38"/>
        <v>8.5660898059339921E-3</v>
      </c>
      <c r="V113" s="13">
        <f>RL_NAV*T113*(M113*Calculs!$I$13+N113*Calculs!$I$14+O113*Calculs!$I$15+AF113*Calculs!$I$22)</f>
        <v>274344.72867707093</v>
      </c>
      <c r="W113" s="13">
        <f>RL_NAV*U113*(M113*Calculs!$J$13+N113*Calculs!$J$14+O113*Calculs!$J$15+AF113*Calculs!$J$22)</f>
        <v>274344.72867707093</v>
      </c>
      <c r="X113" s="13">
        <f t="shared" si="39"/>
        <v>12354.95025697968</v>
      </c>
      <c r="Y113" s="13">
        <f t="shared" si="40"/>
        <v>2902864.8113780227</v>
      </c>
      <c r="Z113" s="13">
        <f t="shared" si="41"/>
        <v>2902864.8113780227</v>
      </c>
      <c r="AA113" s="13">
        <f>RL_NAV*T113*(1-SUMPRODUCT((Flux!$B$7:$B$926=B113)*Flux!$F$7:$F$926*EXP(-(RL_Choc_Taux+IF(Q113&gt;0,RL_Choc_Spread,0))/10000*Flux!$D$7:$D$926))/K113)</f>
        <v>2709269.9800505517</v>
      </c>
      <c r="AB113" s="13">
        <f>RL_NAV*U113*(1-SUMPRODUCT((Flux!$B$7:$B$926=B113)*Flux!$F$7:$F$926*EXP(-(RL_Choc_Taux+IF(Q113&gt;0,RL_Choc_Spread,0))/10000*Flux!$D$7:$D$926))/K113)</f>
        <v>2709269.9800505517</v>
      </c>
      <c r="AC113" s="9" t="str">
        <f t="shared" si="42"/>
        <v/>
      </c>
      <c r="AD113" s="27">
        <f>SUMIF(Flux!$B$7:$B$926,B113,Flux!$F$7:$F$926)-K113</f>
        <v>0</v>
      </c>
      <c r="AE113" s="28">
        <v>1.270493466418243</v>
      </c>
      <c r="AF113" s="21">
        <f t="shared" si="43"/>
        <v>6.6436021877594502</v>
      </c>
    </row>
    <row r="114" spans="2:32" x14ac:dyDescent="0.2">
      <c r="B114" s="9" t="s">
        <v>411</v>
      </c>
      <c r="C114" s="9" t="s">
        <v>412</v>
      </c>
      <c r="D114" s="9" t="s">
        <v>413</v>
      </c>
      <c r="E114" s="19">
        <v>48711</v>
      </c>
      <c r="F114" s="20">
        <v>4.125</v>
      </c>
      <c r="G114" s="13">
        <v>17800000</v>
      </c>
      <c r="H114" s="21">
        <v>104.346</v>
      </c>
      <c r="I114" s="22">
        <v>102593.84</v>
      </c>
      <c r="J114" s="22">
        <v>18676181.84</v>
      </c>
      <c r="K114" s="21">
        <f t="shared" si="33"/>
        <v>104.92236988764046</v>
      </c>
      <c r="L114" s="23">
        <v>100.5961044140669</v>
      </c>
      <c r="M114" s="24">
        <v>0.23481303758970001</v>
      </c>
      <c r="N114" s="24">
        <v>3.1002551633021009</v>
      </c>
      <c r="O114" s="24">
        <v>3.5206279358651269</v>
      </c>
      <c r="P114" s="21">
        <f t="shared" si="34"/>
        <v>6.8556961367569276</v>
      </c>
      <c r="Q114" s="21">
        <f t="shared" si="35"/>
        <v>6.8556961367569276</v>
      </c>
      <c r="R114" s="25" t="s">
        <v>109</v>
      </c>
      <c r="S114" s="13">
        <f t="shared" si="36"/>
        <v>18676181.84</v>
      </c>
      <c r="T114" s="26">
        <f t="shared" si="37"/>
        <v>7.2046866695475E-3</v>
      </c>
      <c r="U114" s="26">
        <f t="shared" si="38"/>
        <v>7.2046866695475E-3</v>
      </c>
      <c r="V114" s="13">
        <f>RL_NAV*T114*(M114*Calculs!$I$13+N114*Calculs!$I$14+O114*Calculs!$I$15+AF114*Calculs!$I$22)</f>
        <v>251794.47373041211</v>
      </c>
      <c r="W114" s="13">
        <f>RL_NAV*U114*(M114*Calculs!$J$13+N114*Calculs!$J$14+O114*Calculs!$J$15+AF114*Calculs!$J$22)</f>
        <v>251794.47373041211</v>
      </c>
      <c r="X114" s="13">
        <f t="shared" si="39"/>
        <v>13482.117270411632</v>
      </c>
      <c r="Y114" s="13">
        <f t="shared" si="40"/>
        <v>3200955.6922464469</v>
      </c>
      <c r="Z114" s="13">
        <f t="shared" si="41"/>
        <v>3200955.6922464469</v>
      </c>
      <c r="AA114" s="13">
        <f>RL_NAV*T114*(1-SUMPRODUCT((Flux!$B$7:$B$926=B114)*Flux!$F$7:$F$926*EXP(-(RL_Choc_Taux+IF(Q114&gt;0,RL_Choc_Spread,0))/10000*Flux!$D$7:$D$926))/K114)</f>
        <v>2920700.3627708368</v>
      </c>
      <c r="AB114" s="13">
        <f>RL_NAV*U114*(1-SUMPRODUCT((Flux!$B$7:$B$926=B114)*Flux!$F$7:$F$926*EXP(-(RL_Choc_Taux+IF(Q114&gt;0,RL_Choc_Spread,0))/10000*Flux!$D$7:$D$926))/K114)</f>
        <v>2920700.3627708368</v>
      </c>
      <c r="AC114" s="9" t="str">
        <f t="shared" si="42"/>
        <v/>
      </c>
      <c r="AD114" s="27">
        <f>SUMIF(Flux!$B$7:$B$926,B114,Flux!$F$7:$F$926)-K114</f>
        <v>0</v>
      </c>
      <c r="AE114" s="28">
        <v>0.93144541124136071</v>
      </c>
      <c r="AF114" s="21">
        <f t="shared" si="43"/>
        <v>6.3857067074473646</v>
      </c>
    </row>
    <row r="115" spans="2:32" x14ac:dyDescent="0.2">
      <c r="B115" s="9" t="s">
        <v>414</v>
      </c>
      <c r="C115" s="9" t="s">
        <v>415</v>
      </c>
      <c r="D115" s="9" t="s">
        <v>416</v>
      </c>
      <c r="E115" s="19">
        <v>46157</v>
      </c>
      <c r="F115" s="20">
        <v>3.875</v>
      </c>
      <c r="G115" s="13">
        <v>18350000</v>
      </c>
      <c r="H115" s="21">
        <v>101.002</v>
      </c>
      <c r="I115" s="22">
        <v>93509.59</v>
      </c>
      <c r="J115" s="22">
        <v>18627376.59</v>
      </c>
      <c r="K115" s="21">
        <f t="shared" si="33"/>
        <v>101.51158904632152</v>
      </c>
      <c r="L115" s="23">
        <v>79.031389323847918</v>
      </c>
      <c r="M115" s="24">
        <v>0.87337440109514042</v>
      </c>
      <c r="N115" s="24">
        <v>0</v>
      </c>
      <c r="O115" s="24">
        <v>0</v>
      </c>
      <c r="P115" s="21">
        <f t="shared" si="34"/>
        <v>0.87337440109514042</v>
      </c>
      <c r="Q115" s="21">
        <f t="shared" si="35"/>
        <v>0.87337440109514042</v>
      </c>
      <c r="R115" s="25" t="s">
        <v>109</v>
      </c>
      <c r="S115" s="13">
        <f t="shared" si="36"/>
        <v>18627376.59</v>
      </c>
      <c r="T115" s="26">
        <f t="shared" si="37"/>
        <v>7.1858591309696823E-3</v>
      </c>
      <c r="U115" s="26">
        <f t="shared" si="38"/>
        <v>7.1858591309696823E-3</v>
      </c>
      <c r="V115" s="13">
        <f>RL_NAV*T115*(M115*Calculs!$I$13+N115*Calculs!$I$14+O115*Calculs!$I$15+AF115*Calculs!$I$22)</f>
        <v>28031.048521981102</v>
      </c>
      <c r="W115" s="13">
        <f>RL_NAV*U115*(M115*Calculs!$J$13+N115*Calculs!$J$14+O115*Calculs!$J$15+AF115*Calculs!$J$22)</f>
        <v>28031.048521981102</v>
      </c>
      <c r="X115" s="13">
        <f t="shared" si="39"/>
        <v>1504.8307198035288</v>
      </c>
      <c r="Y115" s="13">
        <f t="shared" si="40"/>
        <v>406716.84683162224</v>
      </c>
      <c r="Z115" s="13">
        <f t="shared" si="41"/>
        <v>406716.84683162224</v>
      </c>
      <c r="AA115" s="13">
        <f>RL_NAV*T115*(1-SUMPRODUCT((Flux!$B$7:$B$926=B115)*Flux!$F$7:$F$926*EXP(-(RL_Choc_Taux+IF(Q115&gt;0,RL_Choc_Spread,0))/10000*Flux!$D$7:$D$926))/K115)</f>
        <v>402308.78648214409</v>
      </c>
      <c r="AB115" s="13">
        <f>RL_NAV*U115*(1-SUMPRODUCT((Flux!$B$7:$B$926=B115)*Flux!$F$7:$F$926*EXP(-(RL_Choc_Taux+IF(Q115&gt;0,RL_Choc_Spread,0))/10000*Flux!$D$7:$D$926))/K115)</f>
        <v>402308.78648214409</v>
      </c>
      <c r="AC115" s="9" t="str">
        <f t="shared" si="42"/>
        <v/>
      </c>
      <c r="AD115" s="27">
        <f>SUMIF(Flux!$B$7:$B$926,B115,Flux!$F$7:$F$926)-K115</f>
        <v>0</v>
      </c>
      <c r="AE115" s="28">
        <v>0.73177212336896236</v>
      </c>
      <c r="AF115" s="21">
        <f t="shared" si="43"/>
        <v>0.63911103998548668</v>
      </c>
    </row>
    <row r="116" spans="2:32" x14ac:dyDescent="0.2">
      <c r="B116" s="9" t="s">
        <v>417</v>
      </c>
      <c r="C116" s="9" t="s">
        <v>418</v>
      </c>
      <c r="D116" s="9" t="s">
        <v>419</v>
      </c>
      <c r="E116" s="19">
        <v>47635</v>
      </c>
      <c r="F116" s="20">
        <v>4.75</v>
      </c>
      <c r="G116" s="13">
        <v>20000000</v>
      </c>
      <c r="H116" s="21">
        <v>106.482</v>
      </c>
      <c r="I116" s="22">
        <v>80684.929999999993</v>
      </c>
      <c r="J116" s="22">
        <v>21377084.93</v>
      </c>
      <c r="K116" s="21">
        <f t="shared" si="33"/>
        <v>106.88542464999999</v>
      </c>
      <c r="L116" s="23">
        <v>111.1131193759438</v>
      </c>
      <c r="M116" s="24">
        <v>0.36769033067039009</v>
      </c>
      <c r="N116" s="24">
        <v>4.1327532778711662</v>
      </c>
      <c r="O116" s="24">
        <v>0</v>
      </c>
      <c r="P116" s="21">
        <f t="shared" si="34"/>
        <v>4.5004436085415565</v>
      </c>
      <c r="Q116" s="21">
        <f t="shared" si="35"/>
        <v>4.5004436085415565</v>
      </c>
      <c r="R116" s="25" t="s">
        <v>109</v>
      </c>
      <c r="S116" s="13">
        <f t="shared" si="36"/>
        <v>21377084.93</v>
      </c>
      <c r="T116" s="26">
        <f t="shared" si="37"/>
        <v>8.2466105839198531E-3</v>
      </c>
      <c r="U116" s="26">
        <f t="shared" si="38"/>
        <v>8.2466105839198531E-3</v>
      </c>
      <c r="V116" s="13">
        <f>RL_NAV*T116*(M116*Calculs!$I$13+N116*Calculs!$I$14+O116*Calculs!$I$15+AF116*Calculs!$I$22)</f>
        <v>202506.9614523437</v>
      </c>
      <c r="W116" s="13">
        <f>RL_NAV*U116*(M116*Calculs!$J$13+N116*Calculs!$J$14+O116*Calculs!$J$15+AF116*Calculs!$J$22)</f>
        <v>202506.9614523437</v>
      </c>
      <c r="X116" s="13">
        <f t="shared" si="39"/>
        <v>9473.0858821705442</v>
      </c>
      <c r="Y116" s="13">
        <f t="shared" si="40"/>
        <v>2405159.1310617132</v>
      </c>
      <c r="Z116" s="13">
        <f t="shared" si="41"/>
        <v>2405159.1310617132</v>
      </c>
      <c r="AA116" s="13">
        <f>RL_NAV*T116*(1-SUMPRODUCT((Flux!$B$7:$B$926=B116)*Flux!$F$7:$F$926*EXP(-(RL_Choc_Taux+IF(Q116&gt;0,RL_Choc_Spread,0))/10000*Flux!$D$7:$D$926))/K116)</f>
        <v>2268106.9192449516</v>
      </c>
      <c r="AB116" s="13">
        <f>RL_NAV*U116*(1-SUMPRODUCT((Flux!$B$7:$B$926=B116)*Flux!$F$7:$F$926*EXP(-(RL_Choc_Taux+IF(Q116&gt;0,RL_Choc_Spread,0))/10000*Flux!$D$7:$D$926))/K116)</f>
        <v>2268106.9192449516</v>
      </c>
      <c r="AC116" s="9" t="str">
        <f t="shared" si="42"/>
        <v/>
      </c>
      <c r="AD116" s="27">
        <f>SUMIF(Flux!$B$7:$B$926,B116,Flux!$F$7:$F$926)-K116</f>
        <v>0</v>
      </c>
      <c r="AE116" s="28">
        <v>1.028825179406887</v>
      </c>
      <c r="AF116" s="21">
        <f t="shared" si="43"/>
        <v>4.6301697029683444</v>
      </c>
    </row>
    <row r="117" spans="2:32" x14ac:dyDescent="0.2">
      <c r="B117" s="9" t="s">
        <v>420</v>
      </c>
      <c r="C117" s="9" t="s">
        <v>421</v>
      </c>
      <c r="D117" s="9" t="s">
        <v>422</v>
      </c>
      <c r="E117" s="19">
        <v>47283</v>
      </c>
      <c r="F117" s="20">
        <v>4.875</v>
      </c>
      <c r="G117" s="13">
        <v>17500000</v>
      </c>
      <c r="H117" s="21">
        <v>106.205</v>
      </c>
      <c r="I117" s="22">
        <v>42071.92</v>
      </c>
      <c r="J117" s="22">
        <v>18627946.920000002</v>
      </c>
      <c r="K117" s="21">
        <f t="shared" si="33"/>
        <v>106.44541097142859</v>
      </c>
      <c r="L117" s="23">
        <v>108.6597547895167</v>
      </c>
      <c r="M117" s="24">
        <v>1.4094458827514651</v>
      </c>
      <c r="N117" s="24">
        <v>2.2847209329234621</v>
      </c>
      <c r="O117" s="24">
        <v>0</v>
      </c>
      <c r="P117" s="21">
        <f t="shared" si="34"/>
        <v>3.6941668156749272</v>
      </c>
      <c r="Q117" s="21">
        <f t="shared" si="35"/>
        <v>3.6941668156749272</v>
      </c>
      <c r="R117" s="25" t="s">
        <v>109</v>
      </c>
      <c r="S117" s="13">
        <f t="shared" si="36"/>
        <v>18627946.920000002</v>
      </c>
      <c r="T117" s="26">
        <f t="shared" si="37"/>
        <v>7.1860791464409095E-3</v>
      </c>
      <c r="U117" s="26">
        <f t="shared" si="38"/>
        <v>7.1860791464409095E-3</v>
      </c>
      <c r="V117" s="13">
        <f>RL_NAV*T117*(M117*Calculs!$I$13+N117*Calculs!$I$14+O117*Calculs!$I$15+AF117*Calculs!$I$22)</f>
        <v>141890.88152158627</v>
      </c>
      <c r="W117" s="13">
        <f>RL_NAV*U117*(M117*Calculs!$J$13+N117*Calculs!$J$14+O117*Calculs!$J$15+AF117*Calculs!$J$22)</f>
        <v>141890.88152158627</v>
      </c>
      <c r="X117" s="13">
        <f t="shared" si="39"/>
        <v>7617.0971568125042</v>
      </c>
      <c r="Y117" s="13">
        <f t="shared" si="40"/>
        <v>1720368.5839004493</v>
      </c>
      <c r="Z117" s="13">
        <f t="shared" si="41"/>
        <v>1720368.5839004493</v>
      </c>
      <c r="AA117" s="13">
        <f>RL_NAV*T117*(1-SUMPRODUCT((Flux!$B$7:$B$926=B117)*Flux!$F$7:$F$926*EXP(-(RL_Choc_Taux+IF(Q117&gt;0,RL_Choc_Spread,0))/10000*Flux!$D$7:$D$926))/K117)</f>
        <v>1640360.4935431327</v>
      </c>
      <c r="AB117" s="13">
        <f>RL_NAV*U117*(1-SUMPRODUCT((Flux!$B$7:$B$926=B117)*Flux!$F$7:$F$926*EXP(-(RL_Choc_Taux+IF(Q117&gt;0,RL_Choc_Spread,0))/10000*Flux!$D$7:$D$926))/K117)</f>
        <v>1640360.4935431327</v>
      </c>
      <c r="AC117" s="9" t="str">
        <f t="shared" si="42"/>
        <v/>
      </c>
      <c r="AD117" s="27">
        <f>SUMIF(Flux!$B$7:$B$926,B117,Flux!$F$7:$F$926)-K117</f>
        <v>0</v>
      </c>
      <c r="AE117" s="28">
        <v>1.0061088406436729</v>
      </c>
      <c r="AF117" s="21">
        <f t="shared" si="43"/>
        <v>3.7167338920630297</v>
      </c>
    </row>
    <row r="118" spans="2:32" x14ac:dyDescent="0.2">
      <c r="B118" s="9" t="s">
        <v>423</v>
      </c>
      <c r="C118" s="9" t="s">
        <v>424</v>
      </c>
      <c r="D118" s="9" t="s">
        <v>425</v>
      </c>
      <c r="E118" s="19">
        <v>46229</v>
      </c>
      <c r="F118" s="20">
        <v>4.5</v>
      </c>
      <c r="G118" s="13">
        <v>8000000</v>
      </c>
      <c r="H118" s="21">
        <v>102.0215</v>
      </c>
      <c r="I118" s="22">
        <v>336328.77</v>
      </c>
      <c r="J118" s="22">
        <v>8498048.7699999996</v>
      </c>
      <c r="K118" s="21">
        <f t="shared" si="33"/>
        <v>106.22560962499999</v>
      </c>
      <c r="L118" s="23">
        <v>66.132579722375155</v>
      </c>
      <c r="M118" s="24">
        <v>1.028241445043123</v>
      </c>
      <c r="N118" s="24">
        <v>0</v>
      </c>
      <c r="O118" s="24">
        <v>0</v>
      </c>
      <c r="P118" s="21">
        <f t="shared" si="34"/>
        <v>1.028241445043123</v>
      </c>
      <c r="Q118" s="21">
        <f t="shared" si="35"/>
        <v>1.028241445043123</v>
      </c>
      <c r="R118" s="25" t="s">
        <v>109</v>
      </c>
      <c r="S118" s="13">
        <f t="shared" si="36"/>
        <v>8498048.7699999996</v>
      </c>
      <c r="T118" s="26">
        <f t="shared" si="37"/>
        <v>3.2782813540213167E-3</v>
      </c>
      <c r="U118" s="26">
        <f t="shared" si="38"/>
        <v>3.2782813540213167E-3</v>
      </c>
      <c r="V118" s="13">
        <f>RL_NAV*T118*(M118*Calculs!$I$13+N118*Calculs!$I$14+O118*Calculs!$I$15+AF118*Calculs!$I$22)</f>
        <v>13907.743262769241</v>
      </c>
      <c r="W118" s="13">
        <f>RL_NAV*U118*(M118*Calculs!$J$13+N118*Calculs!$J$14+O118*Calculs!$J$15+AF118*Calculs!$J$22)</f>
        <v>13907.743262769241</v>
      </c>
      <c r="X118" s="13">
        <f t="shared" si="39"/>
        <v>1636.5807774446607</v>
      </c>
      <c r="Y118" s="13">
        <f t="shared" si="40"/>
        <v>218451.14868279334</v>
      </c>
      <c r="Z118" s="13">
        <f t="shared" si="41"/>
        <v>218451.14868279334</v>
      </c>
      <c r="AA118" s="13">
        <f>RL_NAV*T118*(1-SUMPRODUCT((Flux!$B$7:$B$926=B118)*Flux!$F$7:$F$926*EXP(-(RL_Choc_Taux+IF(Q118&gt;0,RL_Choc_Spread,0))/10000*Flux!$D$7:$D$926))/K118)</f>
        <v>215561.8165283</v>
      </c>
      <c r="AB118" s="13">
        <f>RL_NAV*U118*(1-SUMPRODUCT((Flux!$B$7:$B$926=B118)*Flux!$F$7:$F$926*EXP(-(RL_Choc_Taux+IF(Q118&gt;0,RL_Choc_Spread,0))/10000*Flux!$D$7:$D$926))/K118)</f>
        <v>215561.8165283</v>
      </c>
      <c r="AC118" s="9" t="str">
        <f t="shared" si="42"/>
        <v/>
      </c>
      <c r="AD118" s="27">
        <f>SUMIF(Flux!$B$7:$B$926,B118,Flux!$F$7:$F$926)-K118</f>
        <v>0</v>
      </c>
      <c r="AE118" s="28">
        <v>0.6123387011331034</v>
      </c>
      <c r="AF118" s="21">
        <f t="shared" si="43"/>
        <v>0.62963203090893127</v>
      </c>
    </row>
    <row r="119" spans="2:32" x14ac:dyDescent="0.2">
      <c r="B119" s="9" t="s">
        <v>426</v>
      </c>
      <c r="C119" s="9" t="s">
        <v>427</v>
      </c>
      <c r="D119" s="9" t="s">
        <v>428</v>
      </c>
      <c r="E119" s="19">
        <v>47703</v>
      </c>
      <c r="F119" s="20">
        <v>4.9180000000000001</v>
      </c>
      <c r="G119" s="13">
        <v>20000000</v>
      </c>
      <c r="H119" s="21">
        <v>106.6785</v>
      </c>
      <c r="I119" s="22">
        <v>883892.6</v>
      </c>
      <c r="J119" s="22">
        <v>22219592.600000001</v>
      </c>
      <c r="K119" s="21">
        <f t="shared" si="33"/>
        <v>111.09796300000001</v>
      </c>
      <c r="L119" s="23">
        <v>125.5352032759328</v>
      </c>
      <c r="M119" s="24">
        <v>0.26200750924041349</v>
      </c>
      <c r="N119" s="24">
        <v>4.1234260070783648</v>
      </c>
      <c r="O119" s="24">
        <v>8.5911309698360569E-2</v>
      </c>
      <c r="P119" s="21">
        <f t="shared" si="34"/>
        <v>4.4713448260171393</v>
      </c>
      <c r="Q119" s="21">
        <f t="shared" si="35"/>
        <v>4.4713448260171393</v>
      </c>
      <c r="R119" s="25" t="s">
        <v>109</v>
      </c>
      <c r="S119" s="13">
        <f t="shared" si="36"/>
        <v>22219592.600000001</v>
      </c>
      <c r="T119" s="26">
        <f t="shared" si="37"/>
        <v>8.5716236851544961E-3</v>
      </c>
      <c r="U119" s="26">
        <f t="shared" si="38"/>
        <v>8.5716236851544961E-3</v>
      </c>
      <c r="V119" s="13">
        <f>RL_NAV*T119*(M119*Calculs!$I$13+N119*Calculs!$I$14+O119*Calculs!$I$15+AF119*Calculs!$I$22)</f>
        <v>223732.15979161454</v>
      </c>
      <c r="W119" s="13">
        <f>RL_NAV*U119*(M119*Calculs!$J$13+N119*Calculs!$J$14+O119*Calculs!$J$15+AF119*Calculs!$J$22)</f>
        <v>223732.15979161454</v>
      </c>
      <c r="X119" s="13">
        <f t="shared" si="39"/>
        <v>10069.138702012679</v>
      </c>
      <c r="Y119" s="13">
        <f t="shared" si="40"/>
        <v>2483786.5102054682</v>
      </c>
      <c r="Z119" s="13">
        <f t="shared" si="41"/>
        <v>2483786.5102054682</v>
      </c>
      <c r="AA119" s="13">
        <f>RL_NAV*T119*(1-SUMPRODUCT((Flux!$B$7:$B$926=B119)*Flux!$F$7:$F$926*EXP(-(RL_Choc_Taux+IF(Q119&gt;0,RL_Choc_Spread,0))/10000*Flux!$D$7:$D$926))/K119)</f>
        <v>2337543.4332717499</v>
      </c>
      <c r="AB119" s="13">
        <f>RL_NAV*U119*(1-SUMPRODUCT((Flux!$B$7:$B$926=B119)*Flux!$F$7:$F$926*EXP(-(RL_Choc_Taux+IF(Q119&gt;0,RL_Choc_Spread,0))/10000*Flux!$D$7:$D$926))/K119)</f>
        <v>2337543.4332717499</v>
      </c>
      <c r="AC119" s="9" t="str">
        <f t="shared" si="42"/>
        <v/>
      </c>
      <c r="AD119" s="27">
        <f>SUMIF(Flux!$B$7:$B$926,B119,Flux!$F$7:$F$926)-K119</f>
        <v>0</v>
      </c>
      <c r="AE119" s="28">
        <v>1.1623629932956741</v>
      </c>
      <c r="AF119" s="21">
        <f t="shared" si="43"/>
        <v>5.197325756026407</v>
      </c>
    </row>
    <row r="120" spans="2:32" x14ac:dyDescent="0.2">
      <c r="B120" s="9" t="s">
        <v>429</v>
      </c>
      <c r="C120" s="9" t="s">
        <v>430</v>
      </c>
      <c r="D120" s="9" t="s">
        <v>431</v>
      </c>
      <c r="E120" s="19">
        <v>47025</v>
      </c>
      <c r="F120" s="20">
        <v>4.5</v>
      </c>
      <c r="G120" s="13">
        <v>25000000</v>
      </c>
      <c r="H120" s="21">
        <v>103.6485</v>
      </c>
      <c r="I120" s="22">
        <v>850684.93</v>
      </c>
      <c r="J120" s="22">
        <v>26762809.93</v>
      </c>
      <c r="K120" s="21">
        <f t="shared" si="33"/>
        <v>107.05123971999998</v>
      </c>
      <c r="L120" s="23">
        <v>126.3191909301439</v>
      </c>
      <c r="M120" s="24">
        <v>1.807559976250513</v>
      </c>
      <c r="N120" s="24">
        <v>1.196920582292023</v>
      </c>
      <c r="O120" s="24">
        <v>0</v>
      </c>
      <c r="P120" s="21">
        <f t="shared" si="34"/>
        <v>3.0044805585425358</v>
      </c>
      <c r="Q120" s="21">
        <f t="shared" si="35"/>
        <v>3.0044805585425358</v>
      </c>
      <c r="R120" s="25" t="s">
        <v>109</v>
      </c>
      <c r="S120" s="13">
        <f t="shared" si="36"/>
        <v>26762809.93</v>
      </c>
      <c r="T120" s="26">
        <f t="shared" si="37"/>
        <v>1.0324254796520254E-2</v>
      </c>
      <c r="U120" s="26">
        <f t="shared" si="38"/>
        <v>1.0324254796520254E-2</v>
      </c>
      <c r="V120" s="13">
        <f>RL_NAV*T120*(M120*Calculs!$I$13+N120*Calculs!$I$14+O120*Calculs!$I$15+AF120*Calculs!$I$22)</f>
        <v>179195.68531437189</v>
      </c>
      <c r="W120" s="13">
        <f>RL_NAV*U120*(M120*Calculs!$J$13+N120*Calculs!$J$14+O120*Calculs!$J$15+AF120*Calculs!$J$22)</f>
        <v>179195.68531437189</v>
      </c>
      <c r="X120" s="13">
        <f t="shared" si="39"/>
        <v>6695.6977157133624</v>
      </c>
      <c r="Y120" s="13">
        <f t="shared" si="40"/>
        <v>2010208.5531663529</v>
      </c>
      <c r="Z120" s="13">
        <f t="shared" si="41"/>
        <v>2010208.5531663529</v>
      </c>
      <c r="AA120" s="13">
        <f>RL_NAV*T120*(1-SUMPRODUCT((Flux!$B$7:$B$926=B120)*Flux!$F$7:$F$926*EXP(-(RL_Choc_Taux+IF(Q120&gt;0,RL_Choc_Spread,0))/10000*Flux!$D$7:$D$926))/K120)</f>
        <v>1932487.8694757507</v>
      </c>
      <c r="AB120" s="13">
        <f>RL_NAV*U120*(1-SUMPRODUCT((Flux!$B$7:$B$926=B120)*Flux!$F$7:$F$926*EXP(-(RL_Choc_Taux+IF(Q120&gt;0,RL_Choc_Spread,0))/10000*Flux!$D$7:$D$926))/K120)</f>
        <v>1932487.8694757507</v>
      </c>
      <c r="AC120" s="9" t="str">
        <f t="shared" si="42"/>
        <v/>
      </c>
      <c r="AD120" s="27">
        <f>SUMIF(Flux!$B$7:$B$926,B120,Flux!$F$7:$F$926)-K120</f>
        <v>0</v>
      </c>
      <c r="AE120" s="28">
        <v>1.1696221382420739</v>
      </c>
      <c r="AF120" s="21">
        <f t="shared" si="43"/>
        <v>3.5141069751892613</v>
      </c>
    </row>
    <row r="121" spans="2:32" x14ac:dyDescent="0.2">
      <c r="B121" s="9" t="s">
        <v>432</v>
      </c>
      <c r="C121" s="9" t="s">
        <v>433</v>
      </c>
      <c r="D121" s="9" t="s">
        <v>434</v>
      </c>
      <c r="E121" s="19">
        <v>46412</v>
      </c>
      <c r="F121" s="20">
        <v>4.75</v>
      </c>
      <c r="G121" s="13">
        <v>10000000</v>
      </c>
      <c r="H121" s="21">
        <v>103.28749999999999</v>
      </c>
      <c r="I121" s="22">
        <v>205616.44</v>
      </c>
      <c r="J121" s="22">
        <v>10534366.439999999</v>
      </c>
      <c r="K121" s="21">
        <f t="shared" si="33"/>
        <v>105.34366440000001</v>
      </c>
      <c r="L121" s="23">
        <v>68.818003936592362</v>
      </c>
      <c r="M121" s="24">
        <v>1.527115109516052</v>
      </c>
      <c r="N121" s="24">
        <v>0</v>
      </c>
      <c r="O121" s="24">
        <v>0</v>
      </c>
      <c r="P121" s="21">
        <f t="shared" si="34"/>
        <v>1.527115109516052</v>
      </c>
      <c r="Q121" s="21">
        <f t="shared" si="35"/>
        <v>1.527115109516052</v>
      </c>
      <c r="R121" s="25" t="s">
        <v>109</v>
      </c>
      <c r="S121" s="13">
        <f t="shared" si="36"/>
        <v>10534366.439999999</v>
      </c>
      <c r="T121" s="26">
        <f t="shared" si="37"/>
        <v>4.0638290049116671E-3</v>
      </c>
      <c r="U121" s="26">
        <f t="shared" si="38"/>
        <v>4.0638290049116671E-3</v>
      </c>
      <c r="V121" s="13">
        <f>RL_NAV*T121*(M121*Calculs!$I$13+N121*Calculs!$I$14+O121*Calculs!$I$15+AF121*Calculs!$I$22)</f>
        <v>26044.877186239693</v>
      </c>
      <c r="W121" s="13">
        <f>RL_NAV*U121*(M121*Calculs!$J$13+N121*Calculs!$J$14+O121*Calculs!$J$15+AF121*Calculs!$J$22)</f>
        <v>26044.877186239693</v>
      </c>
      <c r="X121" s="13">
        <f t="shared" si="39"/>
        <v>2472.3724330819555</v>
      </c>
      <c r="Y121" s="13">
        <f t="shared" si="40"/>
        <v>402179.75399257056</v>
      </c>
      <c r="Z121" s="13">
        <f t="shared" si="41"/>
        <v>402179.75399257056</v>
      </c>
      <c r="AA121" s="13">
        <f>RL_NAV*T121*(1-SUMPRODUCT((Flux!$B$7:$B$926=B121)*Flux!$F$7:$F$926*EXP(-(RL_Choc_Taux+IF(Q121&gt;0,RL_Choc_Spread,0))/10000*Flux!$D$7:$D$926))/K121)</f>
        <v>394463.93885615806</v>
      </c>
      <c r="AB121" s="13">
        <f>RL_NAV*U121*(1-SUMPRODUCT((Flux!$B$7:$B$926=B121)*Flux!$F$7:$F$926*EXP(-(RL_Choc_Taux+IF(Q121&gt;0,RL_Choc_Spread,0))/10000*Flux!$D$7:$D$926))/K121)</f>
        <v>394463.93885615806</v>
      </c>
      <c r="AC121" s="9" t="str">
        <f t="shared" si="42"/>
        <v/>
      </c>
      <c r="AD121" s="27">
        <f>SUMIF(Flux!$B$7:$B$926,B121,Flux!$F$7:$F$926)-K121</f>
        <v>0</v>
      </c>
      <c r="AE121" s="28">
        <v>0.63720374015363312</v>
      </c>
      <c r="AF121" s="21">
        <f t="shared" si="43"/>
        <v>0.97308345942875341</v>
      </c>
    </row>
    <row r="122" spans="2:32" x14ac:dyDescent="0.2">
      <c r="B122" s="9" t="s">
        <v>435</v>
      </c>
      <c r="C122" s="9" t="s">
        <v>436</v>
      </c>
      <c r="D122" s="9" t="s">
        <v>437</v>
      </c>
      <c r="E122" s="19">
        <v>47073</v>
      </c>
      <c r="F122" s="20">
        <v>6</v>
      </c>
      <c r="G122" s="13">
        <v>18000000</v>
      </c>
      <c r="H122" s="21">
        <v>109.4145</v>
      </c>
      <c r="I122" s="22">
        <v>674630.14</v>
      </c>
      <c r="J122" s="22">
        <v>20369240.140000001</v>
      </c>
      <c r="K122" s="21">
        <f t="shared" si="33"/>
        <v>113.16244522222223</v>
      </c>
      <c r="L122" s="23">
        <v>98.778657316836814</v>
      </c>
      <c r="M122" s="24">
        <v>1.738640661593214</v>
      </c>
      <c r="N122" s="24">
        <v>1.33354337081831</v>
      </c>
      <c r="O122" s="24">
        <v>0</v>
      </c>
      <c r="P122" s="21">
        <f t="shared" si="34"/>
        <v>3.0721840324115242</v>
      </c>
      <c r="Q122" s="21">
        <f t="shared" si="35"/>
        <v>3.0721840324115242</v>
      </c>
      <c r="R122" s="25" t="s">
        <v>109</v>
      </c>
      <c r="S122" s="13">
        <f t="shared" si="36"/>
        <v>20369240.140000001</v>
      </c>
      <c r="T122" s="26">
        <f t="shared" si="37"/>
        <v>7.8578155943607939E-3</v>
      </c>
      <c r="U122" s="26">
        <f t="shared" si="38"/>
        <v>7.8578155943607939E-3</v>
      </c>
      <c r="V122" s="13">
        <f>RL_NAV*T122*(M122*Calculs!$I$13+N122*Calculs!$I$14+O122*Calculs!$I$15+AF122*Calculs!$I$22)</f>
        <v>122040.29543288947</v>
      </c>
      <c r="W122" s="13">
        <f>RL_NAV*U122*(M122*Calculs!$J$13+N122*Calculs!$J$14+O122*Calculs!$J$15+AF122*Calculs!$J$22)</f>
        <v>122040.29543288947</v>
      </c>
      <c r="X122" s="13">
        <f t="shared" si="39"/>
        <v>5991.4014756610095</v>
      </c>
      <c r="Y122" s="13">
        <f t="shared" si="40"/>
        <v>1564451.357761597</v>
      </c>
      <c r="Z122" s="13">
        <f t="shared" si="41"/>
        <v>1564451.357761597</v>
      </c>
      <c r="AA122" s="13">
        <f>RL_NAV*T122*(1-SUMPRODUCT((Flux!$B$7:$B$926=B122)*Flux!$F$7:$F$926*EXP(-(RL_Choc_Taux+IF(Q122&gt;0,RL_Choc_Spread,0))/10000*Flux!$D$7:$D$926))/K122)</f>
        <v>1502100.8794428089</v>
      </c>
      <c r="AB122" s="13">
        <f>RL_NAV*U122*(1-SUMPRODUCT((Flux!$B$7:$B$926=B122)*Flux!$F$7:$F$926*EXP(-(RL_Choc_Taux+IF(Q122&gt;0,RL_Choc_Spread,0))/10000*Flux!$D$7:$D$926))/K122)</f>
        <v>1502100.8794428089</v>
      </c>
      <c r="AC122" s="9" t="str">
        <f t="shared" si="42"/>
        <v/>
      </c>
      <c r="AD122" s="27">
        <f>SUMIF(Flux!$B$7:$B$926,B122,Flux!$F$7:$F$926)-K122</f>
        <v>0</v>
      </c>
      <c r="AE122" s="28">
        <v>0.91461719737811897</v>
      </c>
      <c r="AF122" s="21">
        <f t="shared" si="43"/>
        <v>2.8098723495540363</v>
      </c>
    </row>
    <row r="123" spans="2:32" x14ac:dyDescent="0.2">
      <c r="B123" s="9" t="s">
        <v>438</v>
      </c>
      <c r="C123" s="9" t="s">
        <v>439</v>
      </c>
      <c r="D123" s="9" t="s">
        <v>440</v>
      </c>
      <c r="E123" s="19">
        <v>47506</v>
      </c>
      <c r="F123" s="20">
        <v>4.7469999999999999</v>
      </c>
      <c r="G123" s="13">
        <v>20000000</v>
      </c>
      <c r="H123" s="21">
        <v>107.1075</v>
      </c>
      <c r="I123" s="22">
        <v>416184.11</v>
      </c>
      <c r="J123" s="22">
        <v>21837684.109999999</v>
      </c>
      <c r="K123" s="21">
        <f t="shared" si="33"/>
        <v>109.18842055</v>
      </c>
      <c r="L123" s="23">
        <v>90.430776458721127</v>
      </c>
      <c r="M123" s="24">
        <v>0.79176423142841812</v>
      </c>
      <c r="N123" s="24">
        <v>3.358677662228212</v>
      </c>
      <c r="O123" s="24">
        <v>0</v>
      </c>
      <c r="P123" s="21">
        <f t="shared" si="34"/>
        <v>4.1504418936566303</v>
      </c>
      <c r="Q123" s="21">
        <f t="shared" si="35"/>
        <v>4.1504418936566303</v>
      </c>
      <c r="R123" s="25" t="s">
        <v>109</v>
      </c>
      <c r="S123" s="13">
        <f t="shared" si="36"/>
        <v>21837684.109999999</v>
      </c>
      <c r="T123" s="26">
        <f t="shared" si="37"/>
        <v>8.4242953377191062E-3</v>
      </c>
      <c r="U123" s="26">
        <f t="shared" si="38"/>
        <v>8.4242953377191062E-3</v>
      </c>
      <c r="V123" s="13">
        <f>RL_NAV*T123*(M123*Calculs!$I$13+N123*Calculs!$I$14+O123*Calculs!$I$15+AF123*Calculs!$I$22)</f>
        <v>171095.30915756195</v>
      </c>
      <c r="W123" s="13">
        <f>RL_NAV*U123*(M123*Calculs!$J$13+N123*Calculs!$J$14+O123*Calculs!$J$15+AF123*Calculs!$J$22)</f>
        <v>171095.30915756195</v>
      </c>
      <c r="X123" s="13">
        <f t="shared" si="39"/>
        <v>7834.8651027154156</v>
      </c>
      <c r="Y123" s="13">
        <f t="shared" si="40"/>
        <v>2265900.9747645925</v>
      </c>
      <c r="Z123" s="13">
        <f t="shared" si="41"/>
        <v>2265900.9747645925</v>
      </c>
      <c r="AA123" s="13">
        <f>RL_NAV*T123*(1-SUMPRODUCT((Flux!$B$7:$B$926=B123)*Flux!$F$7:$F$926*EXP(-(RL_Choc_Taux+IF(Q123&gt;0,RL_Choc_Spread,0))/10000*Flux!$D$7:$D$926))/K123)</f>
        <v>2145469.9747394226</v>
      </c>
      <c r="AB123" s="13">
        <f>RL_NAV*U123*(1-SUMPRODUCT((Flux!$B$7:$B$926=B123)*Flux!$F$7:$F$926*EXP(-(RL_Choc_Taux+IF(Q123&gt;0,RL_Choc_Spread,0))/10000*Flux!$D$7:$D$926))/K123)</f>
        <v>2145469.9747394226</v>
      </c>
      <c r="AC123" s="9" t="str">
        <f t="shared" si="42"/>
        <v/>
      </c>
      <c r="AD123" s="27">
        <f>SUMIF(Flux!$B$7:$B$926,B123,Flux!$F$7:$F$926)-K123</f>
        <v>0</v>
      </c>
      <c r="AE123" s="28">
        <v>0.83732200424741809</v>
      </c>
      <c r="AF123" s="21">
        <f t="shared" si="43"/>
        <v>3.4752563249090191</v>
      </c>
    </row>
    <row r="124" spans="2:32" x14ac:dyDescent="0.2">
      <c r="B124" s="9" t="s">
        <v>441</v>
      </c>
      <c r="C124" s="9" t="s">
        <v>442</v>
      </c>
      <c r="D124" s="9" t="s">
        <v>443</v>
      </c>
      <c r="E124" s="19">
        <v>47506</v>
      </c>
      <c r="F124" s="20">
        <v>4.125</v>
      </c>
      <c r="G124" s="13">
        <v>9100000</v>
      </c>
      <c r="H124" s="21">
        <v>104.06399999999999</v>
      </c>
      <c r="I124" s="22">
        <v>164547.95000000001</v>
      </c>
      <c r="J124" s="22">
        <v>9634371.9499999993</v>
      </c>
      <c r="K124" s="21">
        <f t="shared" si="33"/>
        <v>105.87221923076922</v>
      </c>
      <c r="L124" s="23">
        <v>100.0182894438942</v>
      </c>
      <c r="M124" s="24">
        <v>0.77773664430795886</v>
      </c>
      <c r="N124" s="24">
        <v>3.4164707723673202</v>
      </c>
      <c r="O124" s="24">
        <v>0</v>
      </c>
      <c r="P124" s="21">
        <f t="shared" si="34"/>
        <v>4.1942074166752787</v>
      </c>
      <c r="Q124" s="21">
        <f t="shared" si="35"/>
        <v>4.1942074166752787</v>
      </c>
      <c r="R124" s="25" t="s">
        <v>109</v>
      </c>
      <c r="S124" s="13">
        <f t="shared" si="36"/>
        <v>9634371.9499999993</v>
      </c>
      <c r="T124" s="26">
        <f t="shared" si="37"/>
        <v>3.7166392869961125E-3</v>
      </c>
      <c r="U124" s="26">
        <f t="shared" si="38"/>
        <v>3.7166392869961125E-3</v>
      </c>
      <c r="V124" s="13">
        <f>RL_NAV*T124*(M124*Calculs!$I$13+N124*Calculs!$I$14+O124*Calculs!$I$15+AF124*Calculs!$I$22)</f>
        <v>80238.835513564627</v>
      </c>
      <c r="W124" s="13">
        <f>RL_NAV*U124*(M124*Calculs!$J$13+N124*Calculs!$J$14+O124*Calculs!$J$15+AF124*Calculs!$J$22)</f>
        <v>80238.835513564627</v>
      </c>
      <c r="X124" s="13">
        <f t="shared" si="39"/>
        <v>8328.3929590827811</v>
      </c>
      <c r="Y124" s="13">
        <f t="shared" si="40"/>
        <v>1010213.8571924566</v>
      </c>
      <c r="Z124" s="13">
        <f t="shared" si="41"/>
        <v>1010213.8571924566</v>
      </c>
      <c r="AA124" s="13">
        <f>RL_NAV*T124*(1-SUMPRODUCT((Flux!$B$7:$B$926=B124)*Flux!$F$7:$F$926*EXP(-(RL_Choc_Taux+IF(Q124&gt;0,RL_Choc_Spread,0))/10000*Flux!$D$7:$D$926))/K124)</f>
        <v>956309.9128835228</v>
      </c>
      <c r="AB124" s="13">
        <f>RL_NAV*U124*(1-SUMPRODUCT((Flux!$B$7:$B$926=B124)*Flux!$F$7:$F$926*EXP(-(RL_Choc_Taux+IF(Q124&gt;0,RL_Choc_Spread,0))/10000*Flux!$D$7:$D$926))/K124)</f>
        <v>956309.9128835228</v>
      </c>
      <c r="AC124" s="9" t="str">
        <f t="shared" si="42"/>
        <v/>
      </c>
      <c r="AD124" s="27">
        <f>SUMIF(Flux!$B$7:$B$926,B124,Flux!$F$7:$F$926)-K124</f>
        <v>0</v>
      </c>
      <c r="AE124" s="28">
        <v>0.92609527262865043</v>
      </c>
      <c r="AF124" s="21">
        <f t="shared" si="43"/>
        <v>3.8842356610070001</v>
      </c>
    </row>
    <row r="125" spans="2:32" x14ac:dyDescent="0.2">
      <c r="B125" s="9" t="s">
        <v>444</v>
      </c>
      <c r="C125" s="9" t="s">
        <v>445</v>
      </c>
      <c r="D125" s="9" t="s">
        <v>446</v>
      </c>
      <c r="E125" s="19">
        <v>48968</v>
      </c>
      <c r="F125" s="20">
        <v>3.875</v>
      </c>
      <c r="G125" s="13">
        <v>18650000</v>
      </c>
      <c r="H125" s="21">
        <v>101.5365</v>
      </c>
      <c r="I125" s="22">
        <v>314814.55</v>
      </c>
      <c r="J125" s="22">
        <v>19251371.800000001</v>
      </c>
      <c r="K125" s="21">
        <f t="shared" si="33"/>
        <v>103.22451367292224</v>
      </c>
      <c r="L125" s="23">
        <v>111.0652145761342</v>
      </c>
      <c r="M125" s="24">
        <v>0.22796575781971429</v>
      </c>
      <c r="N125" s="24">
        <v>2.4072337702591509</v>
      </c>
      <c r="O125" s="24">
        <v>4.6997917472325046</v>
      </c>
      <c r="P125" s="21">
        <f t="shared" si="34"/>
        <v>7.3349912753113697</v>
      </c>
      <c r="Q125" s="21">
        <f t="shared" si="35"/>
        <v>7.3349912753113697</v>
      </c>
      <c r="R125" s="25" t="s">
        <v>109</v>
      </c>
      <c r="S125" s="13">
        <f t="shared" si="36"/>
        <v>19251371.800000001</v>
      </c>
      <c r="T125" s="26">
        <f t="shared" si="37"/>
        <v>7.4265769612983515E-3</v>
      </c>
      <c r="U125" s="26">
        <f t="shared" si="38"/>
        <v>7.4265769612983515E-3</v>
      </c>
      <c r="V125" s="13">
        <f>RL_NAV*T125*(M125*Calculs!$I$13+N125*Calculs!$I$14+O125*Calculs!$I$15+AF125*Calculs!$I$22)</f>
        <v>291586.13965802448</v>
      </c>
      <c r="W125" s="13">
        <f>RL_NAV*U125*(M125*Calculs!$J$13+N125*Calculs!$J$14+O125*Calculs!$J$15+AF125*Calculs!$J$22)</f>
        <v>291586.13965802448</v>
      </c>
      <c r="X125" s="13">
        <f t="shared" si="39"/>
        <v>15146.252572921814</v>
      </c>
      <c r="Y125" s="13">
        <f t="shared" si="40"/>
        <v>3530216.1047693831</v>
      </c>
      <c r="Z125" s="13">
        <f t="shared" si="41"/>
        <v>3530216.1047693831</v>
      </c>
      <c r="AA125" s="13">
        <f>RL_NAV*T125*(1-SUMPRODUCT((Flux!$B$7:$B$926=B125)*Flux!$F$7:$F$926*EXP(-(RL_Choc_Taux+IF(Q125&gt;0,RL_Choc_Spread,0))/10000*Flux!$D$7:$D$926))/K125)</f>
        <v>3196222.8126480361</v>
      </c>
      <c r="AB125" s="13">
        <f>RL_NAV*U125*(1-SUMPRODUCT((Flux!$B$7:$B$926=B125)*Flux!$F$7:$F$926*EXP(-(RL_Choc_Taux+IF(Q125&gt;0,RL_Choc_Spread,0))/10000*Flux!$D$7:$D$926))/K125)</f>
        <v>3196222.8126480361</v>
      </c>
      <c r="AC125" s="9" t="str">
        <f t="shared" si="42"/>
        <v/>
      </c>
      <c r="AD125" s="27">
        <f>SUMIF(Flux!$B$7:$B$926,B125,Flux!$F$7:$F$926)-K125</f>
        <v>0</v>
      </c>
      <c r="AE125" s="28">
        <v>1.0283816164456869</v>
      </c>
      <c r="AF125" s="21">
        <f t="shared" si="43"/>
        <v>7.5431701843197168</v>
      </c>
    </row>
    <row r="126" spans="2:32" x14ac:dyDescent="0.2">
      <c r="B126" s="9" t="s">
        <v>447</v>
      </c>
      <c r="C126" s="9" t="s">
        <v>448</v>
      </c>
      <c r="D126" s="9" t="s">
        <v>304</v>
      </c>
      <c r="E126" s="19">
        <v>46959</v>
      </c>
      <c r="F126" s="20">
        <v>4.625</v>
      </c>
      <c r="G126" s="13">
        <v>5050000</v>
      </c>
      <c r="H126" s="21">
        <v>103.996</v>
      </c>
      <c r="I126" s="22">
        <v>218844.86</v>
      </c>
      <c r="J126" s="22">
        <v>5470642.8600000003</v>
      </c>
      <c r="K126" s="21">
        <f t="shared" si="33"/>
        <v>108.32956158415843</v>
      </c>
      <c r="L126" s="23">
        <v>122.3571754714299</v>
      </c>
      <c r="M126" s="24">
        <v>1.858443482252526</v>
      </c>
      <c r="N126" s="24">
        <v>0.96000715544636728</v>
      </c>
      <c r="O126" s="24">
        <v>0</v>
      </c>
      <c r="P126" s="21">
        <f t="shared" si="34"/>
        <v>2.8184506376988931</v>
      </c>
      <c r="Q126" s="21">
        <f t="shared" si="35"/>
        <v>2.8184506376988931</v>
      </c>
      <c r="R126" s="25" t="s">
        <v>109</v>
      </c>
      <c r="S126" s="13">
        <f t="shared" si="36"/>
        <v>5470642.8600000003</v>
      </c>
      <c r="T126" s="26">
        <f t="shared" si="37"/>
        <v>2.110402866333262E-3</v>
      </c>
      <c r="U126" s="26">
        <f t="shared" si="38"/>
        <v>2.110402866333262E-3</v>
      </c>
      <c r="V126" s="13">
        <f>RL_NAV*T126*(M126*Calculs!$I$13+N126*Calculs!$I$14+O126*Calculs!$I$15+AF126*Calculs!$I$22)</f>
        <v>33686.046261482654</v>
      </c>
      <c r="W126" s="13">
        <f>RL_NAV*U126*(M126*Calculs!$J$13+N126*Calculs!$J$14+O126*Calculs!$J$15+AF126*Calculs!$J$22)</f>
        <v>33686.046261482654</v>
      </c>
      <c r="X126" s="13">
        <f t="shared" si="39"/>
        <v>6157.6028857205729</v>
      </c>
      <c r="Y126" s="13">
        <f t="shared" si="40"/>
        <v>385468.42143474746</v>
      </c>
      <c r="Z126" s="13">
        <f t="shared" si="41"/>
        <v>385468.42143474746</v>
      </c>
      <c r="AA126" s="13">
        <f>RL_NAV*T126*(1-SUMPRODUCT((Flux!$B$7:$B$926=B126)*Flux!$F$7:$F$926*EXP(-(RL_Choc_Taux+IF(Q126&gt;0,RL_Choc_Spread,0))/10000*Flux!$D$7:$D$926))/K126)</f>
        <v>371347.70724153047</v>
      </c>
      <c r="AB126" s="13">
        <f>RL_NAV*U126*(1-SUMPRODUCT((Flux!$B$7:$B$926=B126)*Flux!$F$7:$F$926*EXP(-(RL_Choc_Taux+IF(Q126&gt;0,RL_Choc_Spread,0))/10000*Flux!$D$7:$D$926))/K126)</f>
        <v>371347.70724153047</v>
      </c>
      <c r="AC126" s="9" t="str">
        <f t="shared" si="42"/>
        <v/>
      </c>
      <c r="AD126" s="27">
        <f>SUMIF(Flux!$B$7:$B$926,B126,Flux!$F$7:$F$926)-K126</f>
        <v>0</v>
      </c>
      <c r="AE126" s="28">
        <v>1.1329368099206469</v>
      </c>
      <c r="AF126" s="21">
        <f t="shared" si="43"/>
        <v>3.1931264743933969</v>
      </c>
    </row>
    <row r="127" spans="2:32" x14ac:dyDescent="0.2">
      <c r="B127" s="9" t="s">
        <v>449</v>
      </c>
      <c r="C127" s="9" t="s">
        <v>450</v>
      </c>
      <c r="D127" s="9" t="s">
        <v>451</v>
      </c>
      <c r="E127" s="19">
        <v>49102</v>
      </c>
      <c r="F127" s="20">
        <v>4</v>
      </c>
      <c r="G127" s="13">
        <v>28400000</v>
      </c>
      <c r="H127" s="21">
        <v>101.8785</v>
      </c>
      <c r="I127" s="22">
        <v>77808.22</v>
      </c>
      <c r="J127" s="22">
        <v>29011302.219999999</v>
      </c>
      <c r="K127" s="21">
        <f t="shared" si="33"/>
        <v>102.1524726056338</v>
      </c>
      <c r="L127" s="23">
        <v>116.243900271085</v>
      </c>
      <c r="M127" s="24">
        <v>0.23096395010512899</v>
      </c>
      <c r="N127" s="24">
        <v>2.0487051858862029</v>
      </c>
      <c r="O127" s="24">
        <v>5.3869639850628692</v>
      </c>
      <c r="P127" s="21">
        <f t="shared" si="34"/>
        <v>7.6666331210542005</v>
      </c>
      <c r="Q127" s="21">
        <f t="shared" si="35"/>
        <v>7.6666331210542005</v>
      </c>
      <c r="R127" s="25" t="s">
        <v>109</v>
      </c>
      <c r="S127" s="13">
        <f t="shared" si="36"/>
        <v>29011302.219999999</v>
      </c>
      <c r="T127" s="26">
        <f t="shared" si="37"/>
        <v>1.1191652777923894E-2</v>
      </c>
      <c r="U127" s="26">
        <f t="shared" si="38"/>
        <v>1.1191652777923894E-2</v>
      </c>
      <c r="V127" s="13">
        <f>RL_NAV*T127*(M127*Calculs!$I$13+N127*Calculs!$I$14+O127*Calculs!$I$15+AF127*Calculs!$I$22)</f>
        <v>470110.00396154448</v>
      </c>
      <c r="W127" s="13">
        <f>RL_NAV*U127*(M127*Calculs!$J$13+N127*Calculs!$J$14+O127*Calculs!$J$15+AF127*Calculs!$J$22)</f>
        <v>470110.00396154448</v>
      </c>
      <c r="X127" s="13">
        <f t="shared" si="39"/>
        <v>16204.37443299105</v>
      </c>
      <c r="Y127" s="13">
        <f t="shared" si="40"/>
        <v>5560475.2621191312</v>
      </c>
      <c r="Z127" s="13">
        <f t="shared" si="41"/>
        <v>5560475.2621191312</v>
      </c>
      <c r="AA127" s="13">
        <f>RL_NAV*T127*(1-SUMPRODUCT((Flux!$B$7:$B$926=B127)*Flux!$F$7:$F$926*EXP(-(RL_Choc_Taux+IF(Q127&gt;0,RL_Choc_Spread,0))/10000*Flux!$D$7:$D$926))/K127)</f>
        <v>5015471.554146288</v>
      </c>
      <c r="AB127" s="13">
        <f>RL_NAV*U127*(1-SUMPRODUCT((Flux!$B$7:$B$926=B127)*Flux!$F$7:$F$926*EXP(-(RL_Choc_Taux+IF(Q127&gt;0,RL_Choc_Spread,0))/10000*Flux!$D$7:$D$926))/K127)</f>
        <v>5015471.554146288</v>
      </c>
      <c r="AC127" s="9" t="str">
        <f t="shared" si="42"/>
        <v/>
      </c>
      <c r="AD127" s="27">
        <f>SUMIF(Flux!$B$7:$B$926,B127,Flux!$F$7:$F$926)-K127</f>
        <v>0</v>
      </c>
      <c r="AE127" s="28">
        <v>1.076332409917454</v>
      </c>
      <c r="AF127" s="21">
        <f t="shared" si="43"/>
        <v>8.2518457031372403</v>
      </c>
    </row>
    <row r="128" spans="2:32" x14ac:dyDescent="0.2">
      <c r="B128" s="9" t="s">
        <v>452</v>
      </c>
      <c r="C128" s="9" t="s">
        <v>453</v>
      </c>
      <c r="D128" s="9" t="s">
        <v>390</v>
      </c>
      <c r="E128" s="19">
        <v>49735</v>
      </c>
      <c r="F128" s="20">
        <v>3.75</v>
      </c>
      <c r="G128" s="13">
        <v>10000000</v>
      </c>
      <c r="H128" s="21">
        <v>99.504499999999993</v>
      </c>
      <c r="I128" s="22">
        <v>126369.86</v>
      </c>
      <c r="J128" s="22">
        <v>10076819.859999999</v>
      </c>
      <c r="K128" s="21">
        <f t="shared" si="33"/>
        <v>100.76819859999999</v>
      </c>
      <c r="L128" s="23">
        <v>111.4279856292994</v>
      </c>
      <c r="M128" s="24">
        <v>0.22515196034591131</v>
      </c>
      <c r="N128" s="24">
        <v>0.68420643709104623</v>
      </c>
      <c r="O128" s="24">
        <v>7.9398123739733908</v>
      </c>
      <c r="P128" s="21">
        <f t="shared" si="34"/>
        <v>8.849170771410348</v>
      </c>
      <c r="Q128" s="21">
        <f t="shared" si="35"/>
        <v>8.849170771410348</v>
      </c>
      <c r="R128" s="25" t="s">
        <v>109</v>
      </c>
      <c r="S128" s="13">
        <f t="shared" si="36"/>
        <v>10076819.859999999</v>
      </c>
      <c r="T128" s="26">
        <f t="shared" si="37"/>
        <v>3.8873218486918256E-3</v>
      </c>
      <c r="U128" s="26">
        <f t="shared" si="38"/>
        <v>3.8873218486918256E-3</v>
      </c>
      <c r="V128" s="13">
        <f>RL_NAV*T128*(M128*Calculs!$I$13+N128*Calculs!$I$14+O128*Calculs!$I$15+AF128*Calculs!$I$22)</f>
        <v>182973.96130553068</v>
      </c>
      <c r="W128" s="13">
        <f>RL_NAV*U128*(M128*Calculs!$J$13+N128*Calculs!$J$14+O128*Calculs!$J$15+AF128*Calculs!$J$22)</f>
        <v>182973.96130553068</v>
      </c>
      <c r="X128" s="13">
        <f t="shared" si="39"/>
        <v>18157.907340573485</v>
      </c>
      <c r="Y128" s="13">
        <f t="shared" si="40"/>
        <v>2229287.4943469828</v>
      </c>
      <c r="Z128" s="13">
        <f t="shared" si="41"/>
        <v>2229287.4943469828</v>
      </c>
      <c r="AA128" s="13">
        <f>RL_NAV*T128*(1-SUMPRODUCT((Flux!$B$7:$B$926=B128)*Flux!$F$7:$F$926*EXP(-(RL_Choc_Taux+IF(Q128&gt;0,RL_Choc_Spread,0))/10000*Flux!$D$7:$D$926))/K128)</f>
        <v>1974141.1601477128</v>
      </c>
      <c r="AB128" s="13">
        <f>RL_NAV*U128*(1-SUMPRODUCT((Flux!$B$7:$B$926=B128)*Flux!$F$7:$F$926*EXP(-(RL_Choc_Taux+IF(Q128&gt;0,RL_Choc_Spread,0))/10000*Flux!$D$7:$D$926))/K128)</f>
        <v>1974141.1601477128</v>
      </c>
      <c r="AC128" s="9" t="str">
        <f t="shared" si="42"/>
        <v/>
      </c>
      <c r="AD128" s="27">
        <f>SUMIF(Flux!$B$7:$B$926,B128,Flux!$F$7:$F$926)-K128</f>
        <v>0</v>
      </c>
      <c r="AE128" s="28">
        <v>1.031740607678699</v>
      </c>
      <c r="AF128" s="21">
        <f t="shared" si="43"/>
        <v>9.1300488291474942</v>
      </c>
    </row>
    <row r="129" spans="2:32" x14ac:dyDescent="0.2">
      <c r="B129" s="9" t="s">
        <v>454</v>
      </c>
      <c r="C129" s="9" t="s">
        <v>455</v>
      </c>
      <c r="D129" s="9" t="s">
        <v>341</v>
      </c>
      <c r="E129" s="19">
        <v>47185</v>
      </c>
      <c r="F129" s="20">
        <v>6.5</v>
      </c>
      <c r="G129" s="13">
        <v>4000000</v>
      </c>
      <c r="H129" s="21">
        <v>107.50149999999999</v>
      </c>
      <c r="I129" s="22">
        <v>82630.14</v>
      </c>
      <c r="J129" s="22">
        <v>4382690.1399999997</v>
      </c>
      <c r="K129" s="21">
        <f t="shared" si="33"/>
        <v>109.56725349999998</v>
      </c>
      <c r="L129" s="23">
        <v>214.44131974762681</v>
      </c>
      <c r="M129" s="24">
        <v>1.588006597979025</v>
      </c>
      <c r="N129" s="24">
        <v>1.762522208752789</v>
      </c>
      <c r="O129" s="24">
        <v>0</v>
      </c>
      <c r="P129" s="21">
        <f t="shared" si="34"/>
        <v>3.350528806731814</v>
      </c>
      <c r="Q129" s="21">
        <f t="shared" si="35"/>
        <v>3.350528806731814</v>
      </c>
      <c r="R129" s="25" t="s">
        <v>109</v>
      </c>
      <c r="S129" s="13">
        <f t="shared" si="36"/>
        <v>4382690.1399999997</v>
      </c>
      <c r="T129" s="26">
        <f t="shared" si="37"/>
        <v>1.6907047435566875E-3</v>
      </c>
      <c r="U129" s="26">
        <f t="shared" si="38"/>
        <v>1.6907047435566875E-3</v>
      </c>
      <c r="V129" s="13">
        <f>RL_NAV*T129*(M129*Calculs!$I$13+N129*Calculs!$I$14+O129*Calculs!$I$15+AF129*Calculs!$I$22)</f>
        <v>46017.444604995129</v>
      </c>
      <c r="W129" s="13">
        <f>RL_NAV*U129*(M129*Calculs!$J$13+N129*Calculs!$J$14+O129*Calculs!$J$15+AF129*Calculs!$J$22)</f>
        <v>46017.444604995129</v>
      </c>
      <c r="X129" s="13">
        <f t="shared" si="39"/>
        <v>10499.817038170791</v>
      </c>
      <c r="Y129" s="13">
        <f t="shared" si="40"/>
        <v>367108.23912623717</v>
      </c>
      <c r="Z129" s="13">
        <f t="shared" si="41"/>
        <v>367108.23912623717</v>
      </c>
      <c r="AA129" s="13">
        <f>RL_NAV*T129*(1-SUMPRODUCT((Flux!$B$7:$B$926=B129)*Flux!$F$7:$F$926*EXP(-(RL_Choc_Taux+IF(Q129&gt;0,RL_Choc_Spread,0))/10000*Flux!$D$7:$D$926))/K129)</f>
        <v>351281.44509978377</v>
      </c>
      <c r="AB129" s="13">
        <f>RL_NAV*U129*(1-SUMPRODUCT((Flux!$B$7:$B$926=B129)*Flux!$F$7:$F$926*EXP(-(RL_Choc_Taux+IF(Q129&gt;0,RL_Choc_Spread,0))/10000*Flux!$D$7:$D$926))/K129)</f>
        <v>351281.44509978377</v>
      </c>
      <c r="AC129" s="9" t="str">
        <f t="shared" si="42"/>
        <v/>
      </c>
      <c r="AD129" s="27">
        <f>SUMIF(Flux!$B$7:$B$926,B129,Flux!$F$7:$F$926)-K129</f>
        <v>0</v>
      </c>
      <c r="AE129" s="28">
        <v>1.9855677754409891</v>
      </c>
      <c r="AF129" s="21">
        <f t="shared" si="43"/>
        <v>6.6527020293334393</v>
      </c>
    </row>
    <row r="130" spans="2:32" x14ac:dyDescent="0.2">
      <c r="B130" s="9" t="s">
        <v>456</v>
      </c>
      <c r="C130" s="9" t="s">
        <v>457</v>
      </c>
      <c r="D130" s="9" t="s">
        <v>458</v>
      </c>
      <c r="E130" s="19">
        <v>48285</v>
      </c>
      <c r="F130" s="20">
        <v>3.7130000000000001</v>
      </c>
      <c r="G130" s="13">
        <v>18850000</v>
      </c>
      <c r="H130" s="21">
        <v>101.8965</v>
      </c>
      <c r="I130" s="22">
        <v>214763.99</v>
      </c>
      <c r="J130" s="22">
        <v>19422254.239999998</v>
      </c>
      <c r="K130" s="21">
        <f t="shared" si="33"/>
        <v>103.03583151193634</v>
      </c>
      <c r="L130" s="23">
        <v>102.31071318352819</v>
      </c>
      <c r="M130" s="24">
        <v>0.2181751177510966</v>
      </c>
      <c r="N130" s="24">
        <v>3.9213954141175371</v>
      </c>
      <c r="O130" s="24">
        <v>1.854312252741084</v>
      </c>
      <c r="P130" s="21">
        <f t="shared" si="34"/>
        <v>5.9938827846097178</v>
      </c>
      <c r="Q130" s="21">
        <f t="shared" si="35"/>
        <v>5.9938827846097178</v>
      </c>
      <c r="R130" s="25" t="s">
        <v>109</v>
      </c>
      <c r="S130" s="13">
        <f t="shared" si="36"/>
        <v>19422254.239999998</v>
      </c>
      <c r="T130" s="26">
        <f t="shared" si="37"/>
        <v>7.4924980605934385E-3</v>
      </c>
      <c r="U130" s="26">
        <f t="shared" si="38"/>
        <v>7.4924980605934385E-3</v>
      </c>
      <c r="V130" s="13">
        <f>RL_NAV*T130*(M130*Calculs!$I$13+N130*Calculs!$I$14+O130*Calculs!$I$15+AF130*Calculs!$I$22)</f>
        <v>232532.32966454187</v>
      </c>
      <c r="W130" s="13">
        <f>RL_NAV*U130*(M130*Calculs!$J$13+N130*Calculs!$J$14+O130*Calculs!$J$15+AF130*Calculs!$J$22)</f>
        <v>232532.32966454187</v>
      </c>
      <c r="X130" s="13">
        <f t="shared" si="39"/>
        <v>11972.468632690594</v>
      </c>
      <c r="Y130" s="13">
        <f t="shared" si="40"/>
        <v>2910367.8831862272</v>
      </c>
      <c r="Z130" s="13">
        <f t="shared" si="41"/>
        <v>2910367.8831862272</v>
      </c>
      <c r="AA130" s="13">
        <f>RL_NAV*T130*(1-SUMPRODUCT((Flux!$B$7:$B$926=B130)*Flux!$F$7:$F$926*EXP(-(RL_Choc_Taux+IF(Q130&gt;0,RL_Choc_Spread,0))/10000*Flux!$D$7:$D$926))/K130)</f>
        <v>2688752.316497297</v>
      </c>
      <c r="AB130" s="13">
        <f>RL_NAV*U130*(1-SUMPRODUCT((Flux!$B$7:$B$926=B130)*Flux!$F$7:$F$926*EXP(-(RL_Choc_Taux+IF(Q130&gt;0,RL_Choc_Spread,0))/10000*Flux!$D$7:$D$926))/K130)</f>
        <v>2688752.316497297</v>
      </c>
      <c r="AC130" s="9" t="str">
        <f t="shared" si="42"/>
        <v/>
      </c>
      <c r="AD130" s="27">
        <f>SUMIF(Flux!$B$7:$B$926,B130,Flux!$F$7:$F$926)-K130</f>
        <v>0</v>
      </c>
      <c r="AE130" s="28">
        <v>0.94732141836600225</v>
      </c>
      <c r="AF130" s="21">
        <f t="shared" si="43"/>
        <v>5.6781335410360407</v>
      </c>
    </row>
    <row r="131" spans="2:32" x14ac:dyDescent="0.2">
      <c r="B131" s="9" t="s">
        <v>459</v>
      </c>
      <c r="C131" s="9" t="s">
        <v>460</v>
      </c>
      <c r="D131" s="9" t="s">
        <v>461</v>
      </c>
      <c r="E131" s="19">
        <v>47588</v>
      </c>
      <c r="F131" s="20">
        <v>6.375</v>
      </c>
      <c r="G131" s="13">
        <v>5000000</v>
      </c>
      <c r="H131" s="21">
        <v>103.367</v>
      </c>
      <c r="I131" s="22">
        <v>68177.08</v>
      </c>
      <c r="J131" s="22">
        <v>5236527.08</v>
      </c>
      <c r="K131" s="21">
        <f t="shared" si="33"/>
        <v>104.7305416</v>
      </c>
      <c r="L131" s="23">
        <v>328.00945713364348</v>
      </c>
      <c r="M131" s="24">
        <v>0.59109117713515968</v>
      </c>
      <c r="N131" s="24">
        <v>3.6447772199127249</v>
      </c>
      <c r="O131" s="24">
        <v>0</v>
      </c>
      <c r="P131" s="21">
        <f t="shared" si="34"/>
        <v>4.2358683970478843</v>
      </c>
      <c r="Q131" s="21">
        <f t="shared" si="35"/>
        <v>4.2358683970478843</v>
      </c>
      <c r="R131" s="25" t="s">
        <v>109</v>
      </c>
      <c r="S131" s="13">
        <f t="shared" si="36"/>
        <v>5236527.08</v>
      </c>
      <c r="T131" s="26">
        <f t="shared" si="37"/>
        <v>2.0200883227211334E-3</v>
      </c>
      <c r="U131" s="26">
        <f t="shared" si="38"/>
        <v>2.0200883227211334E-3</v>
      </c>
      <c r="V131" s="13">
        <f>RL_NAV*T131*(M131*Calculs!$I$13+N131*Calculs!$I$14+O131*Calculs!$I$15+AF131*Calculs!$I$22)</f>
        <v>95613.957837196576</v>
      </c>
      <c r="W131" s="13">
        <f>RL_NAV*U131*(M131*Calculs!$J$13+N131*Calculs!$J$14+O131*Calculs!$J$15+AF131*Calculs!$J$22)</f>
        <v>95613.957837196576</v>
      </c>
      <c r="X131" s="13">
        <f t="shared" si="39"/>
        <v>18259.040080662882</v>
      </c>
      <c r="Y131" s="13">
        <f t="shared" si="40"/>
        <v>554530.98921143601</v>
      </c>
      <c r="Z131" s="13">
        <f t="shared" si="41"/>
        <v>554530.98921143601</v>
      </c>
      <c r="AA131" s="13">
        <f>RL_NAV*T131*(1-SUMPRODUCT((Flux!$B$7:$B$926=B131)*Flux!$F$7:$F$926*EXP(-(RL_Choc_Taux+IF(Q131&gt;0,RL_Choc_Spread,0))/10000*Flux!$D$7:$D$926))/K131)</f>
        <v>524097.33015127701</v>
      </c>
      <c r="AB131" s="13">
        <f>RL_NAV*U131*(1-SUMPRODUCT((Flux!$B$7:$B$926=B131)*Flux!$F$7:$F$926*EXP(-(RL_Choc_Taux+IF(Q131&gt;0,RL_Choc_Spread,0))/10000*Flux!$D$7:$D$926))/K131)</f>
        <v>524097.33015127701</v>
      </c>
      <c r="AC131" s="9" t="str">
        <f t="shared" si="42"/>
        <v/>
      </c>
      <c r="AD131" s="27">
        <f>SUMIF(Flux!$B$7:$B$926,B131,Flux!$F$7:$F$926)-K131</f>
        <v>0</v>
      </c>
      <c r="AE131" s="28">
        <v>3.0371246030892931</v>
      </c>
      <c r="AF131" s="21">
        <f t="shared" si="43"/>
        <v>12.864860124122536</v>
      </c>
    </row>
    <row r="132" spans="2:32" x14ac:dyDescent="0.2">
      <c r="B132" s="9" t="s">
        <v>462</v>
      </c>
      <c r="C132" s="9" t="s">
        <v>463</v>
      </c>
      <c r="D132" s="9" t="s">
        <v>464</v>
      </c>
      <c r="E132" s="19">
        <v>47237</v>
      </c>
      <c r="F132" s="20">
        <v>5</v>
      </c>
      <c r="G132" s="13">
        <v>4500000</v>
      </c>
      <c r="H132" s="21">
        <v>103.83799999999999</v>
      </c>
      <c r="I132" s="22">
        <v>48125</v>
      </c>
      <c r="J132" s="22">
        <v>4720835</v>
      </c>
      <c r="K132" s="21">
        <f t="shared" si="33"/>
        <v>104.90744444444444</v>
      </c>
      <c r="L132" s="23">
        <v>174.0200211416728</v>
      </c>
      <c r="M132" s="24">
        <v>1.5015014993469871</v>
      </c>
      <c r="N132" s="24">
        <v>2.0576661233337319</v>
      </c>
      <c r="O132" s="24">
        <v>0</v>
      </c>
      <c r="P132" s="21">
        <f t="shared" si="34"/>
        <v>3.559167622680719</v>
      </c>
      <c r="Q132" s="21">
        <f t="shared" si="35"/>
        <v>3.559167622680719</v>
      </c>
      <c r="R132" s="25" t="s">
        <v>109</v>
      </c>
      <c r="S132" s="13">
        <f t="shared" si="36"/>
        <v>4720835</v>
      </c>
      <c r="T132" s="26">
        <f t="shared" si="37"/>
        <v>1.8211504516831836E-3</v>
      </c>
      <c r="U132" s="26">
        <f t="shared" si="38"/>
        <v>1.8211504516831836E-3</v>
      </c>
      <c r="V132" s="13">
        <f>RL_NAV*T132*(M132*Calculs!$I$13+N132*Calculs!$I$14+O132*Calculs!$I$15+AF132*Calculs!$I$22)</f>
        <v>45789.628903233657</v>
      </c>
      <c r="W132" s="13">
        <f>RL_NAV*U132*(M132*Calculs!$J$13+N132*Calculs!$J$14+O132*Calculs!$J$15+AF132*Calculs!$J$22)</f>
        <v>45789.628903233657</v>
      </c>
      <c r="X132" s="13">
        <f t="shared" si="39"/>
        <v>9699.4766610639126</v>
      </c>
      <c r="Y132" s="13">
        <f t="shared" si="40"/>
        <v>420056.07710044831</v>
      </c>
      <c r="Z132" s="13">
        <f t="shared" si="41"/>
        <v>420056.07710044831</v>
      </c>
      <c r="AA132" s="13">
        <f>RL_NAV*T132*(1-SUMPRODUCT((Flux!$B$7:$B$926=B132)*Flux!$F$7:$F$926*EXP(-(RL_Choc_Taux+IF(Q132&gt;0,RL_Choc_Spread,0))/10000*Flux!$D$7:$D$926))/K132)</f>
        <v>401134.48539565818</v>
      </c>
      <c r="AB132" s="13">
        <f>RL_NAV*U132*(1-SUMPRODUCT((Flux!$B$7:$B$926=B132)*Flux!$F$7:$F$926*EXP(-(RL_Choc_Taux+IF(Q132&gt;0,RL_Choc_Spread,0))/10000*Flux!$D$7:$D$926))/K132)</f>
        <v>401134.48539565818</v>
      </c>
      <c r="AC132" s="9" t="str">
        <f t="shared" si="42"/>
        <v/>
      </c>
      <c r="AD132" s="27">
        <f>SUMIF(Flux!$B$7:$B$926,B132,Flux!$F$7:$F$926)-K132</f>
        <v>0</v>
      </c>
      <c r="AE132" s="28">
        <v>1.6112964920525259</v>
      </c>
      <c r="AF132" s="21">
        <f t="shared" si="43"/>
        <v>5.7348743050523705</v>
      </c>
    </row>
    <row r="133" spans="2:32" x14ac:dyDescent="0.2">
      <c r="B133" s="9" t="s">
        <v>465</v>
      </c>
      <c r="C133" s="9" t="s">
        <v>466</v>
      </c>
      <c r="D133" s="9" t="s">
        <v>467</v>
      </c>
      <c r="E133" s="19">
        <v>47332</v>
      </c>
      <c r="F133" s="20">
        <v>5.1859999999999999</v>
      </c>
      <c r="G133" s="13">
        <v>31400000</v>
      </c>
      <c r="H133" s="21">
        <v>104.709</v>
      </c>
      <c r="I133" s="22">
        <v>1490101.19</v>
      </c>
      <c r="J133" s="22">
        <v>34368727.189999998</v>
      </c>
      <c r="K133" s="21">
        <f t="shared" si="33"/>
        <v>109.4545451910828</v>
      </c>
      <c r="L133" s="23">
        <v>178.43376956663769</v>
      </c>
      <c r="M133" s="24">
        <v>1.24431525147943</v>
      </c>
      <c r="N133" s="24">
        <v>2.390410627832638</v>
      </c>
      <c r="O133" s="24">
        <v>0</v>
      </c>
      <c r="P133" s="21">
        <f t="shared" si="34"/>
        <v>3.634725879312068</v>
      </c>
      <c r="Q133" s="21">
        <f t="shared" si="35"/>
        <v>3.634725879312068</v>
      </c>
      <c r="R133" s="25" t="s">
        <v>109</v>
      </c>
      <c r="S133" s="13">
        <f t="shared" si="36"/>
        <v>34368727.189999998</v>
      </c>
      <c r="T133" s="26">
        <f t="shared" si="37"/>
        <v>1.3258379724316696E-2</v>
      </c>
      <c r="U133" s="26">
        <f t="shared" si="38"/>
        <v>1.3258379724316696E-2</v>
      </c>
      <c r="V133" s="13">
        <f>RL_NAV*T133*(M133*Calculs!$I$13+N133*Calculs!$I$14+O133*Calculs!$I$15+AF133*Calculs!$I$22)</f>
        <v>346648.12008234911</v>
      </c>
      <c r="W133" s="13">
        <f>RL_NAV*U133*(M133*Calculs!$J$13+N133*Calculs!$J$14+O133*Calculs!$J$15+AF133*Calculs!$J$22)</f>
        <v>346648.12008234911</v>
      </c>
      <c r="X133" s="13">
        <f t="shared" si="39"/>
        <v>10086.149486013279</v>
      </c>
      <c r="Y133" s="13">
        <f t="shared" si="40"/>
        <v>3123022.5539127332</v>
      </c>
      <c r="Z133" s="13">
        <f t="shared" si="41"/>
        <v>3123022.5539127332</v>
      </c>
      <c r="AA133" s="13">
        <f>RL_NAV*T133*(1-SUMPRODUCT((Flux!$B$7:$B$926=B133)*Flux!$F$7:$F$926*EXP(-(RL_Choc_Taux+IF(Q133&gt;0,RL_Choc_Spread,0))/10000*Flux!$D$7:$D$926))/K133)</f>
        <v>2973552.5152790463</v>
      </c>
      <c r="AB133" s="13">
        <f>RL_NAV*U133*(1-SUMPRODUCT((Flux!$B$7:$B$926=B133)*Flux!$F$7:$F$926*EXP(-(RL_Choc_Taux+IF(Q133&gt;0,RL_Choc_Spread,0))/10000*Flux!$D$7:$D$926))/K133)</f>
        <v>2973552.5152790463</v>
      </c>
      <c r="AC133" s="9" t="str">
        <f t="shared" si="42"/>
        <v/>
      </c>
      <c r="AD133" s="27">
        <f>SUMIF(Flux!$B$7:$B$926,B133,Flux!$F$7:$F$926)-K133</f>
        <v>0</v>
      </c>
      <c r="AE133" s="28">
        <v>1.6521645330244239</v>
      </c>
      <c r="AF133" s="21">
        <f t="shared" si="43"/>
        <v>6.0051651850654117</v>
      </c>
    </row>
    <row r="134" spans="2:32" x14ac:dyDescent="0.2">
      <c r="B134" s="9" t="s">
        <v>468</v>
      </c>
      <c r="C134" s="9" t="s">
        <v>469</v>
      </c>
      <c r="D134" s="9" t="s">
        <v>470</v>
      </c>
      <c r="E134" s="19">
        <v>47245</v>
      </c>
      <c r="F134" s="20">
        <v>7</v>
      </c>
      <c r="G134" s="13">
        <v>20000000</v>
      </c>
      <c r="H134" s="21">
        <v>107.23050000000001</v>
      </c>
      <c r="I134" s="22">
        <v>214794.52</v>
      </c>
      <c r="J134" s="22">
        <v>21660894.52</v>
      </c>
      <c r="K134" s="21">
        <f t="shared" si="33"/>
        <v>108.3044726</v>
      </c>
      <c r="L134" s="23">
        <v>274.00187921729639</v>
      </c>
      <c r="M134" s="24">
        <v>1.489706773975136</v>
      </c>
      <c r="N134" s="24">
        <v>2.0005761895791379</v>
      </c>
      <c r="O134" s="24">
        <v>0</v>
      </c>
      <c r="P134" s="21">
        <f t="shared" si="34"/>
        <v>3.4902829635542738</v>
      </c>
      <c r="Q134" s="21">
        <f t="shared" si="35"/>
        <v>3.4902829635542738</v>
      </c>
      <c r="R134" s="25" t="s">
        <v>109</v>
      </c>
      <c r="S134" s="13">
        <f t="shared" si="36"/>
        <v>21660894.52</v>
      </c>
      <c r="T134" s="26">
        <f t="shared" si="37"/>
        <v>8.3560954447591991E-3</v>
      </c>
      <c r="U134" s="26">
        <f t="shared" si="38"/>
        <v>8.3560954447591991E-3</v>
      </c>
      <c r="V134" s="13">
        <f>RL_NAV*T134*(M134*Calculs!$I$13+N134*Calculs!$I$14+O134*Calculs!$I$15+AF134*Calculs!$I$22)</f>
        <v>282999.31423663179</v>
      </c>
      <c r="W134" s="13">
        <f>RL_NAV*U134*(M134*Calculs!$J$13+N134*Calculs!$J$14+O134*Calculs!$J$15+AF134*Calculs!$J$22)</f>
        <v>282999.31423663179</v>
      </c>
      <c r="X134" s="13">
        <f t="shared" si="39"/>
        <v>13064.987412007942</v>
      </c>
      <c r="Y134" s="13">
        <f t="shared" si="40"/>
        <v>1890066.2779625533</v>
      </c>
      <c r="Z134" s="13">
        <f t="shared" si="41"/>
        <v>1890066.2779625533</v>
      </c>
      <c r="AA134" s="13">
        <f>RL_NAV*T134*(1-SUMPRODUCT((Flux!$B$7:$B$926=B134)*Flux!$F$7:$F$926*EXP(-(RL_Choc_Taux+IF(Q134&gt;0,RL_Choc_Spread,0))/10000*Flux!$D$7:$D$926))/K134)</f>
        <v>1805394.720022016</v>
      </c>
      <c r="AB134" s="13">
        <f>RL_NAV*U134*(1-SUMPRODUCT((Flux!$B$7:$B$926=B134)*Flux!$F$7:$F$926*EXP(-(RL_Choc_Taux+IF(Q134&gt;0,RL_Choc_Spread,0))/10000*Flux!$D$7:$D$926))/K134)</f>
        <v>1805394.720022016</v>
      </c>
      <c r="AC134" s="9" t="str">
        <f t="shared" si="42"/>
        <v/>
      </c>
      <c r="AD134" s="27">
        <f>SUMIF(Flux!$B$7:$B$926,B134,Flux!$F$7:$F$926)-K134</f>
        <v>0</v>
      </c>
      <c r="AE134" s="28">
        <v>2.5370544371971899</v>
      </c>
      <c r="AF134" s="21">
        <f t="shared" si="43"/>
        <v>8.8550378797591289</v>
      </c>
    </row>
    <row r="135" spans="2:32" x14ac:dyDescent="0.2">
      <c r="B135" s="9" t="s">
        <v>471</v>
      </c>
      <c r="C135" s="9" t="s">
        <v>472</v>
      </c>
      <c r="D135" s="9" t="s">
        <v>473</v>
      </c>
      <c r="E135" s="19">
        <v>47674</v>
      </c>
      <c r="F135" s="20">
        <v>4</v>
      </c>
      <c r="G135" s="13">
        <v>9300000</v>
      </c>
      <c r="H135" s="21">
        <v>102.5585</v>
      </c>
      <c r="I135" s="22">
        <v>363846.58</v>
      </c>
      <c r="J135" s="22">
        <v>9901787.0800000001</v>
      </c>
      <c r="K135" s="21">
        <f t="shared" ref="K135:K166" si="44">J135/G135*100</f>
        <v>106.47082881720431</v>
      </c>
      <c r="L135" s="23">
        <v>123.1621973915246</v>
      </c>
      <c r="M135" s="24">
        <v>0.22016977381346989</v>
      </c>
      <c r="N135" s="24">
        <v>4.2441633290735714</v>
      </c>
      <c r="O135" s="24">
        <v>2.2106267790343029E-2</v>
      </c>
      <c r="P135" s="21">
        <f t="shared" ref="P135:P166" si="45">SUM(M135:O135)</f>
        <v>4.4864393706773837</v>
      </c>
      <c r="Q135" s="21">
        <f t="shared" ref="Q135:Q166" si="46">IF(R135="OUI",0,P135)</f>
        <v>4.4864393706773837</v>
      </c>
      <c r="R135" s="25" t="s">
        <v>109</v>
      </c>
      <c r="S135" s="13">
        <f t="shared" ref="S135:S166" si="47">IF(B135=RL_ISIN_Vente,J135-RL_Montant_Vente,J135)</f>
        <v>9901787.0800000001</v>
      </c>
      <c r="T135" s="26">
        <f t="shared" ref="T135:T166" si="48">J135/RL_NAV</f>
        <v>3.8197996780681199E-3</v>
      </c>
      <c r="U135" s="26">
        <f t="shared" ref="U135:U166" si="49">S135/RL_NAV</f>
        <v>3.8197996780681199E-3</v>
      </c>
      <c r="V135" s="13">
        <f>RL_NAV*T135*(M135*Calculs!$I$13+N135*Calculs!$I$14+O135*Calculs!$I$15+AF135*Calculs!$I$22)</f>
        <v>99032.895685176249</v>
      </c>
      <c r="W135" s="13">
        <f>RL_NAV*U135*(M135*Calculs!$J$13+N135*Calculs!$J$14+O135*Calculs!$J$15+AF135*Calculs!$J$22)</f>
        <v>99032.895685176249</v>
      </c>
      <c r="X135" s="13">
        <f t="shared" ref="X135:X166" si="50">IF(S135&gt;0,W135/S135*1000000,0)</f>
        <v>10001.51739126027</v>
      </c>
      <c r="Y135" s="13">
        <f t="shared" ref="Y135:Y166" si="51">RL_NAV*T135*(P135*RL_Choc_Taux+Q135*RL_Choc_Spread)/10000</f>
        <v>1110594.1848944162</v>
      </c>
      <c r="Z135" s="13">
        <f t="shared" ref="Z135:Z166" si="52">RL_NAV*U135*(P135*RL_Choc_Taux+Q135*RL_Choc_Spread)/10000</f>
        <v>1110594.1848944162</v>
      </c>
      <c r="AA135" s="13">
        <f>RL_NAV*T135*(1-SUMPRODUCT((Flux!$B$7:$B$926=B135)*Flux!$F$7:$F$926*EXP(-(RL_Choc_Taux+IF(Q135&gt;0,RL_Choc_Spread,0))/10000*Flux!$D$7:$D$926))/K135)</f>
        <v>1045704.381777263</v>
      </c>
      <c r="AB135" s="13">
        <f>RL_NAV*U135*(1-SUMPRODUCT((Flux!$B$7:$B$926=B135)*Flux!$F$7:$F$926*EXP(-(RL_Choc_Taux+IF(Q135&gt;0,RL_Choc_Spread,0))/10000*Flux!$D$7:$D$926))/K135)</f>
        <v>1045704.381777263</v>
      </c>
      <c r="AC135" s="9" t="str">
        <f t="shared" ref="AC135:AC166" si="53">IF(U135&gt;RL_Seuil_Ligne,"OUI","")</f>
        <v/>
      </c>
      <c r="AD135" s="27">
        <f>SUMIF(Flux!$B$7:$B$926,B135,Flux!$F$7:$F$926)-K135</f>
        <v>0</v>
      </c>
      <c r="AE135" s="28">
        <v>1.140390716588191</v>
      </c>
      <c r="AF135" s="21">
        <f t="shared" ref="AF135:AF166" si="54">Q135*AE135</f>
        <v>5.1162938088562546</v>
      </c>
    </row>
    <row r="136" spans="2:32" x14ac:dyDescent="0.2">
      <c r="B136" s="9" t="s">
        <v>474</v>
      </c>
      <c r="C136" s="9" t="s">
        <v>475</v>
      </c>
      <c r="D136" s="9" t="s">
        <v>476</v>
      </c>
      <c r="E136" s="19">
        <v>49816</v>
      </c>
      <c r="F136" s="20">
        <v>3.802</v>
      </c>
      <c r="G136" s="13">
        <v>30000000</v>
      </c>
      <c r="H136" s="21">
        <v>100.806</v>
      </c>
      <c r="I136" s="22">
        <v>131247.12</v>
      </c>
      <c r="J136" s="22">
        <v>30373047.120000001</v>
      </c>
      <c r="K136" s="21">
        <f t="shared" si="44"/>
        <v>101.2434904</v>
      </c>
      <c r="L136" s="23">
        <v>102.1222855607291</v>
      </c>
      <c r="M136" s="24">
        <v>0.22358234420899739</v>
      </c>
      <c r="N136" s="24">
        <v>0.69495564534381471</v>
      </c>
      <c r="O136" s="24">
        <v>8.1436699290524253</v>
      </c>
      <c r="P136" s="21">
        <f t="shared" si="45"/>
        <v>9.0622079186052371</v>
      </c>
      <c r="Q136" s="21">
        <f t="shared" si="46"/>
        <v>9.0622079186052371</v>
      </c>
      <c r="R136" s="25" t="s">
        <v>109</v>
      </c>
      <c r="S136" s="13">
        <f t="shared" si="47"/>
        <v>30373047.120000001</v>
      </c>
      <c r="T136" s="26">
        <f t="shared" si="48"/>
        <v>1.1716971358156475E-2</v>
      </c>
      <c r="U136" s="26">
        <f t="shared" si="49"/>
        <v>1.1716971358156475E-2</v>
      </c>
      <c r="V136" s="13">
        <f>RL_NAV*T136*(M136*Calculs!$I$13+N136*Calculs!$I$14+O136*Calculs!$I$15+AF136*Calculs!$I$22)</f>
        <v>538687.32763138169</v>
      </c>
      <c r="W136" s="13">
        <f>RL_NAV*U136*(M136*Calculs!$J$13+N136*Calculs!$J$14+O136*Calculs!$J$15+AF136*Calculs!$J$22)</f>
        <v>538687.32763138169</v>
      </c>
      <c r="X136" s="13">
        <f t="shared" si="50"/>
        <v>17735.702496463306</v>
      </c>
      <c r="Y136" s="13">
        <f t="shared" si="51"/>
        <v>6881171.7030758495</v>
      </c>
      <c r="Z136" s="13">
        <f t="shared" si="52"/>
        <v>6881171.7030758495</v>
      </c>
      <c r="AA136" s="13">
        <f>RL_NAV*T136*(1-SUMPRODUCT((Flux!$B$7:$B$926=B136)*Flux!$F$7:$F$926*EXP(-(RL_Choc_Taux+IF(Q136&gt;0,RL_Choc_Spread,0))/10000*Flux!$D$7:$D$926))/K136)</f>
        <v>6079888.8652676661</v>
      </c>
      <c r="AB136" s="13">
        <f>RL_NAV*U136*(1-SUMPRODUCT((Flux!$B$7:$B$926=B136)*Flux!$F$7:$F$926*EXP(-(RL_Choc_Taux+IF(Q136&gt;0,RL_Choc_Spread,0))/10000*Flux!$D$7:$D$926))/K136)</f>
        <v>6079888.8652676661</v>
      </c>
      <c r="AC136" s="9" t="str">
        <f t="shared" si="53"/>
        <v/>
      </c>
      <c r="AD136" s="27">
        <f>SUMIF(Flux!$B$7:$B$926,B136,Flux!$F$7:$F$926)-K136</f>
        <v>0</v>
      </c>
      <c r="AE136" s="28">
        <v>0.94557671815489908</v>
      </c>
      <c r="AF136" s="21">
        <f t="shared" si="54"/>
        <v>8.5690128229120788</v>
      </c>
    </row>
    <row r="137" spans="2:32" x14ac:dyDescent="0.2">
      <c r="B137" s="9" t="s">
        <v>477</v>
      </c>
      <c r="C137" s="9" t="s">
        <v>478</v>
      </c>
      <c r="D137" s="9" t="s">
        <v>479</v>
      </c>
      <c r="E137" s="19">
        <v>49093</v>
      </c>
      <c r="F137" s="20">
        <v>3.5</v>
      </c>
      <c r="G137" s="13">
        <v>20000000</v>
      </c>
      <c r="H137" s="21">
        <v>100.072</v>
      </c>
      <c r="I137" s="22">
        <v>65205.48</v>
      </c>
      <c r="J137" s="22">
        <v>20079605.48</v>
      </c>
      <c r="K137" s="21">
        <f t="shared" si="44"/>
        <v>100.39802740000002</v>
      </c>
      <c r="L137" s="23">
        <v>90.96910843230215</v>
      </c>
      <c r="M137" s="24">
        <v>0.20760600746430891</v>
      </c>
      <c r="N137" s="24">
        <v>2.0627545127043061</v>
      </c>
      <c r="O137" s="24">
        <v>5.5010402840085533</v>
      </c>
      <c r="P137" s="21">
        <f t="shared" si="45"/>
        <v>7.7714008041771683</v>
      </c>
      <c r="Q137" s="21">
        <f t="shared" si="46"/>
        <v>7.7714008041771683</v>
      </c>
      <c r="R137" s="25" t="s">
        <v>109</v>
      </c>
      <c r="S137" s="13">
        <f t="shared" si="47"/>
        <v>20079605.48</v>
      </c>
      <c r="T137" s="26">
        <f t="shared" si="48"/>
        <v>7.7460836037527535E-3</v>
      </c>
      <c r="U137" s="26">
        <f t="shared" si="49"/>
        <v>7.7460836037527535E-3</v>
      </c>
      <c r="V137" s="13">
        <f>RL_NAV*T137*(M137*Calculs!$I$13+N137*Calculs!$I$14+O137*Calculs!$I$15+AF137*Calculs!$I$22)</f>
        <v>289631.04601722764</v>
      </c>
      <c r="W137" s="13">
        <f>RL_NAV*U137*(M137*Calculs!$J$13+N137*Calculs!$J$14+O137*Calculs!$J$15+AF137*Calculs!$J$22)</f>
        <v>289631.04601722764</v>
      </c>
      <c r="X137" s="13">
        <f t="shared" si="50"/>
        <v>14424.140270370872</v>
      </c>
      <c r="Y137" s="13">
        <f t="shared" si="51"/>
        <v>3901166.554370807</v>
      </c>
      <c r="Z137" s="13">
        <f t="shared" si="52"/>
        <v>3901166.554370807</v>
      </c>
      <c r="AA137" s="13">
        <f>RL_NAV*T137*(1-SUMPRODUCT((Flux!$B$7:$B$926=B137)*Flux!$F$7:$F$926*EXP(-(RL_Choc_Taux+IF(Q137&gt;0,RL_Choc_Spread,0))/10000*Flux!$D$7:$D$926))/K137)</f>
        <v>3517156.0780166131</v>
      </c>
      <c r="AB137" s="13">
        <f>RL_NAV*U137*(1-SUMPRODUCT((Flux!$B$7:$B$926=B137)*Flux!$F$7:$F$926*EXP(-(RL_Choc_Taux+IF(Q137&gt;0,RL_Choc_Spread,0))/10000*Flux!$D$7:$D$926))/K137)</f>
        <v>3517156.0780166131</v>
      </c>
      <c r="AC137" s="9" t="str">
        <f t="shared" si="53"/>
        <v/>
      </c>
      <c r="AD137" s="27">
        <f>SUMIF(Flux!$B$7:$B$926,B137,Flux!$F$7:$F$926)-K137</f>
        <v>0</v>
      </c>
      <c r="AE137" s="28">
        <v>0.84230655955835343</v>
      </c>
      <c r="AF137" s="21">
        <f t="shared" si="54"/>
        <v>6.5459018743154918</v>
      </c>
    </row>
    <row r="138" spans="2:32" x14ac:dyDescent="0.2">
      <c r="B138" s="9" t="s">
        <v>480</v>
      </c>
      <c r="C138" s="9" t="s">
        <v>481</v>
      </c>
      <c r="D138" s="9" t="s">
        <v>482</v>
      </c>
      <c r="E138" s="19">
        <v>47305</v>
      </c>
      <c r="F138" s="20">
        <v>5.75</v>
      </c>
      <c r="G138" s="13">
        <v>13050000</v>
      </c>
      <c r="H138" s="21">
        <v>105.00449999999999</v>
      </c>
      <c r="I138" s="22">
        <v>742151.71</v>
      </c>
      <c r="J138" s="22">
        <v>14445238.960000001</v>
      </c>
      <c r="K138" s="21">
        <f t="shared" si="44"/>
        <v>110.69148628352492</v>
      </c>
      <c r="L138" s="23">
        <v>222.24063915296051</v>
      </c>
      <c r="M138" s="24">
        <v>1.298261171685795</v>
      </c>
      <c r="N138" s="24">
        <v>2.2194048913300222</v>
      </c>
      <c r="O138" s="24">
        <v>0</v>
      </c>
      <c r="P138" s="21">
        <f t="shared" si="45"/>
        <v>3.5176660630158172</v>
      </c>
      <c r="Q138" s="21">
        <f t="shared" si="46"/>
        <v>3.5176660630158172</v>
      </c>
      <c r="R138" s="25" t="s">
        <v>109</v>
      </c>
      <c r="S138" s="13">
        <f t="shared" si="47"/>
        <v>14445238.960000001</v>
      </c>
      <c r="T138" s="26">
        <f t="shared" si="48"/>
        <v>5.5725212714859817E-3</v>
      </c>
      <c r="U138" s="26">
        <f t="shared" si="49"/>
        <v>5.5725212714859817E-3</v>
      </c>
      <c r="V138" s="13">
        <f>RL_NAV*T138*(M138*Calculs!$I$13+N138*Calculs!$I$14+O138*Calculs!$I$15+AF138*Calculs!$I$22)</f>
        <v>163594.99228897618</v>
      </c>
      <c r="W138" s="13">
        <f>RL_NAV*U138*(M138*Calculs!$J$13+N138*Calculs!$J$14+O138*Calculs!$J$15+AF138*Calculs!$J$22)</f>
        <v>163594.99228897618</v>
      </c>
      <c r="X138" s="13">
        <f t="shared" si="50"/>
        <v>11325.184217580862</v>
      </c>
      <c r="Y138" s="13">
        <f t="shared" si="51"/>
        <v>1270338.1715436473</v>
      </c>
      <c r="Z138" s="13">
        <f t="shared" si="52"/>
        <v>1270338.1715436473</v>
      </c>
      <c r="AA138" s="13">
        <f>RL_NAV*T138*(1-SUMPRODUCT((Flux!$B$7:$B$926=B138)*Flux!$F$7:$F$926*EXP(-(RL_Choc_Taux+IF(Q138&gt;0,RL_Choc_Spread,0))/10000*Flux!$D$7:$D$926))/K138)</f>
        <v>1210731.9269288585</v>
      </c>
      <c r="AB138" s="13">
        <f>RL_NAV*U138*(1-SUMPRODUCT((Flux!$B$7:$B$926=B138)*Flux!$F$7:$F$926*EXP(-(RL_Choc_Taux+IF(Q138&gt;0,RL_Choc_Spread,0))/10000*Flux!$D$7:$D$926))/K138)</f>
        <v>1210731.9269288585</v>
      </c>
      <c r="AC138" s="9" t="str">
        <f t="shared" si="53"/>
        <v/>
      </c>
      <c r="AD138" s="27">
        <f>SUMIF(Flux!$B$7:$B$926,B138,Flux!$F$7:$F$926)-K138</f>
        <v>0</v>
      </c>
      <c r="AE138" s="28">
        <v>2.0577836958607461</v>
      </c>
      <c r="AF138" s="21">
        <f t="shared" si="54"/>
        <v>7.2385958719566084</v>
      </c>
    </row>
    <row r="139" spans="2:32" x14ac:dyDescent="0.2">
      <c r="B139" s="9" t="s">
        <v>483</v>
      </c>
      <c r="C139" s="9" t="s">
        <v>484</v>
      </c>
      <c r="D139" s="9" t="s">
        <v>485</v>
      </c>
      <c r="E139" s="19">
        <v>47466</v>
      </c>
      <c r="F139" s="20">
        <v>10.75</v>
      </c>
      <c r="G139" s="13">
        <v>6000000</v>
      </c>
      <c r="H139" s="21">
        <v>110.77500000000001</v>
      </c>
      <c r="I139" s="22">
        <v>31721.31</v>
      </c>
      <c r="J139" s="22">
        <v>6678221.3099999996</v>
      </c>
      <c r="K139" s="21">
        <f t="shared" si="44"/>
        <v>111.30368849999999</v>
      </c>
      <c r="L139" s="23">
        <v>670.18081083721484</v>
      </c>
      <c r="M139" s="24">
        <v>0.99866919855909941</v>
      </c>
      <c r="N139" s="24">
        <v>2.6031705377404042</v>
      </c>
      <c r="O139" s="24">
        <v>0</v>
      </c>
      <c r="P139" s="21">
        <f t="shared" si="45"/>
        <v>3.6018397362995036</v>
      </c>
      <c r="Q139" s="21">
        <f t="shared" si="46"/>
        <v>3.6018397362995036</v>
      </c>
      <c r="R139" s="25" t="s">
        <v>109</v>
      </c>
      <c r="S139" s="13">
        <f t="shared" si="47"/>
        <v>6678221.3099999996</v>
      </c>
      <c r="T139" s="26">
        <f t="shared" si="48"/>
        <v>2.5762488532530287E-3</v>
      </c>
      <c r="U139" s="26">
        <f t="shared" si="49"/>
        <v>2.5762488532530287E-3</v>
      </c>
      <c r="V139" s="13">
        <f>RL_NAV*T139*(M139*Calculs!$I$13+N139*Calculs!$I$14+O139*Calculs!$I$15+AF139*Calculs!$I$22)</f>
        <v>187316.8277317131</v>
      </c>
      <c r="W139" s="13">
        <f>RL_NAV*U139*(M139*Calculs!$J$13+N139*Calculs!$J$14+O139*Calculs!$J$15+AF139*Calculs!$J$22)</f>
        <v>187316.8277317131</v>
      </c>
      <c r="X139" s="13">
        <f t="shared" si="50"/>
        <v>28048.909887311464</v>
      </c>
      <c r="Y139" s="13">
        <f t="shared" si="51"/>
        <v>601347.07205400313</v>
      </c>
      <c r="Z139" s="13">
        <f t="shared" si="52"/>
        <v>601347.07205400313</v>
      </c>
      <c r="AA139" s="13">
        <f>RL_NAV*T139*(1-SUMPRODUCT((Flux!$B$7:$B$926=B139)*Flux!$F$7:$F$926*EXP(-(RL_Choc_Taux+IF(Q139&gt;0,RL_Choc_Spread,0))/10000*Flux!$D$7:$D$926))/K139)</f>
        <v>571374.73567694006</v>
      </c>
      <c r="AB139" s="13">
        <f>RL_NAV*U139*(1-SUMPRODUCT((Flux!$B$7:$B$926=B139)*Flux!$F$7:$F$926*EXP(-(RL_Choc_Taux+IF(Q139&gt;0,RL_Choc_Spread,0))/10000*Flux!$D$7:$D$926))/K139)</f>
        <v>571374.73567694006</v>
      </c>
      <c r="AC139" s="9" t="str">
        <f t="shared" si="53"/>
        <v/>
      </c>
      <c r="AD139" s="27">
        <f>SUMIF(Flux!$B$7:$B$926,B139,Flux!$F$7:$F$926)-K139</f>
        <v>0</v>
      </c>
      <c r="AE139" s="28">
        <v>6.205377878122361</v>
      </c>
      <c r="AF139" s="21">
        <f t="shared" si="54"/>
        <v>22.350776620175019</v>
      </c>
    </row>
    <row r="140" spans="2:32" x14ac:dyDescent="0.2">
      <c r="B140" s="9" t="s">
        <v>486</v>
      </c>
      <c r="C140" s="9" t="s">
        <v>487</v>
      </c>
      <c r="D140" s="9" t="s">
        <v>488</v>
      </c>
      <c r="E140" s="19">
        <v>47288</v>
      </c>
      <c r="F140" s="20">
        <v>4.25</v>
      </c>
      <c r="G140" s="13">
        <v>15400000</v>
      </c>
      <c r="H140" s="21">
        <v>104.0355</v>
      </c>
      <c r="I140" s="22">
        <v>23310.959999999999</v>
      </c>
      <c r="J140" s="22">
        <v>16044777.960000001</v>
      </c>
      <c r="K140" s="21">
        <f t="shared" si="44"/>
        <v>104.18686987012988</v>
      </c>
      <c r="L140" s="23">
        <v>105.7641285660731</v>
      </c>
      <c r="M140" s="24">
        <v>1.3949625660219751</v>
      </c>
      <c r="N140" s="24">
        <v>2.3415211567396348</v>
      </c>
      <c r="O140" s="24">
        <v>0</v>
      </c>
      <c r="P140" s="21">
        <f t="shared" si="45"/>
        <v>3.7364837227616099</v>
      </c>
      <c r="Q140" s="21">
        <f t="shared" si="46"/>
        <v>3.7364837227616099</v>
      </c>
      <c r="R140" s="25" t="s">
        <v>109</v>
      </c>
      <c r="S140" s="13">
        <f t="shared" si="47"/>
        <v>16044777.960000001</v>
      </c>
      <c r="T140" s="26">
        <f t="shared" si="48"/>
        <v>6.189573376110453E-3</v>
      </c>
      <c r="U140" s="26">
        <f t="shared" si="49"/>
        <v>6.189573376110453E-3</v>
      </c>
      <c r="V140" s="13">
        <f>RL_NAV*T140*(M140*Calculs!$I$13+N140*Calculs!$I$14+O140*Calculs!$I$15+AF140*Calculs!$I$22)</f>
        <v>121876.02014666902</v>
      </c>
      <c r="W140" s="13">
        <f>RL_NAV*U140*(M140*Calculs!$J$13+N140*Calculs!$J$14+O140*Calculs!$J$15+AF140*Calculs!$J$22)</f>
        <v>121876.02014666902</v>
      </c>
      <c r="X140" s="13">
        <f t="shared" si="50"/>
        <v>7595.9929424083475</v>
      </c>
      <c r="Y140" s="13">
        <f t="shared" si="51"/>
        <v>1498776.2920716058</v>
      </c>
      <c r="Z140" s="13">
        <f t="shared" si="52"/>
        <v>1498776.2920716058</v>
      </c>
      <c r="AA140" s="13">
        <f>RL_NAV*T140*(1-SUMPRODUCT((Flux!$B$7:$B$926=B140)*Flux!$F$7:$F$926*EXP(-(RL_Choc_Taux+IF(Q140&gt;0,RL_Choc_Spread,0))/10000*Flux!$D$7:$D$926))/K140)</f>
        <v>1428606.159582363</v>
      </c>
      <c r="AB140" s="13">
        <f>RL_NAV*U140*(1-SUMPRODUCT((Flux!$B$7:$B$926=B140)*Flux!$F$7:$F$926*EXP(-(RL_Choc_Taux+IF(Q140&gt;0,RL_Choc_Spread,0))/10000*Flux!$D$7:$D$926))/K140)</f>
        <v>1428606.159582363</v>
      </c>
      <c r="AC140" s="9" t="str">
        <f t="shared" si="53"/>
        <v/>
      </c>
      <c r="AD140" s="27">
        <f>SUMIF(Flux!$B$7:$B$926,B140,Flux!$F$7:$F$926)-K140</f>
        <v>0</v>
      </c>
      <c r="AE140" s="28">
        <v>0.97929748672289929</v>
      </c>
      <c r="AF140" s="21">
        <f t="shared" si="54"/>
        <v>3.659129118881467</v>
      </c>
    </row>
    <row r="141" spans="2:32" x14ac:dyDescent="0.2">
      <c r="B141" s="9" t="s">
        <v>489</v>
      </c>
      <c r="C141" s="9" t="s">
        <v>490</v>
      </c>
      <c r="D141" s="9" t="s">
        <v>491</v>
      </c>
      <c r="E141" s="19">
        <v>49127</v>
      </c>
      <c r="F141" s="20">
        <v>3.625</v>
      </c>
      <c r="G141" s="13">
        <v>10000000</v>
      </c>
      <c r="H141" s="21">
        <v>101.224</v>
      </c>
      <c r="I141" s="22">
        <v>0</v>
      </c>
      <c r="J141" s="22">
        <v>10122400</v>
      </c>
      <c r="K141" s="21">
        <f t="shared" si="44"/>
        <v>101.224</v>
      </c>
      <c r="L141" s="23">
        <v>134.38463130771089</v>
      </c>
      <c r="M141" s="24">
        <v>0.20858845160091691</v>
      </c>
      <c r="N141" s="24">
        <v>1.894545985221834</v>
      </c>
      <c r="O141" s="24">
        <v>5.4276200520039666</v>
      </c>
      <c r="P141" s="21">
        <f t="shared" si="45"/>
        <v>7.5307544888267177</v>
      </c>
      <c r="Q141" s="21">
        <f t="shared" si="46"/>
        <v>7.5307544888267177</v>
      </c>
      <c r="R141" s="25" t="s">
        <v>109</v>
      </c>
      <c r="S141" s="13">
        <f t="shared" si="47"/>
        <v>10122400</v>
      </c>
      <c r="T141" s="26">
        <f t="shared" si="48"/>
        <v>3.9049052407292054E-3</v>
      </c>
      <c r="U141" s="26">
        <f t="shared" si="49"/>
        <v>3.9049052407292054E-3</v>
      </c>
      <c r="V141" s="13">
        <f>RL_NAV*T141*(M141*Calculs!$I$13+N141*Calculs!$I$14+O141*Calculs!$I$15+AF141*Calculs!$I$22)</f>
        <v>175124.30225010694</v>
      </c>
      <c r="W141" s="13">
        <f>RL_NAV*U141*(M141*Calculs!$J$13+N141*Calculs!$J$14+O141*Calculs!$J$15+AF141*Calculs!$J$22)</f>
        <v>175124.30225010694</v>
      </c>
      <c r="X141" s="13">
        <f t="shared" si="50"/>
        <v>17300.670023917937</v>
      </c>
      <c r="Y141" s="13">
        <f t="shared" si="51"/>
        <v>1905732.7309424893</v>
      </c>
      <c r="Z141" s="13">
        <f t="shared" si="52"/>
        <v>1905732.7309424893</v>
      </c>
      <c r="AA141" s="13">
        <f>RL_NAV*T141*(1-SUMPRODUCT((Flux!$B$7:$B$926=B141)*Flux!$F$7:$F$926*EXP(-(RL_Choc_Taux+IF(Q141&gt;0,RL_Choc_Spread,0))/10000*Flux!$D$7:$D$926))/K141)</f>
        <v>1716886.7128765841</v>
      </c>
      <c r="AB141" s="13">
        <f>RL_NAV*U141*(1-SUMPRODUCT((Flux!$B$7:$B$926=B141)*Flux!$F$7:$F$926*EXP(-(RL_Choc_Taux+IF(Q141&gt;0,RL_Choc_Spread,0))/10000*Flux!$D$7:$D$926))/K141)</f>
        <v>1716886.7128765841</v>
      </c>
      <c r="AC141" s="9" t="str">
        <f t="shared" si="53"/>
        <v/>
      </c>
      <c r="AD141" s="27">
        <f>SUMIF(Flux!$B$7:$B$926,B141,Flux!$F$7:$F$926)-K141</f>
        <v>0</v>
      </c>
      <c r="AE141" s="28">
        <v>1.244302141738064</v>
      </c>
      <c r="AF141" s="21">
        <f t="shared" si="54"/>
        <v>9.370533939350624</v>
      </c>
    </row>
    <row r="142" spans="2:32" x14ac:dyDescent="0.2">
      <c r="B142" s="9" t="s">
        <v>492</v>
      </c>
      <c r="C142" s="9" t="s">
        <v>493</v>
      </c>
      <c r="D142" s="9" t="s">
        <v>494</v>
      </c>
      <c r="E142" s="19">
        <v>47492</v>
      </c>
      <c r="F142" s="20">
        <v>4.375</v>
      </c>
      <c r="G142" s="13">
        <v>3200000</v>
      </c>
      <c r="H142" s="21">
        <v>103.711</v>
      </c>
      <c r="I142" s="22">
        <v>66739.73</v>
      </c>
      <c r="J142" s="22">
        <v>3385491.73</v>
      </c>
      <c r="K142" s="21">
        <f t="shared" si="44"/>
        <v>105.79661656249999</v>
      </c>
      <c r="L142" s="23">
        <v>131.3032830240015</v>
      </c>
      <c r="M142" s="24">
        <v>0.82629367785129737</v>
      </c>
      <c r="N142" s="24">
        <v>3.3081250754718412</v>
      </c>
      <c r="O142" s="24">
        <v>0</v>
      </c>
      <c r="P142" s="21">
        <f t="shared" si="45"/>
        <v>4.1344187533231382</v>
      </c>
      <c r="Q142" s="21">
        <f t="shared" si="46"/>
        <v>4.1344187533231382</v>
      </c>
      <c r="R142" s="25" t="s">
        <v>109</v>
      </c>
      <c r="S142" s="13">
        <f t="shared" si="47"/>
        <v>3385491.73</v>
      </c>
      <c r="T142" s="26">
        <f t="shared" si="48"/>
        <v>1.3060167943296434E-3</v>
      </c>
      <c r="U142" s="26">
        <f t="shared" si="49"/>
        <v>1.3060167943296434E-3</v>
      </c>
      <c r="V142" s="13">
        <f>RL_NAV*T142*(M142*Calculs!$I$13+N142*Calculs!$I$14+O142*Calculs!$I$15+AF142*Calculs!$I$22)</f>
        <v>32241.711105457307</v>
      </c>
      <c r="W142" s="13">
        <f>RL_NAV*U142*(M142*Calculs!$J$13+N142*Calculs!$J$14+O142*Calculs!$J$15+AF142*Calculs!$J$22)</f>
        <v>32241.711105457307</v>
      </c>
      <c r="X142" s="13">
        <f t="shared" si="50"/>
        <v>9523.4942740377937</v>
      </c>
      <c r="Y142" s="13">
        <f t="shared" si="51"/>
        <v>349926.01244330977</v>
      </c>
      <c r="Z142" s="13">
        <f t="shared" si="52"/>
        <v>349926.01244330977</v>
      </c>
      <c r="AA142" s="13">
        <f>RL_NAV*T142*(1-SUMPRODUCT((Flux!$B$7:$B$926=B142)*Flux!$F$7:$F$926*EXP(-(RL_Choc_Taux+IF(Q142&gt;0,RL_Choc_Spread,0))/10000*Flux!$D$7:$D$926))/K142)</f>
        <v>331434.97976829542</v>
      </c>
      <c r="AB142" s="13">
        <f>RL_NAV*U142*(1-SUMPRODUCT((Flux!$B$7:$B$926=B142)*Flux!$F$7:$F$926*EXP(-(RL_Choc_Taux+IF(Q142&gt;0,RL_Choc_Spread,0))/10000*Flux!$D$7:$D$926))/K142)</f>
        <v>331434.97976829542</v>
      </c>
      <c r="AC142" s="9" t="str">
        <f t="shared" si="53"/>
        <v/>
      </c>
      <c r="AD142" s="27">
        <f>SUMIF(Flux!$B$7:$B$926,B142,Flux!$F$7:$F$926)-K142</f>
        <v>0</v>
      </c>
      <c r="AE142" s="28">
        <v>1.2157711391111261</v>
      </c>
      <c r="AF142" s="21">
        <f t="shared" si="54"/>
        <v>5.026506997290074</v>
      </c>
    </row>
    <row r="143" spans="2:32" x14ac:dyDescent="0.2">
      <c r="B143" s="9" t="s">
        <v>495</v>
      </c>
      <c r="C143" s="9" t="s">
        <v>496</v>
      </c>
      <c r="D143" s="9" t="s">
        <v>497</v>
      </c>
      <c r="E143" s="19">
        <v>47315</v>
      </c>
      <c r="F143" s="20">
        <v>4.8</v>
      </c>
      <c r="G143" s="13">
        <v>19800000</v>
      </c>
      <c r="H143" s="21">
        <v>104.20050000000001</v>
      </c>
      <c r="I143" s="22">
        <v>913946.3</v>
      </c>
      <c r="J143" s="22">
        <v>21545645.300000001</v>
      </c>
      <c r="K143" s="21">
        <f t="shared" si="44"/>
        <v>108.8163904040404</v>
      </c>
      <c r="L143" s="23">
        <v>154.46671808152229</v>
      </c>
      <c r="M143" s="24">
        <v>1.2809927952759179</v>
      </c>
      <c r="N143" s="24">
        <v>2.3368678072324518</v>
      </c>
      <c r="O143" s="24">
        <v>0</v>
      </c>
      <c r="P143" s="21">
        <f t="shared" si="45"/>
        <v>3.6178606025083697</v>
      </c>
      <c r="Q143" s="21">
        <f t="shared" si="46"/>
        <v>3.6178606025083697</v>
      </c>
      <c r="R143" s="25" t="s">
        <v>109</v>
      </c>
      <c r="S143" s="13">
        <f t="shared" si="47"/>
        <v>21545645.300000001</v>
      </c>
      <c r="T143" s="26">
        <f t="shared" si="48"/>
        <v>8.3116359012548966E-3</v>
      </c>
      <c r="U143" s="26">
        <f t="shared" si="49"/>
        <v>8.3116359012548966E-3</v>
      </c>
      <c r="V143" s="13">
        <f>RL_NAV*T143*(M143*Calculs!$I$13+N143*Calculs!$I$14+O143*Calculs!$I$15+AF143*Calculs!$I$22)</f>
        <v>197221.24717942692</v>
      </c>
      <c r="W143" s="13">
        <f>RL_NAV*U143*(M143*Calculs!$J$13+N143*Calculs!$J$14+O143*Calculs!$J$15+AF143*Calculs!$J$22)</f>
        <v>197221.24717942692</v>
      </c>
      <c r="X143" s="13">
        <f t="shared" si="50"/>
        <v>9153.6477294289671</v>
      </c>
      <c r="Y143" s="13">
        <f t="shared" si="51"/>
        <v>1948728.5321622402</v>
      </c>
      <c r="Z143" s="13">
        <f t="shared" si="52"/>
        <v>1948728.5321622402</v>
      </c>
      <c r="AA143" s="13">
        <f>RL_NAV*T143*(1-SUMPRODUCT((Flux!$B$7:$B$926=B143)*Flux!$F$7:$F$926*EXP(-(RL_Choc_Taux+IF(Q143&gt;0,RL_Choc_Spread,0))/10000*Flux!$D$7:$D$926))/K143)</f>
        <v>1856215.5932657393</v>
      </c>
      <c r="AB143" s="13">
        <f>RL_NAV*U143*(1-SUMPRODUCT((Flux!$B$7:$B$926=B143)*Flux!$F$7:$F$926*EXP(-(RL_Choc_Taux+IF(Q143&gt;0,RL_Choc_Spread,0))/10000*Flux!$D$7:$D$926))/K143)</f>
        <v>1856215.5932657393</v>
      </c>
      <c r="AC143" s="9" t="str">
        <f t="shared" si="53"/>
        <v/>
      </c>
      <c r="AD143" s="27">
        <f>SUMIF(Flux!$B$7:$B$926,B143,Flux!$F$7:$F$926)-K143</f>
        <v>0</v>
      </c>
      <c r="AE143" s="28">
        <v>1.430247389643726</v>
      </c>
      <c r="AF143" s="21">
        <f t="shared" si="54"/>
        <v>5.1744356828324731</v>
      </c>
    </row>
    <row r="144" spans="2:32" x14ac:dyDescent="0.2">
      <c r="B144" s="9" t="s">
        <v>498</v>
      </c>
      <c r="C144" s="9" t="s">
        <v>499</v>
      </c>
      <c r="D144" s="9" t="s">
        <v>500</v>
      </c>
      <c r="E144" s="19">
        <v>48563</v>
      </c>
      <c r="F144" s="20">
        <v>3.5179999999999998</v>
      </c>
      <c r="G144" s="13">
        <v>16800000</v>
      </c>
      <c r="H144" s="21">
        <v>99.412499999999994</v>
      </c>
      <c r="I144" s="22">
        <v>362600.02</v>
      </c>
      <c r="J144" s="22">
        <v>17063900.02</v>
      </c>
      <c r="K144" s="21">
        <f t="shared" si="44"/>
        <v>101.57083345238095</v>
      </c>
      <c r="L144" s="23">
        <v>112.35912340760279</v>
      </c>
      <c r="M144" s="24">
        <v>0.2103912861133628</v>
      </c>
      <c r="N144" s="24">
        <v>3.4103202012400291</v>
      </c>
      <c r="O144" s="24">
        <v>2.940836602438675</v>
      </c>
      <c r="P144" s="21">
        <f t="shared" si="45"/>
        <v>6.5615480897920673</v>
      </c>
      <c r="Q144" s="21">
        <f t="shared" si="46"/>
        <v>6.5615480897920673</v>
      </c>
      <c r="R144" s="25" t="s">
        <v>109</v>
      </c>
      <c r="S144" s="13">
        <f t="shared" si="47"/>
        <v>17063900.02</v>
      </c>
      <c r="T144" s="26">
        <f t="shared" si="48"/>
        <v>6.5827187836261349E-3</v>
      </c>
      <c r="U144" s="26">
        <f t="shared" si="49"/>
        <v>6.5827187836261349E-3</v>
      </c>
      <c r="V144" s="13">
        <f>RL_NAV*T144*(M144*Calculs!$I$13+N144*Calculs!$I$14+O144*Calculs!$I$15+AF144*Calculs!$I$22)</f>
        <v>234101.64256972831</v>
      </c>
      <c r="W144" s="13">
        <f>RL_NAV*U144*(M144*Calculs!$J$13+N144*Calculs!$J$14+O144*Calculs!$J$15+AF144*Calculs!$J$22)</f>
        <v>234101.64256972831</v>
      </c>
      <c r="X144" s="13">
        <f t="shared" si="50"/>
        <v>13719.117100741681</v>
      </c>
      <c r="Y144" s="13">
        <f t="shared" si="51"/>
        <v>2799140.0145158451</v>
      </c>
      <c r="Z144" s="13">
        <f t="shared" si="52"/>
        <v>2799140.0145158451</v>
      </c>
      <c r="AA144" s="13">
        <f>RL_NAV*T144*(1-SUMPRODUCT((Flux!$B$7:$B$926=B144)*Flux!$F$7:$F$926*EXP(-(RL_Choc_Taux+IF(Q144&gt;0,RL_Choc_Spread,0))/10000*Flux!$D$7:$D$926))/K144)</f>
        <v>2563932.1251709498</v>
      </c>
      <c r="AB144" s="13">
        <f>RL_NAV*U144*(1-SUMPRODUCT((Flux!$B$7:$B$926=B144)*Flux!$F$7:$F$926*EXP(-(RL_Choc_Taux+IF(Q144&gt;0,RL_Choc_Spread,0))/10000*Flux!$D$7:$D$926))/K144)</f>
        <v>2563932.1251709498</v>
      </c>
      <c r="AC144" s="9" t="str">
        <f t="shared" si="53"/>
        <v/>
      </c>
      <c r="AD144" s="27">
        <f>SUMIF(Flux!$B$7:$B$926,B144,Flux!$F$7:$F$926)-K144</f>
        <v>0</v>
      </c>
      <c r="AE144" s="28">
        <v>1.0403622537741</v>
      </c>
      <c r="AF144" s="21">
        <f t="shared" si="54"/>
        <v>6.8263869589432158</v>
      </c>
    </row>
    <row r="145" spans="2:32" x14ac:dyDescent="0.2">
      <c r="B145" s="9" t="s">
        <v>501</v>
      </c>
      <c r="C145" s="9" t="s">
        <v>502</v>
      </c>
      <c r="D145" s="9" t="s">
        <v>503</v>
      </c>
      <c r="E145" s="19">
        <v>48109</v>
      </c>
      <c r="F145" s="20">
        <v>3.875</v>
      </c>
      <c r="G145" s="13">
        <v>9000000</v>
      </c>
      <c r="H145" s="21">
        <v>103.1845</v>
      </c>
      <c r="I145" s="22">
        <v>274222.59999999998</v>
      </c>
      <c r="J145" s="22">
        <v>9560827.5999999996</v>
      </c>
      <c r="K145" s="21">
        <f t="shared" si="44"/>
        <v>106.23141777777778</v>
      </c>
      <c r="L145" s="23">
        <v>98.284110770839732</v>
      </c>
      <c r="M145" s="24">
        <v>0.21989139767456001</v>
      </c>
      <c r="N145" s="24">
        <v>4.057192520965776</v>
      </c>
      <c r="O145" s="24">
        <v>1.2155379922697629</v>
      </c>
      <c r="P145" s="21">
        <f t="shared" si="45"/>
        <v>5.4926219109100991</v>
      </c>
      <c r="Q145" s="21">
        <f t="shared" si="46"/>
        <v>5.4926219109100991</v>
      </c>
      <c r="R145" s="25" t="s">
        <v>109</v>
      </c>
      <c r="S145" s="13">
        <f t="shared" si="47"/>
        <v>9560827.5999999996</v>
      </c>
      <c r="T145" s="26">
        <f t="shared" si="48"/>
        <v>3.6882681776010066E-3</v>
      </c>
      <c r="U145" s="26">
        <f t="shared" si="49"/>
        <v>3.6882681776010066E-3</v>
      </c>
      <c r="V145" s="13">
        <f>RL_NAV*T145*(M145*Calculs!$I$13+N145*Calculs!$I$14+O145*Calculs!$I$15+AF145*Calculs!$I$22)</f>
        <v>103035.91625314244</v>
      </c>
      <c r="W145" s="13">
        <f>RL_NAV*U145*(M145*Calculs!$J$13+N145*Calculs!$J$14+O145*Calculs!$J$15+AF145*Calculs!$J$22)</f>
        <v>103035.91625314244</v>
      </c>
      <c r="X145" s="13">
        <f t="shared" si="50"/>
        <v>10776.882563298437</v>
      </c>
      <c r="Y145" s="13">
        <f t="shared" si="51"/>
        <v>1312850.2790548501</v>
      </c>
      <c r="Z145" s="13">
        <f t="shared" si="52"/>
        <v>1312850.2790548501</v>
      </c>
      <c r="AA145" s="13">
        <f>RL_NAV*T145*(1-SUMPRODUCT((Flux!$B$7:$B$926=B145)*Flux!$F$7:$F$926*EXP(-(RL_Choc_Taux+IF(Q145&gt;0,RL_Choc_Spread,0))/10000*Flux!$D$7:$D$926))/K145)</f>
        <v>1219550.5237981658</v>
      </c>
      <c r="AB145" s="13">
        <f>RL_NAV*U145*(1-SUMPRODUCT((Flux!$B$7:$B$926=B145)*Flux!$F$7:$F$926*EXP(-(RL_Choc_Taux+IF(Q145&gt;0,RL_Choc_Spread,0))/10000*Flux!$D$7:$D$926))/K145)</f>
        <v>1219550.5237981658</v>
      </c>
      <c r="AC145" s="9" t="str">
        <f t="shared" si="53"/>
        <v/>
      </c>
      <c r="AD145" s="27">
        <f>SUMIF(Flux!$B$7:$B$926,B145,Flux!$F$7:$F$926)-K145</f>
        <v>0</v>
      </c>
      <c r="AE145" s="28">
        <v>0.91003806269296073</v>
      </c>
      <c r="AF145" s="21">
        <f t="shared" si="54"/>
        <v>4.9984950029095341</v>
      </c>
    </row>
    <row r="146" spans="2:32" x14ac:dyDescent="0.2">
      <c r="B146" s="9" t="s">
        <v>504</v>
      </c>
      <c r="C146" s="9" t="s">
        <v>505</v>
      </c>
      <c r="D146" s="9" t="s">
        <v>506</v>
      </c>
      <c r="E146" s="19">
        <v>47557</v>
      </c>
      <c r="F146" s="20">
        <v>4.25</v>
      </c>
      <c r="G146" s="13">
        <v>7600000</v>
      </c>
      <c r="H146" s="21">
        <v>102.02249999999999</v>
      </c>
      <c r="I146" s="22">
        <v>96002.78</v>
      </c>
      <c r="J146" s="22">
        <v>7849712.7800000003</v>
      </c>
      <c r="K146" s="21">
        <f t="shared" si="44"/>
        <v>103.2856944736842</v>
      </c>
      <c r="L146" s="23">
        <v>158.50638470591829</v>
      </c>
      <c r="M146" s="24">
        <v>0.61995814727647158</v>
      </c>
      <c r="N146" s="24">
        <v>3.6985291313220929</v>
      </c>
      <c r="O146" s="24">
        <v>0</v>
      </c>
      <c r="P146" s="21">
        <f t="shared" si="45"/>
        <v>4.3184872785985648</v>
      </c>
      <c r="Q146" s="21">
        <f t="shared" si="46"/>
        <v>4.3184872785985648</v>
      </c>
      <c r="R146" s="25" t="s">
        <v>109</v>
      </c>
      <c r="S146" s="13">
        <f t="shared" si="47"/>
        <v>7849712.7800000003</v>
      </c>
      <c r="T146" s="26">
        <f t="shared" si="48"/>
        <v>3.0281736122699182E-3</v>
      </c>
      <c r="U146" s="26">
        <f t="shared" si="49"/>
        <v>3.0281736122699182E-3</v>
      </c>
      <c r="V146" s="13">
        <f>RL_NAV*T146*(M146*Calculs!$I$13+N146*Calculs!$I$14+O146*Calculs!$I$15+AF146*Calculs!$I$22)</f>
        <v>87591.885177251417</v>
      </c>
      <c r="W146" s="13">
        <f>RL_NAV*U146*(M146*Calculs!$J$13+N146*Calculs!$J$14+O146*Calculs!$J$15+AF146*Calculs!$J$22)</f>
        <v>87591.885177251417</v>
      </c>
      <c r="X146" s="13">
        <f t="shared" si="50"/>
        <v>11158.61021060842</v>
      </c>
      <c r="Y146" s="13">
        <f t="shared" si="51"/>
        <v>847472.11952706438</v>
      </c>
      <c r="Z146" s="13">
        <f t="shared" si="52"/>
        <v>847472.11952706438</v>
      </c>
      <c r="AA146" s="13">
        <f>RL_NAV*T146*(1-SUMPRODUCT((Flux!$B$7:$B$926=B146)*Flux!$F$7:$F$926*EXP(-(RL_Choc_Taux+IF(Q146&gt;0,RL_Choc_Spread,0))/10000*Flux!$D$7:$D$926))/K146)</f>
        <v>801015.34760948631</v>
      </c>
      <c r="AB146" s="13">
        <f>RL_NAV*U146*(1-SUMPRODUCT((Flux!$B$7:$B$926=B146)*Flux!$F$7:$F$926*EXP(-(RL_Choc_Taux+IF(Q146&gt;0,RL_Choc_Spread,0))/10000*Flux!$D$7:$D$926))/K146)</f>
        <v>801015.34760948631</v>
      </c>
      <c r="AC146" s="9" t="str">
        <f t="shared" si="53"/>
        <v/>
      </c>
      <c r="AD146" s="27">
        <f>SUMIF(Flux!$B$7:$B$926,B146,Flux!$F$7:$F$926)-K146</f>
        <v>0</v>
      </c>
      <c r="AE146" s="28">
        <v>1.4676517102399851</v>
      </c>
      <c r="AF146" s="21">
        <f t="shared" si="54"/>
        <v>6.3380352400848023</v>
      </c>
    </row>
    <row r="147" spans="2:32" x14ac:dyDescent="0.2">
      <c r="B147" s="9" t="s">
        <v>507</v>
      </c>
      <c r="C147" s="9" t="s">
        <v>508</v>
      </c>
      <c r="D147" s="9" t="s">
        <v>368</v>
      </c>
      <c r="E147" s="19">
        <v>48094</v>
      </c>
      <c r="F147" s="20">
        <v>3.6309999999999998</v>
      </c>
      <c r="G147" s="13">
        <v>20000000</v>
      </c>
      <c r="H147" s="21">
        <v>101.80200000000001</v>
      </c>
      <c r="I147" s="22">
        <v>600855.89</v>
      </c>
      <c r="J147" s="22">
        <v>20961255.890000001</v>
      </c>
      <c r="K147" s="21">
        <f t="shared" si="44"/>
        <v>104.80627945000001</v>
      </c>
      <c r="L147" s="23">
        <v>98.941263065943119</v>
      </c>
      <c r="M147" s="24">
        <v>0.20804210394742151</v>
      </c>
      <c r="N147" s="24">
        <v>4.0993115424064239</v>
      </c>
      <c r="O147" s="24">
        <v>1.179838498223329</v>
      </c>
      <c r="P147" s="21">
        <f t="shared" si="45"/>
        <v>5.4871921445771736</v>
      </c>
      <c r="Q147" s="21">
        <f t="shared" si="46"/>
        <v>5.4871921445771736</v>
      </c>
      <c r="R147" s="25" t="s">
        <v>109</v>
      </c>
      <c r="S147" s="13">
        <f t="shared" si="47"/>
        <v>20961255.890000001</v>
      </c>
      <c r="T147" s="26">
        <f t="shared" si="48"/>
        <v>8.0861967494988262E-3</v>
      </c>
      <c r="U147" s="26">
        <f t="shared" si="49"/>
        <v>8.0861967494988262E-3</v>
      </c>
      <c r="V147" s="13">
        <f>RL_NAV*T147*(M147*Calculs!$I$13+N147*Calculs!$I$14+O147*Calculs!$I$15+AF147*Calculs!$I$22)</f>
        <v>226506.18364987895</v>
      </c>
      <c r="W147" s="13">
        <f>RL_NAV*U147*(M147*Calculs!$J$13+N147*Calculs!$J$14+O147*Calculs!$J$15+AF147*Calculs!$J$22)</f>
        <v>226506.18364987895</v>
      </c>
      <c r="X147" s="13">
        <f t="shared" si="50"/>
        <v>10805.945256263885</v>
      </c>
      <c r="Y147" s="13">
        <f t="shared" si="51"/>
        <v>2875460.9665020001</v>
      </c>
      <c r="Z147" s="13">
        <f t="shared" si="52"/>
        <v>2875460.9665020001</v>
      </c>
      <c r="AA147" s="13">
        <f>RL_NAV*T147*(1-SUMPRODUCT((Flux!$B$7:$B$926=B147)*Flux!$F$7:$F$926*EXP(-(RL_Choc_Taux+IF(Q147&gt;0,RL_Choc_Spread,0))/10000*Flux!$D$7:$D$926))/K147)</f>
        <v>2671890.2771440134</v>
      </c>
      <c r="AB147" s="13">
        <f>RL_NAV*U147*(1-SUMPRODUCT((Flux!$B$7:$B$926=B147)*Flux!$F$7:$F$926*EXP(-(RL_Choc_Taux+IF(Q147&gt;0,RL_Choc_Spread,0))/10000*Flux!$D$7:$D$926))/K147)</f>
        <v>2671890.2771440134</v>
      </c>
      <c r="AC147" s="9" t="str">
        <f t="shared" si="53"/>
        <v/>
      </c>
      <c r="AD147" s="27">
        <f>SUMIF(Flux!$B$7:$B$926,B147,Flux!$F$7:$F$926)-K147</f>
        <v>0</v>
      </c>
      <c r="AE147" s="28">
        <v>0.91612280616614028</v>
      </c>
      <c r="AF147" s="21">
        <f t="shared" si="54"/>
        <v>5.0269418654628417</v>
      </c>
    </row>
    <row r="148" spans="2:32" x14ac:dyDescent="0.2">
      <c r="B148" s="9" t="s">
        <v>509</v>
      </c>
      <c r="C148" s="9" t="s">
        <v>510</v>
      </c>
      <c r="D148" s="9" t="s">
        <v>511</v>
      </c>
      <c r="E148" s="19">
        <v>48129</v>
      </c>
      <c r="F148" s="20">
        <v>3.7149999999999999</v>
      </c>
      <c r="G148" s="13">
        <v>20850000</v>
      </c>
      <c r="H148" s="21">
        <v>100.5175</v>
      </c>
      <c r="I148" s="22">
        <v>566608.75</v>
      </c>
      <c r="J148" s="22">
        <v>21524507.5</v>
      </c>
      <c r="K148" s="21">
        <f t="shared" si="44"/>
        <v>103.2350479616307</v>
      </c>
      <c r="L148" s="23">
        <v>128.69948439241321</v>
      </c>
      <c r="M148" s="24">
        <v>0.21613292067315029</v>
      </c>
      <c r="N148" s="24">
        <v>4.0561902368140048</v>
      </c>
      <c r="O148" s="24">
        <v>1.290053975124279</v>
      </c>
      <c r="P148" s="21">
        <f t="shared" si="45"/>
        <v>5.5623771326114344</v>
      </c>
      <c r="Q148" s="21">
        <f t="shared" si="46"/>
        <v>5.5623771326114344</v>
      </c>
      <c r="R148" s="25" t="s">
        <v>109</v>
      </c>
      <c r="S148" s="13">
        <f t="shared" si="47"/>
        <v>21524507.5</v>
      </c>
      <c r="T148" s="26">
        <f t="shared" si="48"/>
        <v>8.3034815993109426E-3</v>
      </c>
      <c r="U148" s="26">
        <f t="shared" si="49"/>
        <v>8.3034815993109426E-3</v>
      </c>
      <c r="V148" s="13">
        <f>RL_NAV*T148*(M148*Calculs!$I$13+N148*Calculs!$I$14+O148*Calculs!$I$15+AF148*Calculs!$I$22)</f>
        <v>271926.96661605866</v>
      </c>
      <c r="W148" s="13">
        <f>RL_NAV*U148*(M148*Calculs!$J$13+N148*Calculs!$J$14+O148*Calculs!$J$15+AF148*Calculs!$J$22)</f>
        <v>271926.96661605866</v>
      </c>
      <c r="X148" s="13">
        <f t="shared" si="50"/>
        <v>12633.365321648296</v>
      </c>
      <c r="Y148" s="13">
        <f t="shared" si="51"/>
        <v>2993185.7077180832</v>
      </c>
      <c r="Z148" s="13">
        <f t="shared" si="52"/>
        <v>2993185.7077180832</v>
      </c>
      <c r="AA148" s="13">
        <f>RL_NAV*T148*(1-SUMPRODUCT((Flux!$B$7:$B$926=B148)*Flux!$F$7:$F$926*EXP(-(RL_Choc_Taux+IF(Q148&gt;0,RL_Choc_Spread,0))/10000*Flux!$D$7:$D$926))/K148)</f>
        <v>2778556.3928696183</v>
      </c>
      <c r="AB148" s="13">
        <f>RL_NAV*U148*(1-SUMPRODUCT((Flux!$B$7:$B$926=B148)*Flux!$F$7:$F$926*EXP(-(RL_Choc_Taux+IF(Q148&gt;0,RL_Choc_Spread,0))/10000*Flux!$D$7:$D$926))/K148)</f>
        <v>2778556.3928696183</v>
      </c>
      <c r="AC148" s="9" t="str">
        <f t="shared" si="53"/>
        <v/>
      </c>
      <c r="AD148" s="27">
        <f>SUMIF(Flux!$B$7:$B$926,B148,Flux!$F$7:$F$926)-K148</f>
        <v>0</v>
      </c>
      <c r="AE148" s="28">
        <v>1.191661892522345</v>
      </c>
      <c r="AF148" s="21">
        <f t="shared" si="54"/>
        <v>6.6284728607707564</v>
      </c>
    </row>
    <row r="149" spans="2:32" x14ac:dyDescent="0.2">
      <c r="B149" s="9" t="s">
        <v>512</v>
      </c>
      <c r="C149" s="9" t="s">
        <v>513</v>
      </c>
      <c r="D149" s="9" t="s">
        <v>514</v>
      </c>
      <c r="E149" s="19">
        <v>47437</v>
      </c>
      <c r="F149" s="20">
        <v>10</v>
      </c>
      <c r="G149" s="13">
        <v>13500000</v>
      </c>
      <c r="H149" s="21">
        <v>99.927499999999995</v>
      </c>
      <c r="I149" s="22">
        <v>288750</v>
      </c>
      <c r="J149" s="22">
        <v>13778962.5</v>
      </c>
      <c r="K149" s="21">
        <f t="shared" si="44"/>
        <v>102.06638888888888</v>
      </c>
      <c r="L149" s="23">
        <v>856.62296073151731</v>
      </c>
      <c r="M149" s="24">
        <v>1.0502466445843051</v>
      </c>
      <c r="N149" s="24">
        <v>2.4745597619206632</v>
      </c>
      <c r="O149" s="24">
        <v>0</v>
      </c>
      <c r="P149" s="21">
        <f t="shared" si="45"/>
        <v>3.5248064065049682</v>
      </c>
      <c r="Q149" s="21">
        <f t="shared" si="46"/>
        <v>3.5248064065049682</v>
      </c>
      <c r="R149" s="25" t="s">
        <v>109</v>
      </c>
      <c r="S149" s="13">
        <f t="shared" si="47"/>
        <v>13778962.5</v>
      </c>
      <c r="T149" s="26">
        <f t="shared" si="48"/>
        <v>5.3154926576761633E-3</v>
      </c>
      <c r="U149" s="26">
        <f t="shared" si="49"/>
        <v>5.3154926576761633E-3</v>
      </c>
      <c r="V149" s="13">
        <f>RL_NAV*T149*(M149*Calculs!$I$13+N149*Calculs!$I$14+O149*Calculs!$I$15+AF149*Calculs!$I$22)</f>
        <v>470387.1086554791</v>
      </c>
      <c r="W149" s="13">
        <f>RL_NAV*U149*(M149*Calculs!$J$13+N149*Calculs!$J$14+O149*Calculs!$J$15+AF149*Calculs!$J$22)</f>
        <v>470387.1086554791</v>
      </c>
      <c r="X149" s="13">
        <f t="shared" si="50"/>
        <v>34138.064361194032</v>
      </c>
      <c r="Y149" s="13">
        <f t="shared" si="51"/>
        <v>1214204.3823747928</v>
      </c>
      <c r="Z149" s="13">
        <f t="shared" si="52"/>
        <v>1214204.3823747928</v>
      </c>
      <c r="AA149" s="13">
        <f>RL_NAV*T149*(1-SUMPRODUCT((Flux!$B$7:$B$926=B149)*Flux!$F$7:$F$926*EXP(-(RL_Choc_Taux+IF(Q149&gt;0,RL_Choc_Spread,0))/10000*Flux!$D$7:$D$926))/K149)</f>
        <v>1154563.2673630815</v>
      </c>
      <c r="AB149" s="13">
        <f>RL_NAV*U149*(1-SUMPRODUCT((Flux!$B$7:$B$926=B149)*Flux!$F$7:$F$926*EXP(-(RL_Choc_Taux+IF(Q149&gt;0,RL_Choc_Spread,0))/10000*Flux!$D$7:$D$926))/K149)</f>
        <v>1154563.2673630815</v>
      </c>
      <c r="AC149" s="9" t="str">
        <f t="shared" si="53"/>
        <v/>
      </c>
      <c r="AD149" s="27">
        <f>SUMIF(Flux!$B$7:$B$926,B149,Flux!$F$7:$F$926)-K149</f>
        <v>0</v>
      </c>
      <c r="AE149" s="28">
        <v>7.931694080847385</v>
      </c>
      <c r="AF149" s="21">
        <f t="shared" si="54"/>
        <v>27.9576861106084</v>
      </c>
    </row>
    <row r="150" spans="2:32" x14ac:dyDescent="0.2">
      <c r="B150" s="9" t="s">
        <v>515</v>
      </c>
      <c r="C150" s="9" t="s">
        <v>516</v>
      </c>
      <c r="D150" s="9" t="s">
        <v>517</v>
      </c>
      <c r="E150" s="19">
        <v>48868</v>
      </c>
      <c r="F150" s="20">
        <v>3.625</v>
      </c>
      <c r="G150" s="13">
        <v>25000000</v>
      </c>
      <c r="H150" s="21">
        <v>99.360500000000002</v>
      </c>
      <c r="I150" s="22">
        <v>643065.06999999995</v>
      </c>
      <c r="J150" s="22">
        <v>25483190.07</v>
      </c>
      <c r="K150" s="21">
        <f t="shared" si="44"/>
        <v>101.93276028</v>
      </c>
      <c r="L150" s="23">
        <v>118.5417554171506</v>
      </c>
      <c r="M150" s="24">
        <v>0.21444325533201539</v>
      </c>
      <c r="N150" s="24">
        <v>2.6615010026981829</v>
      </c>
      <c r="O150" s="24">
        <v>4.2418410304780236</v>
      </c>
      <c r="P150" s="21">
        <f t="shared" si="45"/>
        <v>7.1177852885082213</v>
      </c>
      <c r="Q150" s="21">
        <f t="shared" si="46"/>
        <v>7.1177852885082213</v>
      </c>
      <c r="R150" s="25" t="s">
        <v>109</v>
      </c>
      <c r="S150" s="13">
        <f t="shared" si="47"/>
        <v>25483190.07</v>
      </c>
      <c r="T150" s="26">
        <f t="shared" si="48"/>
        <v>9.8306174874379041E-3</v>
      </c>
      <c r="U150" s="26">
        <f t="shared" si="49"/>
        <v>9.8306174874379041E-3</v>
      </c>
      <c r="V150" s="13">
        <f>RL_NAV*T150*(M150*Calculs!$I$13+N150*Calculs!$I$14+O150*Calculs!$I$15+AF150*Calculs!$I$22)</f>
        <v>388907.35921314737</v>
      </c>
      <c r="W150" s="13">
        <f>RL_NAV*U150*(M150*Calculs!$J$13+N150*Calculs!$J$14+O150*Calculs!$J$15+AF150*Calculs!$J$22)</f>
        <v>388907.35921314737</v>
      </c>
      <c r="X150" s="13">
        <f t="shared" si="50"/>
        <v>15261.329454626924</v>
      </c>
      <c r="Y150" s="13">
        <f t="shared" si="51"/>
        <v>4534596.8846126199</v>
      </c>
      <c r="Z150" s="13">
        <f t="shared" si="52"/>
        <v>4534596.8846126199</v>
      </c>
      <c r="AA150" s="13">
        <f>RL_NAV*T150*(1-SUMPRODUCT((Flux!$B$7:$B$926=B150)*Flux!$F$7:$F$926*EXP(-(RL_Choc_Taux+IF(Q150&gt;0,RL_Choc_Spread,0))/10000*Flux!$D$7:$D$926))/K150)</f>
        <v>4116431.4773770068</v>
      </c>
      <c r="AB150" s="13">
        <f>RL_NAV*U150*(1-SUMPRODUCT((Flux!$B$7:$B$926=B150)*Flux!$F$7:$F$926*EXP(-(RL_Choc_Taux+IF(Q150&gt;0,RL_Choc_Spread,0))/10000*Flux!$D$7:$D$926))/K150)</f>
        <v>4116431.4773770068</v>
      </c>
      <c r="AC150" s="9" t="str">
        <f t="shared" si="53"/>
        <v/>
      </c>
      <c r="AD150" s="27">
        <f>SUMIF(Flux!$B$7:$B$926,B150,Flux!$F$7:$F$926)-K150</f>
        <v>0</v>
      </c>
      <c r="AE150" s="28">
        <v>1.097608846455099</v>
      </c>
      <c r="AF150" s="21">
        <f t="shared" si="54"/>
        <v>7.8125440998345832</v>
      </c>
    </row>
    <row r="151" spans="2:32" x14ac:dyDescent="0.2">
      <c r="B151" s="9" t="s">
        <v>518</v>
      </c>
      <c r="C151" s="9" t="s">
        <v>519</v>
      </c>
      <c r="D151" s="9" t="s">
        <v>520</v>
      </c>
      <c r="E151" s="19">
        <v>48143</v>
      </c>
      <c r="F151" s="20">
        <v>3.5</v>
      </c>
      <c r="G151" s="13">
        <v>20000000</v>
      </c>
      <c r="H151" s="21">
        <v>99.069000000000003</v>
      </c>
      <c r="I151" s="22">
        <v>485205.48</v>
      </c>
      <c r="J151" s="22">
        <v>20299005.48</v>
      </c>
      <c r="K151" s="21">
        <f t="shared" si="44"/>
        <v>101.4950274</v>
      </c>
      <c r="L151" s="23">
        <v>132.71909355903679</v>
      </c>
      <c r="M151" s="24">
        <v>0.20738235811353359</v>
      </c>
      <c r="N151" s="24">
        <v>4.0724128421239989</v>
      </c>
      <c r="O151" s="24">
        <v>1.3519274558430381</v>
      </c>
      <c r="P151" s="21">
        <f t="shared" si="45"/>
        <v>5.6317226560805702</v>
      </c>
      <c r="Q151" s="21">
        <f t="shared" si="46"/>
        <v>5.6317226560805702</v>
      </c>
      <c r="R151" s="25" t="s">
        <v>109</v>
      </c>
      <c r="S151" s="13">
        <f t="shared" si="47"/>
        <v>20299005.48</v>
      </c>
      <c r="T151" s="26">
        <f t="shared" si="48"/>
        <v>7.8307212598240396E-3</v>
      </c>
      <c r="U151" s="26">
        <f t="shared" si="49"/>
        <v>7.8307212598240396E-3</v>
      </c>
      <c r="V151" s="13">
        <f>RL_NAV*T151*(M151*Calculs!$I$13+N151*Calculs!$I$14+O151*Calculs!$I$15+AF151*Calculs!$I$22)</f>
        <v>264274.30297887127</v>
      </c>
      <c r="W151" s="13">
        <f>RL_NAV*U151*(M151*Calculs!$J$13+N151*Calculs!$J$14+O151*Calculs!$J$15+AF151*Calculs!$J$22)</f>
        <v>264274.30297887127</v>
      </c>
      <c r="X151" s="13">
        <f t="shared" si="50"/>
        <v>13019.076389690756</v>
      </c>
      <c r="Y151" s="13">
        <f t="shared" si="51"/>
        <v>2857959.2264404916</v>
      </c>
      <c r="Z151" s="13">
        <f t="shared" si="52"/>
        <v>2857959.2264404916</v>
      </c>
      <c r="AA151" s="13">
        <f>RL_NAV*T151*(1-SUMPRODUCT((Flux!$B$7:$B$926=B151)*Flux!$F$7:$F$926*EXP(-(RL_Choc_Taux+IF(Q151&gt;0,RL_Choc_Spread,0))/10000*Flux!$D$7:$D$926))/K151)</f>
        <v>2651501.2761886786</v>
      </c>
      <c r="AB151" s="13">
        <f>RL_NAV*U151*(1-SUMPRODUCT((Flux!$B$7:$B$926=B151)*Flux!$F$7:$F$926*EXP(-(RL_Choc_Taux+IF(Q151&gt;0,RL_Choc_Spread,0))/10000*Flux!$D$7:$D$926))/K151)</f>
        <v>2651501.2761886786</v>
      </c>
      <c r="AC151" s="9" t="str">
        <f t="shared" si="53"/>
        <v/>
      </c>
      <c r="AD151" s="27">
        <f>SUMIF(Flux!$B$7:$B$926,B151,Flux!$F$7:$F$926)-K151</f>
        <v>0</v>
      </c>
      <c r="AE151" s="28">
        <v>1.228880495917007</v>
      </c>
      <c r="AF151" s="21">
        <f t="shared" si="54"/>
        <v>6.9207141304713353</v>
      </c>
    </row>
    <row r="152" spans="2:32" x14ac:dyDescent="0.2">
      <c r="B152" s="9" t="s">
        <v>521</v>
      </c>
      <c r="C152" s="9" t="s">
        <v>522</v>
      </c>
      <c r="D152" s="9" t="s">
        <v>425</v>
      </c>
      <c r="E152" s="19">
        <v>47143</v>
      </c>
      <c r="F152" s="20">
        <v>3.375</v>
      </c>
      <c r="G152" s="13">
        <v>15664000</v>
      </c>
      <c r="H152" s="21">
        <v>101.532</v>
      </c>
      <c r="I152" s="22">
        <v>228844.6</v>
      </c>
      <c r="J152" s="22">
        <v>16132817.08</v>
      </c>
      <c r="K152" s="21">
        <f t="shared" si="44"/>
        <v>102.99295888661899</v>
      </c>
      <c r="L152" s="23">
        <v>86.431563318828637</v>
      </c>
      <c r="M152" s="24">
        <v>1.670891332859832</v>
      </c>
      <c r="N152" s="24">
        <v>1.7117560487316299</v>
      </c>
      <c r="O152" s="24">
        <v>0</v>
      </c>
      <c r="P152" s="21">
        <f t="shared" si="45"/>
        <v>3.3826473815914619</v>
      </c>
      <c r="Q152" s="21">
        <f t="shared" si="46"/>
        <v>3.3826473815914619</v>
      </c>
      <c r="R152" s="25" t="s">
        <v>109</v>
      </c>
      <c r="S152" s="13">
        <f t="shared" si="47"/>
        <v>16132817.08</v>
      </c>
      <c r="T152" s="26">
        <f t="shared" si="48"/>
        <v>6.2235361143026984E-3</v>
      </c>
      <c r="U152" s="26">
        <f t="shared" si="49"/>
        <v>6.2235361143026984E-3</v>
      </c>
      <c r="V152" s="13">
        <f>RL_NAV*T152*(M152*Calculs!$I$13+N152*Calculs!$I$14+O152*Calculs!$I$15+AF152*Calculs!$I$22)</f>
        <v>99799.210894193879</v>
      </c>
      <c r="W152" s="13">
        <f>RL_NAV*U152*(M152*Calculs!$J$13+N152*Calculs!$J$14+O152*Calculs!$J$15+AF152*Calculs!$J$22)</f>
        <v>99799.210894193879</v>
      </c>
      <c r="X152" s="13">
        <f t="shared" si="50"/>
        <v>6186.0994517762101</v>
      </c>
      <c r="Y152" s="13">
        <f t="shared" si="51"/>
        <v>1364290.7863339004</v>
      </c>
      <c r="Z152" s="13">
        <f t="shared" si="52"/>
        <v>1364290.7863339004</v>
      </c>
      <c r="AA152" s="13">
        <f>RL_NAV*T152*(1-SUMPRODUCT((Flux!$B$7:$B$926=B152)*Flux!$F$7:$F$926*EXP(-(RL_Choc_Taux+IF(Q152&gt;0,RL_Choc_Spread,0))/10000*Flux!$D$7:$D$926))/K152)</f>
        <v>1306257.9394281064</v>
      </c>
      <c r="AB152" s="13">
        <f>RL_NAV*U152*(1-SUMPRODUCT((Flux!$B$7:$B$926=B152)*Flux!$F$7:$F$926*EXP(-(RL_Choc_Taux+IF(Q152&gt;0,RL_Choc_Spread,0))/10000*Flux!$D$7:$D$926))/K152)</f>
        <v>1306257.9394281064</v>
      </c>
      <c r="AC152" s="9" t="str">
        <f t="shared" si="53"/>
        <v/>
      </c>
      <c r="AD152" s="27">
        <f>SUMIF(Flux!$B$7:$B$926,B152,Flux!$F$7:$F$926)-K152</f>
        <v>0</v>
      </c>
      <c r="AE152" s="28">
        <v>0.80029225295211726</v>
      </c>
      <c r="AF152" s="21">
        <f t="shared" si="54"/>
        <v>2.7071064939564113</v>
      </c>
    </row>
    <row r="153" spans="2:32" x14ac:dyDescent="0.2">
      <c r="B153" s="9" t="s">
        <v>523</v>
      </c>
      <c r="C153" s="9" t="s">
        <v>524</v>
      </c>
      <c r="D153" s="9" t="s">
        <v>525</v>
      </c>
      <c r="E153" s="19">
        <v>47442</v>
      </c>
      <c r="F153" s="20">
        <v>4</v>
      </c>
      <c r="G153" s="13">
        <v>17000000</v>
      </c>
      <c r="H153" s="21">
        <v>101.22</v>
      </c>
      <c r="I153" s="22">
        <v>417315.07</v>
      </c>
      <c r="J153" s="22">
        <v>17624715.07</v>
      </c>
      <c r="K153" s="21">
        <f t="shared" si="44"/>
        <v>103.67479452941177</v>
      </c>
      <c r="L153" s="23">
        <v>153.68253991622689</v>
      </c>
      <c r="M153" s="24">
        <v>0.96412700683053265</v>
      </c>
      <c r="N153" s="24">
        <v>3.059271173198943</v>
      </c>
      <c r="O153" s="24">
        <v>0</v>
      </c>
      <c r="P153" s="21">
        <f t="shared" si="45"/>
        <v>4.023398180029476</v>
      </c>
      <c r="Q153" s="21">
        <f t="shared" si="46"/>
        <v>4.023398180029476</v>
      </c>
      <c r="R153" s="25" t="s">
        <v>109</v>
      </c>
      <c r="S153" s="13">
        <f t="shared" si="47"/>
        <v>17624715.07</v>
      </c>
      <c r="T153" s="26">
        <f t="shared" si="48"/>
        <v>6.799063684818028E-3</v>
      </c>
      <c r="U153" s="26">
        <f t="shared" si="49"/>
        <v>6.799063684818028E-3</v>
      </c>
      <c r="V153" s="13">
        <f>RL_NAV*T153*(M153*Calculs!$I$13+N153*Calculs!$I$14+O153*Calculs!$I$15+AF153*Calculs!$I$22)</f>
        <v>179335.55408441066</v>
      </c>
      <c r="W153" s="13">
        <f>RL_NAV*U153*(M153*Calculs!$J$13+N153*Calculs!$J$14+O153*Calculs!$J$15+AF153*Calculs!$J$22)</f>
        <v>179335.55408441066</v>
      </c>
      <c r="X153" s="13">
        <f t="shared" si="50"/>
        <v>10175.231393650589</v>
      </c>
      <c r="Y153" s="13">
        <f t="shared" si="51"/>
        <v>1772781.1634044021</v>
      </c>
      <c r="Z153" s="13">
        <f t="shared" si="52"/>
        <v>1772781.1634044021</v>
      </c>
      <c r="AA153" s="13">
        <f>RL_NAV*T153*(1-SUMPRODUCT((Flux!$B$7:$B$926=B153)*Flux!$F$7:$F$926*EXP(-(RL_Choc_Taux+IF(Q153&gt;0,RL_Choc_Spread,0))/10000*Flux!$D$7:$D$926))/K153)</f>
        <v>1681538.7466574782</v>
      </c>
      <c r="AB153" s="13">
        <f>RL_NAV*U153*(1-SUMPRODUCT((Flux!$B$7:$B$926=B153)*Flux!$F$7:$F$926*EXP(-(RL_Choc_Taux+IF(Q153&gt;0,RL_Choc_Spread,0))/10000*Flux!$D$7:$D$926))/K153)</f>
        <v>1681538.7466574782</v>
      </c>
      <c r="AC153" s="9" t="str">
        <f t="shared" si="53"/>
        <v/>
      </c>
      <c r="AD153" s="27">
        <f>SUMIF(Flux!$B$7:$B$926,B153,Flux!$F$7:$F$926)-K153</f>
        <v>0</v>
      </c>
      <c r="AE153" s="28">
        <v>1.422986480705805</v>
      </c>
      <c r="AF153" s="21">
        <f t="shared" si="54"/>
        <v>5.7252412166782847</v>
      </c>
    </row>
    <row r="154" spans="2:32" x14ac:dyDescent="0.2">
      <c r="B154" s="9" t="s">
        <v>526</v>
      </c>
      <c r="C154" s="9" t="s">
        <v>527</v>
      </c>
      <c r="D154" s="9" t="s">
        <v>528</v>
      </c>
      <c r="E154" s="19">
        <v>48263</v>
      </c>
      <c r="F154" s="20">
        <v>4</v>
      </c>
      <c r="G154" s="13">
        <v>8000000</v>
      </c>
      <c r="H154" s="21">
        <v>99.763000000000005</v>
      </c>
      <c r="I154" s="22">
        <v>116602.74</v>
      </c>
      <c r="J154" s="22">
        <v>8097642.7400000002</v>
      </c>
      <c r="K154" s="21">
        <f t="shared" si="44"/>
        <v>101.22053425</v>
      </c>
      <c r="L154" s="23">
        <v>165.7705212173997</v>
      </c>
      <c r="M154" s="24">
        <v>0.23608711668086921</v>
      </c>
      <c r="N154" s="24">
        <v>3.8998704680829999</v>
      </c>
      <c r="O154" s="24">
        <v>1.739490644995958</v>
      </c>
      <c r="P154" s="21">
        <f t="shared" si="45"/>
        <v>5.8754482297598267</v>
      </c>
      <c r="Q154" s="21">
        <f t="shared" si="46"/>
        <v>5.8754482297598267</v>
      </c>
      <c r="R154" s="25" t="s">
        <v>109</v>
      </c>
      <c r="S154" s="13">
        <f t="shared" si="47"/>
        <v>8097642.7400000002</v>
      </c>
      <c r="T154" s="26">
        <f t="shared" si="48"/>
        <v>3.1238172343494431E-3</v>
      </c>
      <c r="U154" s="26">
        <f t="shared" si="49"/>
        <v>3.1238172343494431E-3</v>
      </c>
      <c r="V154" s="13">
        <f>RL_NAV*T154*(M154*Calculs!$I$13+N154*Calculs!$I$14+O154*Calculs!$I$15+AF154*Calculs!$I$22)</f>
        <v>125815.93785936102</v>
      </c>
      <c r="W154" s="13">
        <f>RL_NAV*U154*(M154*Calculs!$J$13+N154*Calculs!$J$14+O154*Calculs!$J$15+AF154*Calculs!$J$22)</f>
        <v>125815.93785936102</v>
      </c>
      <c r="X154" s="13">
        <f t="shared" si="50"/>
        <v>15537.35351127148</v>
      </c>
      <c r="Y154" s="13">
        <f t="shared" si="51"/>
        <v>1189432.017549013</v>
      </c>
      <c r="Z154" s="13">
        <f t="shared" si="52"/>
        <v>1189432.017549013</v>
      </c>
      <c r="AA154" s="13">
        <f>RL_NAV*T154*(1-SUMPRODUCT((Flux!$B$7:$B$926=B154)*Flux!$F$7:$F$926*EXP(-(RL_Choc_Taux+IF(Q154&gt;0,RL_Choc_Spread,0))/10000*Flux!$D$7:$D$926))/K154)</f>
        <v>1099923.7592636338</v>
      </c>
      <c r="AB154" s="13">
        <f>RL_NAV*U154*(1-SUMPRODUCT((Flux!$B$7:$B$926=B154)*Flux!$F$7:$F$926*EXP(-(RL_Choc_Taux+IF(Q154&gt;0,RL_Choc_Spread,0))/10000*Flux!$D$7:$D$926))/K154)</f>
        <v>1099923.7592636338</v>
      </c>
      <c r="AC154" s="9" t="str">
        <f t="shared" si="53"/>
        <v/>
      </c>
      <c r="AD154" s="27">
        <f>SUMIF(Flux!$B$7:$B$926,B154,Flux!$F$7:$F$926)-K154</f>
        <v>0</v>
      </c>
      <c r="AE154" s="28">
        <v>1.5349122334944429</v>
      </c>
      <c r="AF154" s="21">
        <f t="shared" si="54"/>
        <v>9.0182973651216258</v>
      </c>
    </row>
    <row r="155" spans="2:32" x14ac:dyDescent="0.2">
      <c r="B155" s="9" t="s">
        <v>529</v>
      </c>
      <c r="C155" s="9" t="s">
        <v>530</v>
      </c>
      <c r="D155" s="9" t="s">
        <v>531</v>
      </c>
      <c r="E155" s="19">
        <v>49357</v>
      </c>
      <c r="F155" s="20">
        <v>3.375</v>
      </c>
      <c r="G155" s="13">
        <v>19500000</v>
      </c>
      <c r="H155" s="21">
        <v>97.435000000000002</v>
      </c>
      <c r="I155" s="22">
        <v>243416.1</v>
      </c>
      <c r="J155" s="22">
        <v>19243241.100000001</v>
      </c>
      <c r="K155" s="21">
        <f t="shared" si="44"/>
        <v>98.683287692307701</v>
      </c>
      <c r="L155" s="23">
        <v>103.917390772283</v>
      </c>
      <c r="M155" s="24">
        <v>0.20764476998764561</v>
      </c>
      <c r="N155" s="24">
        <v>1.132219062136183</v>
      </c>
      <c r="O155" s="24">
        <v>6.9051507693465943</v>
      </c>
      <c r="P155" s="21">
        <f t="shared" si="45"/>
        <v>8.2450146014704231</v>
      </c>
      <c r="Q155" s="21">
        <f t="shared" si="46"/>
        <v>8.2450146014704231</v>
      </c>
      <c r="R155" s="25" t="s">
        <v>109</v>
      </c>
      <c r="S155" s="13">
        <f t="shared" si="47"/>
        <v>19243241.100000001</v>
      </c>
      <c r="T155" s="26">
        <f t="shared" si="48"/>
        <v>7.4234403916072908E-3</v>
      </c>
      <c r="U155" s="26">
        <f t="shared" si="49"/>
        <v>7.4234403916072908E-3</v>
      </c>
      <c r="V155" s="13">
        <f>RL_NAV*T155*(M155*Calculs!$I$13+N155*Calculs!$I$14+O155*Calculs!$I$15+AF155*Calculs!$I$22)</f>
        <v>314056.19191565394</v>
      </c>
      <c r="W155" s="13">
        <f>RL_NAV*U155*(M155*Calculs!$J$13+N155*Calculs!$J$14+O155*Calculs!$J$15+AF155*Calculs!$J$22)</f>
        <v>314056.19191565394</v>
      </c>
      <c r="X155" s="13">
        <f t="shared" si="50"/>
        <v>16320.337633542091</v>
      </c>
      <c r="Y155" s="13">
        <f t="shared" si="51"/>
        <v>3966520.0962278936</v>
      </c>
      <c r="Z155" s="13">
        <f t="shared" si="52"/>
        <v>3966520.0962278936</v>
      </c>
      <c r="AA155" s="13">
        <f>RL_NAV*T155*(1-SUMPRODUCT((Flux!$B$7:$B$926=B155)*Flux!$F$7:$F$926*EXP(-(RL_Choc_Taux+IF(Q155&gt;0,RL_Choc_Spread,0))/10000*Flux!$D$7:$D$926))/K155)</f>
        <v>3548279.7760130526</v>
      </c>
      <c r="AB155" s="13">
        <f>RL_NAV*U155*(1-SUMPRODUCT((Flux!$B$7:$B$926=B155)*Flux!$F$7:$F$926*EXP(-(RL_Choc_Taux+IF(Q155&gt;0,RL_Choc_Spread,0))/10000*Flux!$D$7:$D$926))/K155)</f>
        <v>3548279.7760130526</v>
      </c>
      <c r="AC155" s="9" t="str">
        <f t="shared" si="53"/>
        <v/>
      </c>
      <c r="AD155" s="27">
        <f>SUMIF(Flux!$B$7:$B$926,B155,Flux!$F$7:$F$926)-K155</f>
        <v>0</v>
      </c>
      <c r="AE155" s="28">
        <v>0.96219806270632402</v>
      </c>
      <c r="AF155" s="21">
        <f t="shared" si="54"/>
        <v>7.9333370765201954</v>
      </c>
    </row>
    <row r="156" spans="2:32" x14ac:dyDescent="0.2">
      <c r="B156" s="9" t="s">
        <v>532</v>
      </c>
      <c r="C156" s="9" t="s">
        <v>533</v>
      </c>
      <c r="D156" s="9" t="s">
        <v>534</v>
      </c>
      <c r="E156" s="19">
        <v>47982</v>
      </c>
      <c r="F156" s="20">
        <v>2.95</v>
      </c>
      <c r="G156" s="13">
        <v>22000000</v>
      </c>
      <c r="H156" s="21">
        <v>98.781999999999996</v>
      </c>
      <c r="I156" s="22">
        <v>87126.03</v>
      </c>
      <c r="J156" s="22">
        <v>21819166.030000001</v>
      </c>
      <c r="K156" s="21">
        <f t="shared" si="44"/>
        <v>99.178027409090916</v>
      </c>
      <c r="L156" s="23">
        <v>89.740675232817438</v>
      </c>
      <c r="M156" s="24">
        <v>0.1780420333512677</v>
      </c>
      <c r="N156" s="24">
        <v>4.3913101146499782</v>
      </c>
      <c r="O156" s="24">
        <v>0.88147681076290774</v>
      </c>
      <c r="P156" s="21">
        <f t="shared" si="45"/>
        <v>5.4508289587641539</v>
      </c>
      <c r="Q156" s="21">
        <f t="shared" si="46"/>
        <v>5.4508289587641539</v>
      </c>
      <c r="R156" s="25" t="s">
        <v>109</v>
      </c>
      <c r="S156" s="13">
        <f t="shared" si="47"/>
        <v>21819166.030000001</v>
      </c>
      <c r="T156" s="26">
        <f t="shared" si="48"/>
        <v>8.417151641793217E-3</v>
      </c>
      <c r="U156" s="26">
        <f t="shared" si="49"/>
        <v>8.417151641793217E-3</v>
      </c>
      <c r="V156" s="13">
        <f>RL_NAV*T156*(M156*Calculs!$I$13+N156*Calculs!$I$14+O156*Calculs!$I$15+AF156*Calculs!$I$22)</f>
        <v>223527.54694246658</v>
      </c>
      <c r="W156" s="13">
        <f>RL_NAV*U156*(M156*Calculs!$J$13+N156*Calculs!$J$14+O156*Calculs!$J$15+AF156*Calculs!$J$22)</f>
        <v>223527.54694246658</v>
      </c>
      <c r="X156" s="13">
        <f t="shared" si="50"/>
        <v>10244.550439514052</v>
      </c>
      <c r="Y156" s="13">
        <f t="shared" si="51"/>
        <v>2973313.5513101774</v>
      </c>
      <c r="Z156" s="13">
        <f t="shared" si="52"/>
        <v>2973313.5513101774</v>
      </c>
      <c r="AA156" s="13">
        <f>RL_NAV*T156*(1-SUMPRODUCT((Flux!$B$7:$B$926=B156)*Flux!$F$7:$F$926*EXP(-(RL_Choc_Taux+IF(Q156&gt;0,RL_Choc_Spread,0))/10000*Flux!$D$7:$D$926))/K156)</f>
        <v>2771175.2081191535</v>
      </c>
      <c r="AB156" s="13">
        <f>RL_NAV*U156*(1-SUMPRODUCT((Flux!$B$7:$B$926=B156)*Flux!$F$7:$F$926*EXP(-(RL_Choc_Taux+IF(Q156&gt;0,RL_Choc_Spread,0))/10000*Flux!$D$7:$D$926))/K156)</f>
        <v>2771175.2081191535</v>
      </c>
      <c r="AC156" s="9" t="str">
        <f t="shared" si="53"/>
        <v/>
      </c>
      <c r="AD156" s="27">
        <f>SUMIF(Flux!$B$7:$B$926,B156,Flux!$F$7:$F$926)-K156</f>
        <v>0</v>
      </c>
      <c r="AE156" s="28">
        <v>0.8309321780816431</v>
      </c>
      <c r="AF156" s="21">
        <f t="shared" si="54"/>
        <v>4.529269179056393</v>
      </c>
    </row>
    <row r="157" spans="2:32" x14ac:dyDescent="0.2">
      <c r="B157" s="9" t="s">
        <v>535</v>
      </c>
      <c r="C157" s="9" t="s">
        <v>536</v>
      </c>
      <c r="D157" s="9" t="s">
        <v>537</v>
      </c>
      <c r="E157" s="19">
        <v>47919</v>
      </c>
      <c r="F157" s="20">
        <v>3.875</v>
      </c>
      <c r="G157" s="13">
        <v>20000000</v>
      </c>
      <c r="H157" s="21">
        <v>100.40649999999999</v>
      </c>
      <c r="I157" s="22">
        <v>237808.22</v>
      </c>
      <c r="J157" s="22">
        <v>20319108.219999999</v>
      </c>
      <c r="K157" s="21">
        <f t="shared" si="44"/>
        <v>101.59554109999999</v>
      </c>
      <c r="L157" s="23">
        <v>150.90774857879941</v>
      </c>
      <c r="M157" s="24">
        <v>0.22805161395848511</v>
      </c>
      <c r="N157" s="24">
        <v>4.2790304565248913</v>
      </c>
      <c r="O157" s="24">
        <v>0.65671863334324843</v>
      </c>
      <c r="P157" s="21">
        <f t="shared" si="45"/>
        <v>5.1638007038266247</v>
      </c>
      <c r="Q157" s="21">
        <f t="shared" si="46"/>
        <v>5.1638007038266247</v>
      </c>
      <c r="R157" s="25" t="s">
        <v>109</v>
      </c>
      <c r="S157" s="13">
        <f t="shared" si="47"/>
        <v>20319108.219999999</v>
      </c>
      <c r="T157" s="26">
        <f t="shared" si="48"/>
        <v>7.8384762680018451E-3</v>
      </c>
      <c r="U157" s="26">
        <f t="shared" si="49"/>
        <v>7.8384762680018451E-3</v>
      </c>
      <c r="V157" s="13">
        <f>RL_NAV*T157*(M157*Calculs!$I$13+N157*Calculs!$I$14+O157*Calculs!$I$15+AF157*Calculs!$I$22)</f>
        <v>262734.35623002081</v>
      </c>
      <c r="W157" s="13">
        <f>RL_NAV*U157*(M157*Calculs!$J$13+N157*Calculs!$J$14+O157*Calculs!$J$15+AF157*Calculs!$J$22)</f>
        <v>262734.35623002081</v>
      </c>
      <c r="X157" s="13">
        <f t="shared" si="50"/>
        <v>12930.407840015965</v>
      </c>
      <c r="Y157" s="13">
        <f t="shared" si="51"/>
        <v>2623095.6331891338</v>
      </c>
      <c r="Z157" s="13">
        <f t="shared" si="52"/>
        <v>2623095.6331891338</v>
      </c>
      <c r="AA157" s="13">
        <f>RL_NAV*T157*(1-SUMPRODUCT((Flux!$B$7:$B$926=B157)*Flux!$F$7:$F$926*EXP(-(RL_Choc_Taux+IF(Q157&gt;0,RL_Choc_Spread,0))/10000*Flux!$D$7:$D$926))/K157)</f>
        <v>2451090.0249623391</v>
      </c>
      <c r="AB157" s="13">
        <f>RL_NAV*U157*(1-SUMPRODUCT((Flux!$B$7:$B$926=B157)*Flux!$F$7:$F$926*EXP(-(RL_Choc_Taux+IF(Q157&gt;0,RL_Choc_Spread,0))/10000*Flux!$D$7:$D$926))/K157)</f>
        <v>2451090.0249623391</v>
      </c>
      <c r="AC157" s="9" t="str">
        <f t="shared" si="53"/>
        <v/>
      </c>
      <c r="AD157" s="27">
        <f>SUMIF(Flux!$B$7:$B$926,B157,Flux!$F$7:$F$926)-K157</f>
        <v>0</v>
      </c>
      <c r="AE157" s="28">
        <v>1.397293968322217</v>
      </c>
      <c r="AF157" s="21">
        <f t="shared" si="54"/>
        <v>7.2153475770749615</v>
      </c>
    </row>
    <row r="158" spans="2:32" x14ac:dyDescent="0.2">
      <c r="B158" s="9" t="s">
        <v>538</v>
      </c>
      <c r="C158" s="9" t="s">
        <v>539</v>
      </c>
      <c r="D158" s="9" t="s">
        <v>540</v>
      </c>
      <c r="E158" s="19">
        <v>49387</v>
      </c>
      <c r="F158" s="20">
        <v>4</v>
      </c>
      <c r="G158" s="13">
        <v>14900000</v>
      </c>
      <c r="H158" s="21">
        <v>101.357</v>
      </c>
      <c r="I158" s="22">
        <v>171452.05</v>
      </c>
      <c r="J158" s="22">
        <v>15273645.050000001</v>
      </c>
      <c r="K158" s="21">
        <f t="shared" si="44"/>
        <v>102.50768489932886</v>
      </c>
      <c r="L158" s="23">
        <v>116.86355813784139</v>
      </c>
      <c r="M158" s="24">
        <v>0.23508575277216029</v>
      </c>
      <c r="N158" s="24">
        <v>1.0858788120208489</v>
      </c>
      <c r="O158" s="24">
        <v>6.8214191321014193</v>
      </c>
      <c r="P158" s="21">
        <f t="shared" si="45"/>
        <v>8.142383696894429</v>
      </c>
      <c r="Q158" s="21">
        <f t="shared" si="46"/>
        <v>8.142383696894429</v>
      </c>
      <c r="R158" s="25" t="s">
        <v>109</v>
      </c>
      <c r="S158" s="13">
        <f t="shared" si="47"/>
        <v>15273645.050000001</v>
      </c>
      <c r="T158" s="26">
        <f t="shared" si="48"/>
        <v>5.8920944243245361E-3</v>
      </c>
      <c r="U158" s="26">
        <f t="shared" si="49"/>
        <v>5.8920944243245361E-3</v>
      </c>
      <c r="V158" s="13">
        <f>RL_NAV*T158*(M158*Calculs!$I$13+N158*Calculs!$I$14+O158*Calculs!$I$15+AF158*Calculs!$I$22)</f>
        <v>262536.92254387552</v>
      </c>
      <c r="W158" s="13">
        <f>RL_NAV*U158*(M158*Calculs!$J$13+N158*Calculs!$J$14+O158*Calculs!$J$15+AF158*Calculs!$J$22)</f>
        <v>262536.92254387552</v>
      </c>
      <c r="X158" s="13">
        <f t="shared" si="50"/>
        <v>17188.884623443279</v>
      </c>
      <c r="Y158" s="13">
        <f t="shared" si="51"/>
        <v>3109096.9611818073</v>
      </c>
      <c r="Z158" s="13">
        <f t="shared" si="52"/>
        <v>3109096.9611818073</v>
      </c>
      <c r="AA158" s="13">
        <f>RL_NAV*T158*(1-SUMPRODUCT((Flux!$B$7:$B$926=B158)*Flux!$F$7:$F$926*EXP(-(RL_Choc_Taux+IF(Q158&gt;0,RL_Choc_Spread,0))/10000*Flux!$D$7:$D$926))/K158)</f>
        <v>2781719.3558437084</v>
      </c>
      <c r="AB158" s="13">
        <f>RL_NAV*U158*(1-SUMPRODUCT((Flux!$B$7:$B$926=B158)*Flux!$F$7:$F$926*EXP(-(RL_Choc_Taux+IF(Q158&gt;0,RL_Choc_Spread,0))/10000*Flux!$D$7:$D$926))/K158)</f>
        <v>2781719.3558437084</v>
      </c>
      <c r="AC158" s="9" t="str">
        <f t="shared" si="53"/>
        <v/>
      </c>
      <c r="AD158" s="27">
        <f>SUMIF(Flux!$B$7:$B$926,B158,Flux!$F$7:$F$926)-K158</f>
        <v>0</v>
      </c>
      <c r="AE158" s="28">
        <v>1.0820699827577911</v>
      </c>
      <c r="AF158" s="21">
        <f t="shared" si="54"/>
        <v>8.8106289865058738</v>
      </c>
    </row>
    <row r="159" spans="2:32" x14ac:dyDescent="0.2">
      <c r="B159" s="9" t="s">
        <v>541</v>
      </c>
      <c r="C159" s="9" t="s">
        <v>542</v>
      </c>
      <c r="D159" s="9" t="s">
        <v>543</v>
      </c>
      <c r="E159" s="19">
        <v>48291</v>
      </c>
      <c r="F159" s="20">
        <v>3.5</v>
      </c>
      <c r="G159" s="13">
        <v>23500000</v>
      </c>
      <c r="H159" s="21">
        <v>101.12949999999999</v>
      </c>
      <c r="I159" s="22">
        <v>238863.01</v>
      </c>
      <c r="J159" s="22">
        <v>24004295.510000002</v>
      </c>
      <c r="K159" s="21">
        <f t="shared" si="44"/>
        <v>102.14593834042553</v>
      </c>
      <c r="L159" s="23">
        <v>94.108864965437064</v>
      </c>
      <c r="M159" s="24">
        <v>0.20767884352246421</v>
      </c>
      <c r="N159" s="24">
        <v>3.938970920011275</v>
      </c>
      <c r="O159" s="24">
        <v>1.897415867132215</v>
      </c>
      <c r="P159" s="21">
        <f t="shared" si="45"/>
        <v>6.0440656306659548</v>
      </c>
      <c r="Q159" s="21">
        <f t="shared" si="46"/>
        <v>6.0440656306659548</v>
      </c>
      <c r="R159" s="25" t="s">
        <v>109</v>
      </c>
      <c r="S159" s="13">
        <f t="shared" si="47"/>
        <v>24004295.510000002</v>
      </c>
      <c r="T159" s="26">
        <f t="shared" si="48"/>
        <v>9.2601062334042861E-3</v>
      </c>
      <c r="U159" s="26">
        <f t="shared" si="49"/>
        <v>9.2601062334042861E-3</v>
      </c>
      <c r="V159" s="13">
        <f>RL_NAV*T159*(M159*Calculs!$I$13+N159*Calculs!$I$14+O159*Calculs!$I$15+AF159*Calculs!$I$22)</f>
        <v>277650.72595402534</v>
      </c>
      <c r="W159" s="13">
        <f>RL_NAV*U159*(M159*Calculs!$J$13+N159*Calculs!$J$14+O159*Calculs!$J$15+AF159*Calculs!$J$22)</f>
        <v>277650.72595402534</v>
      </c>
      <c r="X159" s="13">
        <f t="shared" si="50"/>
        <v>11566.710043140329</v>
      </c>
      <c r="Y159" s="13">
        <f t="shared" si="51"/>
        <v>3627088.4370085029</v>
      </c>
      <c r="Z159" s="13">
        <f t="shared" si="52"/>
        <v>3627088.4370085029</v>
      </c>
      <c r="AA159" s="13">
        <f>RL_NAV*T159*(1-SUMPRODUCT((Flux!$B$7:$B$926=B159)*Flux!$F$7:$F$926*EXP(-(RL_Choc_Taux+IF(Q159&gt;0,RL_Choc_Spread,0))/10000*Flux!$D$7:$D$926))/K159)</f>
        <v>3349682.9417271679</v>
      </c>
      <c r="AB159" s="13">
        <f>RL_NAV*U159*(1-SUMPRODUCT((Flux!$B$7:$B$926=B159)*Flux!$F$7:$F$926*EXP(-(RL_Choc_Taux+IF(Q159&gt;0,RL_Choc_Spread,0))/10000*Flux!$D$7:$D$926))/K159)</f>
        <v>3349682.9417271679</v>
      </c>
      <c r="AC159" s="9" t="str">
        <f t="shared" si="53"/>
        <v/>
      </c>
      <c r="AD159" s="27">
        <f>SUMIF(Flux!$B$7:$B$926,B159,Flux!$F$7:$F$926)-K159</f>
        <v>0</v>
      </c>
      <c r="AE159" s="28">
        <v>0.8713783793096026</v>
      </c>
      <c r="AF159" s="21">
        <f t="shared" si="54"/>
        <v>5.2666681136905709</v>
      </c>
    </row>
    <row r="160" spans="2:32" x14ac:dyDescent="0.2">
      <c r="B160" s="9" t="s">
        <v>544</v>
      </c>
      <c r="C160" s="9" t="s">
        <v>545</v>
      </c>
      <c r="D160" s="9" t="s">
        <v>546</v>
      </c>
      <c r="E160" s="19">
        <v>49034</v>
      </c>
      <c r="F160" s="20">
        <v>3.5</v>
      </c>
      <c r="G160" s="13">
        <v>8800000</v>
      </c>
      <c r="H160" s="21">
        <v>101.1195</v>
      </c>
      <c r="I160" s="22">
        <v>78476.710000000006</v>
      </c>
      <c r="J160" s="22">
        <v>8976992.7100000009</v>
      </c>
      <c r="K160" s="21">
        <f t="shared" si="44"/>
        <v>102.01128079545457</v>
      </c>
      <c r="L160" s="23">
        <v>78.833603215625359</v>
      </c>
      <c r="M160" s="24">
        <v>0.20825747739979791</v>
      </c>
      <c r="N160" s="24">
        <v>2.2327551745485832</v>
      </c>
      <c r="O160" s="24">
        <v>5.1770994521115892</v>
      </c>
      <c r="P160" s="21">
        <f t="shared" si="45"/>
        <v>7.6181121040599704</v>
      </c>
      <c r="Q160" s="21">
        <f t="shared" si="46"/>
        <v>7.6181121040599704</v>
      </c>
      <c r="R160" s="25" t="s">
        <v>109</v>
      </c>
      <c r="S160" s="13">
        <f t="shared" si="47"/>
        <v>8976992.7100000009</v>
      </c>
      <c r="T160" s="26">
        <f t="shared" si="48"/>
        <v>3.463042942312779E-3</v>
      </c>
      <c r="U160" s="26">
        <f t="shared" si="49"/>
        <v>3.463042942312779E-3</v>
      </c>
      <c r="V160" s="13">
        <f>RL_NAV*T160*(M160*Calculs!$I$13+N160*Calculs!$I$14+O160*Calculs!$I$15+AF160*Calculs!$I$22)</f>
        <v>118604.30548918591</v>
      </c>
      <c r="W160" s="13">
        <f>RL_NAV*U160*(M160*Calculs!$J$13+N160*Calculs!$J$14+O160*Calculs!$J$15+AF160*Calculs!$J$22)</f>
        <v>118604.30548918591</v>
      </c>
      <c r="X160" s="13">
        <f t="shared" si="50"/>
        <v>13212.030946295143</v>
      </c>
      <c r="Y160" s="13">
        <f t="shared" si="51"/>
        <v>1709693.420552728</v>
      </c>
      <c r="Z160" s="13">
        <f t="shared" si="52"/>
        <v>1709693.420552728</v>
      </c>
      <c r="AA160" s="13">
        <f>RL_NAV*T160*(1-SUMPRODUCT((Flux!$B$7:$B$926=B160)*Flux!$F$7:$F$926*EXP(-(RL_Choc_Taux+IF(Q160&gt;0,RL_Choc_Spread,0))/10000*Flux!$D$7:$D$926))/K160)</f>
        <v>1544069.5897949892</v>
      </c>
      <c r="AB160" s="13">
        <f>RL_NAV*U160*(1-SUMPRODUCT((Flux!$B$7:$B$926=B160)*Flux!$F$7:$F$926*EXP(-(RL_Choc_Taux+IF(Q160&gt;0,RL_Choc_Spread,0))/10000*Flux!$D$7:$D$926))/K160)</f>
        <v>1544069.5897949892</v>
      </c>
      <c r="AC160" s="9" t="str">
        <f t="shared" si="53"/>
        <v/>
      </c>
      <c r="AD160" s="27">
        <f>SUMIF(Flux!$B$7:$B$926,B160,Flux!$F$7:$F$926)-K160</f>
        <v>0</v>
      </c>
      <c r="AE160" s="28">
        <v>0.7299407705150498</v>
      </c>
      <c r="AF160" s="21">
        <f t="shared" si="54"/>
        <v>5.5607706191075623</v>
      </c>
    </row>
    <row r="161" spans="2:32" x14ac:dyDescent="0.2">
      <c r="B161" s="9" t="s">
        <v>547</v>
      </c>
      <c r="C161" s="9" t="s">
        <v>548</v>
      </c>
      <c r="D161" s="9" t="s">
        <v>319</v>
      </c>
      <c r="E161" s="19">
        <v>47574</v>
      </c>
      <c r="F161" s="20">
        <v>3.75</v>
      </c>
      <c r="G161" s="13">
        <v>17700000</v>
      </c>
      <c r="H161" s="21">
        <v>101.1245</v>
      </c>
      <c r="I161" s="22">
        <v>167301.37</v>
      </c>
      <c r="J161" s="22">
        <v>18066337.870000001</v>
      </c>
      <c r="K161" s="21">
        <f t="shared" si="44"/>
        <v>102.06970548022601</v>
      </c>
      <c r="L161" s="23">
        <v>130.53815267135269</v>
      </c>
      <c r="M161" s="24">
        <v>0.54575715742468556</v>
      </c>
      <c r="N161" s="24">
        <v>3.859735308271969</v>
      </c>
      <c r="O161" s="24">
        <v>0</v>
      </c>
      <c r="P161" s="21">
        <f t="shared" si="45"/>
        <v>4.4054924656966543</v>
      </c>
      <c r="Q161" s="21">
        <f t="shared" si="46"/>
        <v>4.4054924656966543</v>
      </c>
      <c r="R161" s="25" t="s">
        <v>109</v>
      </c>
      <c r="S161" s="13">
        <f t="shared" si="47"/>
        <v>18066337.870000001</v>
      </c>
      <c r="T161" s="26">
        <f t="shared" si="48"/>
        <v>6.9694279448893059E-3</v>
      </c>
      <c r="U161" s="26">
        <f t="shared" si="49"/>
        <v>6.9694279448893059E-3</v>
      </c>
      <c r="V161" s="13">
        <f>RL_NAV*T161*(M161*Calculs!$I$13+N161*Calculs!$I$14+O161*Calculs!$I$15+AF161*Calculs!$I$22)</f>
        <v>183078.4080500881</v>
      </c>
      <c r="W161" s="13">
        <f>RL_NAV*U161*(M161*Calculs!$J$13+N161*Calculs!$J$14+O161*Calculs!$J$15+AF161*Calculs!$J$22)</f>
        <v>183078.4080500881</v>
      </c>
      <c r="X161" s="13">
        <f t="shared" si="50"/>
        <v>10133.675644032894</v>
      </c>
      <c r="Y161" s="13">
        <f t="shared" si="51"/>
        <v>1989777.8842253785</v>
      </c>
      <c r="Z161" s="13">
        <f t="shared" si="52"/>
        <v>1989777.8842253785</v>
      </c>
      <c r="AA161" s="13">
        <f>RL_NAV*T161*(1-SUMPRODUCT((Flux!$B$7:$B$926=B161)*Flux!$F$7:$F$926*EXP(-(RL_Choc_Taux+IF(Q161&gt;0,RL_Choc_Spread,0))/10000*Flux!$D$7:$D$926))/K161)</f>
        <v>1879290.99145071</v>
      </c>
      <c r="AB161" s="13">
        <f>RL_NAV*U161*(1-SUMPRODUCT((Flux!$B$7:$B$926=B161)*Flux!$F$7:$F$926*EXP(-(RL_Choc_Taux+IF(Q161&gt;0,RL_Choc_Spread,0))/10000*Flux!$D$7:$D$926))/K161)</f>
        <v>1879290.99145071</v>
      </c>
      <c r="AC161" s="9" t="str">
        <f t="shared" si="53"/>
        <v/>
      </c>
      <c r="AD161" s="27">
        <f>SUMIF(Flux!$B$7:$B$926,B161,Flux!$F$7:$F$926)-K161</f>
        <v>0</v>
      </c>
      <c r="AE161" s="28">
        <v>1.208686598808822</v>
      </c>
      <c r="AF161" s="21">
        <f t="shared" si="54"/>
        <v>5.3248597044407804</v>
      </c>
    </row>
    <row r="162" spans="2:32" x14ac:dyDescent="0.2">
      <c r="B162" s="9" t="s">
        <v>549</v>
      </c>
      <c r="C162" s="9" t="s">
        <v>550</v>
      </c>
      <c r="D162" s="9" t="s">
        <v>551</v>
      </c>
      <c r="E162" s="19">
        <v>47575</v>
      </c>
      <c r="F162" s="20">
        <v>4.125</v>
      </c>
      <c r="G162" s="13">
        <v>9900000</v>
      </c>
      <c r="H162" s="21">
        <v>102.04900000000001</v>
      </c>
      <c r="I162" s="22">
        <v>101814.04</v>
      </c>
      <c r="J162" s="22">
        <v>10204665.039999999</v>
      </c>
      <c r="K162" s="21">
        <f t="shared" si="44"/>
        <v>103.07742464646464</v>
      </c>
      <c r="L162" s="23">
        <v>145.88220123597861</v>
      </c>
      <c r="M162" s="24">
        <v>0.55546976006578197</v>
      </c>
      <c r="N162" s="24">
        <v>3.8227872934166238</v>
      </c>
      <c r="O162" s="24">
        <v>0</v>
      </c>
      <c r="P162" s="21">
        <f t="shared" si="45"/>
        <v>4.3782570534824057</v>
      </c>
      <c r="Q162" s="21">
        <f t="shared" si="46"/>
        <v>4.3782570534824057</v>
      </c>
      <c r="R162" s="25" t="s">
        <v>109</v>
      </c>
      <c r="S162" s="13">
        <f t="shared" si="47"/>
        <v>10204665.039999999</v>
      </c>
      <c r="T162" s="26">
        <f t="shared" si="48"/>
        <v>3.9366405194995362E-3</v>
      </c>
      <c r="U162" s="26">
        <f t="shared" si="49"/>
        <v>3.9366405194995362E-3</v>
      </c>
      <c r="V162" s="13">
        <f>RL_NAV*T162*(M162*Calculs!$I$13+N162*Calculs!$I$14+O162*Calculs!$I$15+AF162*Calculs!$I$22)</f>
        <v>109745.91078789539</v>
      </c>
      <c r="W162" s="13">
        <f>RL_NAV*U162*(M162*Calculs!$J$13+N162*Calculs!$J$14+O162*Calculs!$J$15+AF162*Calculs!$J$22)</f>
        <v>109745.91078789539</v>
      </c>
      <c r="X162" s="13">
        <f t="shared" si="50"/>
        <v>10754.484381184098</v>
      </c>
      <c r="Y162" s="13">
        <f t="shared" si="51"/>
        <v>1116966.1672451328</v>
      </c>
      <c r="Z162" s="13">
        <f t="shared" si="52"/>
        <v>1116966.1672451328</v>
      </c>
      <c r="AA162" s="13">
        <f>RL_NAV*T162*(1-SUMPRODUCT((Flux!$B$7:$B$926=B162)*Flux!$F$7:$F$926*EXP(-(RL_Choc_Taux+IF(Q162&gt;0,RL_Choc_Spread,0))/10000*Flux!$D$7:$D$926))/K162)</f>
        <v>1055076.3133550694</v>
      </c>
      <c r="AB162" s="13">
        <f>RL_NAV*U162*(1-SUMPRODUCT((Flux!$B$7:$B$926=B162)*Flux!$F$7:$F$926*EXP(-(RL_Choc_Taux+IF(Q162&gt;0,RL_Choc_Spread,0))/10000*Flux!$D$7:$D$926))/K162)</f>
        <v>1055076.3133550694</v>
      </c>
      <c r="AC162" s="9" t="str">
        <f t="shared" si="53"/>
        <v/>
      </c>
      <c r="AD162" s="27">
        <f>SUMIF(Flux!$B$7:$B$926,B162,Flux!$F$7:$F$926)-K162</f>
        <v>0</v>
      </c>
      <c r="AE162" s="28">
        <v>1.350761122555358</v>
      </c>
      <c r="AF162" s="21">
        <f t="shared" si="54"/>
        <v>5.9139794123978078</v>
      </c>
    </row>
    <row r="163" spans="2:32" x14ac:dyDescent="0.2">
      <c r="B163" s="9" t="s">
        <v>552</v>
      </c>
      <c r="C163" s="9" t="s">
        <v>553</v>
      </c>
      <c r="D163" s="9" t="s">
        <v>554</v>
      </c>
      <c r="E163" s="19">
        <v>47879</v>
      </c>
      <c r="F163" s="20">
        <v>4.875</v>
      </c>
      <c r="G163" s="13">
        <v>5400000</v>
      </c>
      <c r="H163" s="21">
        <v>102.681</v>
      </c>
      <c r="I163" s="22">
        <v>35831.25</v>
      </c>
      <c r="J163" s="22">
        <v>5580605.25</v>
      </c>
      <c r="K163" s="21">
        <f t="shared" si="44"/>
        <v>103.34454166666667</v>
      </c>
      <c r="L163" s="23">
        <v>229.715731010604</v>
      </c>
      <c r="M163" s="24">
        <v>0.27773583517436018</v>
      </c>
      <c r="N163" s="24">
        <v>4.1390062913330574</v>
      </c>
      <c r="O163" s="24">
        <v>0.51814104442567943</v>
      </c>
      <c r="P163" s="21">
        <f t="shared" si="45"/>
        <v>4.9348831709330963</v>
      </c>
      <c r="Q163" s="21">
        <f t="shared" si="46"/>
        <v>4.9348831709330963</v>
      </c>
      <c r="R163" s="25" t="s">
        <v>109</v>
      </c>
      <c r="S163" s="13">
        <f t="shared" si="47"/>
        <v>5580605.25</v>
      </c>
      <c r="T163" s="26">
        <f t="shared" si="48"/>
        <v>2.152822916222034E-3</v>
      </c>
      <c r="U163" s="26">
        <f t="shared" si="49"/>
        <v>2.152822916222034E-3</v>
      </c>
      <c r="V163" s="13">
        <f>RL_NAV*T163*(M163*Calculs!$I$13+N163*Calculs!$I$14+O163*Calculs!$I$15+AF163*Calculs!$I$22)</f>
        <v>91086.448872809327</v>
      </c>
      <c r="W163" s="13">
        <f>RL_NAV*U163*(M163*Calculs!$J$13+N163*Calculs!$J$14+O163*Calculs!$J$15+AF163*Calculs!$J$22)</f>
        <v>91086.448872809327</v>
      </c>
      <c r="X163" s="13">
        <f t="shared" si="50"/>
        <v>16321.965950343707</v>
      </c>
      <c r="Y163" s="13">
        <f t="shared" si="51"/>
        <v>688490.8732961471</v>
      </c>
      <c r="Z163" s="13">
        <f t="shared" si="52"/>
        <v>688490.8732961471</v>
      </c>
      <c r="AA163" s="13">
        <f>RL_NAV*T163*(1-SUMPRODUCT((Flux!$B$7:$B$926=B163)*Flux!$F$7:$F$926*EXP(-(RL_Choc_Taux+IF(Q163&gt;0,RL_Choc_Spread,0))/10000*Flux!$D$7:$D$926))/K163)</f>
        <v>644536.24570037285</v>
      </c>
      <c r="AB163" s="13">
        <f>RL_NAV*U163*(1-SUMPRODUCT((Flux!$B$7:$B$926=B163)*Flux!$F$7:$F$926*EXP(-(RL_Choc_Taux+IF(Q163&gt;0,RL_Choc_Spread,0))/10000*Flux!$D$7:$D$926))/K163)</f>
        <v>644536.24570037285</v>
      </c>
      <c r="AC163" s="9" t="str">
        <f t="shared" si="53"/>
        <v/>
      </c>
      <c r="AD163" s="27">
        <f>SUMIF(Flux!$B$7:$B$926,B163,Flux!$F$7:$F$926)-K163</f>
        <v>0</v>
      </c>
      <c r="AE163" s="28">
        <v>2.1269975093574449</v>
      </c>
      <c r="AF163" s="21">
        <f t="shared" si="54"/>
        <v>10.496484213544665</v>
      </c>
    </row>
    <row r="164" spans="2:32" x14ac:dyDescent="0.2">
      <c r="B164" s="9" t="s">
        <v>555</v>
      </c>
      <c r="C164" s="9" t="s">
        <v>556</v>
      </c>
      <c r="D164" s="9" t="s">
        <v>557</v>
      </c>
      <c r="E164" s="19">
        <v>48380</v>
      </c>
      <c r="F164" s="20">
        <v>3.5</v>
      </c>
      <c r="G164" s="13">
        <v>17300000</v>
      </c>
      <c r="H164" s="21">
        <v>99.739000000000004</v>
      </c>
      <c r="I164" s="22">
        <v>28201.37</v>
      </c>
      <c r="J164" s="22">
        <v>17283048.370000001</v>
      </c>
      <c r="K164" s="21">
        <f t="shared" si="44"/>
        <v>99.902013699421971</v>
      </c>
      <c r="L164" s="23">
        <v>114.4916692135053</v>
      </c>
      <c r="M164" s="24">
        <v>0.2061351645632204</v>
      </c>
      <c r="N164" s="24">
        <v>3.8284601111961321</v>
      </c>
      <c r="O164" s="24">
        <v>2.2466769833072511</v>
      </c>
      <c r="P164" s="21">
        <f t="shared" si="45"/>
        <v>6.2812722590666041</v>
      </c>
      <c r="Q164" s="21">
        <f t="shared" si="46"/>
        <v>6.2812722590666041</v>
      </c>
      <c r="R164" s="25" t="s">
        <v>109</v>
      </c>
      <c r="S164" s="13">
        <f t="shared" si="47"/>
        <v>17283048.370000001</v>
      </c>
      <c r="T164" s="26">
        <f t="shared" si="48"/>
        <v>6.6672593610002913E-3</v>
      </c>
      <c r="U164" s="26">
        <f t="shared" si="49"/>
        <v>6.6672593610002913E-3</v>
      </c>
      <c r="V164" s="13">
        <f>RL_NAV*T164*(M164*Calculs!$I$13+N164*Calculs!$I$14+O164*Calculs!$I$15+AF164*Calculs!$I$22)</f>
        <v>229985.60093115244</v>
      </c>
      <c r="W164" s="13">
        <f>RL_NAV*U164*(M164*Calculs!$J$13+N164*Calculs!$J$14+O164*Calculs!$J$15+AF164*Calculs!$J$22)</f>
        <v>229985.60093115244</v>
      </c>
      <c r="X164" s="13">
        <f t="shared" si="50"/>
        <v>13307.004413085053</v>
      </c>
      <c r="Y164" s="13">
        <f t="shared" si="51"/>
        <v>2713988.3069646824</v>
      </c>
      <c r="Z164" s="13">
        <f t="shared" si="52"/>
        <v>2713988.3069646824</v>
      </c>
      <c r="AA164" s="13">
        <f>RL_NAV*T164*(1-SUMPRODUCT((Flux!$B$7:$B$926=B164)*Flux!$F$7:$F$926*EXP(-(RL_Choc_Taux+IF(Q164&gt;0,RL_Choc_Spread,0))/10000*Flux!$D$7:$D$926))/K164)</f>
        <v>2499582.9256260195</v>
      </c>
      <c r="AB164" s="13">
        <f>RL_NAV*U164*(1-SUMPRODUCT((Flux!$B$7:$B$926=B164)*Flux!$F$7:$F$926*EXP(-(RL_Choc_Taux+IF(Q164&gt;0,RL_Choc_Spread,0))/10000*Flux!$D$7:$D$926))/K164)</f>
        <v>2499582.9256260195</v>
      </c>
      <c r="AC164" s="9" t="str">
        <f t="shared" si="53"/>
        <v/>
      </c>
      <c r="AD164" s="27">
        <f>SUMIF(Flux!$B$7:$B$926,B164,Flux!$F$7:$F$926)-K164</f>
        <v>0</v>
      </c>
      <c r="AE164" s="28">
        <v>1.060108048273197</v>
      </c>
      <c r="AF164" s="21">
        <f t="shared" si="54"/>
        <v>6.6588272752316726</v>
      </c>
    </row>
    <row r="165" spans="2:32" x14ac:dyDescent="0.2">
      <c r="B165" s="9" t="s">
        <v>558</v>
      </c>
      <c r="C165" s="9" t="s">
        <v>559</v>
      </c>
      <c r="D165" s="9" t="s">
        <v>560</v>
      </c>
      <c r="E165" s="19">
        <v>48705</v>
      </c>
      <c r="F165" s="20">
        <v>3</v>
      </c>
      <c r="G165" s="13">
        <v>19200000</v>
      </c>
      <c r="H165" s="21">
        <v>99.197999999999993</v>
      </c>
      <c r="I165" s="22">
        <v>89950.68</v>
      </c>
      <c r="J165" s="22">
        <v>19135966.68</v>
      </c>
      <c r="K165" s="21">
        <f t="shared" si="44"/>
        <v>99.666493125000002</v>
      </c>
      <c r="L165" s="23">
        <v>64.299878960018702</v>
      </c>
      <c r="M165" s="24">
        <v>0.18178145299778539</v>
      </c>
      <c r="N165" s="24">
        <v>3.1734876394850859</v>
      </c>
      <c r="O165" s="24">
        <v>3.712567716084318</v>
      </c>
      <c r="P165" s="21">
        <f t="shared" si="45"/>
        <v>7.0678368085671899</v>
      </c>
      <c r="Q165" s="21">
        <f t="shared" si="46"/>
        <v>7.0678368085671899</v>
      </c>
      <c r="R165" s="25" t="s">
        <v>109</v>
      </c>
      <c r="S165" s="13">
        <f t="shared" si="47"/>
        <v>19135966.68</v>
      </c>
      <c r="T165" s="26">
        <f t="shared" si="48"/>
        <v>7.38205727645138E-3</v>
      </c>
      <c r="U165" s="26">
        <f t="shared" si="49"/>
        <v>7.38205727645138E-3</v>
      </c>
      <c r="V165" s="13">
        <f>RL_NAV*T165*(M165*Calculs!$I$13+N165*Calculs!$I$14+O165*Calculs!$I$15+AF165*Calculs!$I$22)</f>
        <v>215940.77468243605</v>
      </c>
      <c r="W165" s="13">
        <f>RL_NAV*U165*(M165*Calculs!$J$13+N165*Calculs!$J$14+O165*Calculs!$J$15+AF165*Calculs!$J$22)</f>
        <v>215940.77468243605</v>
      </c>
      <c r="X165" s="13">
        <f t="shared" si="50"/>
        <v>11284.550098434644</v>
      </c>
      <c r="Y165" s="13">
        <f t="shared" si="51"/>
        <v>3381247.2417104822</v>
      </c>
      <c r="Z165" s="13">
        <f t="shared" si="52"/>
        <v>3381247.2417104822</v>
      </c>
      <c r="AA165" s="13">
        <f>RL_NAV*T165*(1-SUMPRODUCT((Flux!$B$7:$B$926=B165)*Flux!$F$7:$F$926*EXP(-(RL_Choc_Taux+IF(Q165&gt;0,RL_Choc_Spread,0))/10000*Flux!$D$7:$D$926))/K165)</f>
        <v>3081888.0193170807</v>
      </c>
      <c r="AB165" s="13">
        <f>RL_NAV*U165*(1-SUMPRODUCT((Flux!$B$7:$B$926=B165)*Flux!$F$7:$F$926*EXP(-(RL_Choc_Taux+IF(Q165&gt;0,RL_Choc_Spread,0))/10000*Flux!$D$7:$D$926))/K165)</f>
        <v>3081888.0193170807</v>
      </c>
      <c r="AC165" s="9" t="str">
        <f t="shared" si="53"/>
        <v/>
      </c>
      <c r="AD165" s="27">
        <f>SUMIF(Flux!$B$7:$B$926,B165,Flux!$F$7:$F$926)-K165</f>
        <v>0</v>
      </c>
      <c r="AE165" s="28">
        <v>0.59536924962980287</v>
      </c>
      <c r="AF165" s="21">
        <f t="shared" si="54"/>
        <v>4.2079726972225489</v>
      </c>
    </row>
    <row r="166" spans="2:32" x14ac:dyDescent="0.2">
      <c r="B166" s="9" t="s">
        <v>561</v>
      </c>
      <c r="C166" s="9" t="s">
        <v>562</v>
      </c>
      <c r="D166" s="9" t="s">
        <v>563</v>
      </c>
      <c r="E166" s="19">
        <v>47632</v>
      </c>
      <c r="F166" s="20">
        <v>4.75</v>
      </c>
      <c r="G166" s="13">
        <v>26200000</v>
      </c>
      <c r="H166" s="21">
        <v>101.1665</v>
      </c>
      <c r="I166" s="22">
        <v>115926.03</v>
      </c>
      <c r="J166" s="22">
        <v>26621549.030000001</v>
      </c>
      <c r="K166" s="21">
        <f t="shared" si="44"/>
        <v>101.60896576335878</v>
      </c>
      <c r="L166" s="23">
        <v>224.63915181086529</v>
      </c>
      <c r="M166" s="24">
        <v>0.38370136985516368</v>
      </c>
      <c r="N166" s="24">
        <v>4.0959279559655446</v>
      </c>
      <c r="O166" s="24">
        <v>0</v>
      </c>
      <c r="P166" s="21">
        <f t="shared" si="45"/>
        <v>4.4796293258207083</v>
      </c>
      <c r="Q166" s="21">
        <f t="shared" si="46"/>
        <v>4.4796293258207083</v>
      </c>
      <c r="R166" s="25" t="s">
        <v>109</v>
      </c>
      <c r="S166" s="13">
        <f t="shared" si="47"/>
        <v>26621549.030000001</v>
      </c>
      <c r="T166" s="26">
        <f t="shared" si="48"/>
        <v>1.0269760760647326E-2</v>
      </c>
      <c r="U166" s="26">
        <f t="shared" si="49"/>
        <v>1.0269760760647326E-2</v>
      </c>
      <c r="V166" s="13">
        <f>RL_NAV*T166*(M166*Calculs!$I$13+N166*Calculs!$I$14+O166*Calculs!$I$15+AF166*Calculs!$I$22)</f>
        <v>388885.77279441513</v>
      </c>
      <c r="W166" s="13">
        <f>RL_NAV*U166*(M166*Calculs!$J$13+N166*Calculs!$J$14+O166*Calculs!$J$15+AF166*Calculs!$J$22)</f>
        <v>388885.77279441513</v>
      </c>
      <c r="X166" s="13">
        <f t="shared" si="50"/>
        <v>14607.931805777987</v>
      </c>
      <c r="Y166" s="13">
        <f t="shared" si="51"/>
        <v>2981366.7933390457</v>
      </c>
      <c r="Z166" s="13">
        <f t="shared" si="52"/>
        <v>2981366.7933390457</v>
      </c>
      <c r="AA166" s="13">
        <f>RL_NAV*T166*(1-SUMPRODUCT((Flux!$B$7:$B$926=B166)*Flux!$F$7:$F$926*EXP(-(RL_Choc_Taux+IF(Q166&gt;0,RL_Choc_Spread,0))/10000*Flux!$D$7:$D$926))/K166)</f>
        <v>2811914.0212903856</v>
      </c>
      <c r="AB166" s="13">
        <f>RL_NAV*U166*(1-SUMPRODUCT((Flux!$B$7:$B$926=B166)*Flux!$F$7:$F$926*EXP(-(RL_Choc_Taux+IF(Q166&gt;0,RL_Choc_Spread,0))/10000*Flux!$D$7:$D$926))/K166)</f>
        <v>2811914.0212903856</v>
      </c>
      <c r="AC166" s="9" t="str">
        <f t="shared" si="53"/>
        <v/>
      </c>
      <c r="AD166" s="27">
        <f>SUMIF(Flux!$B$7:$B$926,B166,Flux!$F$7:$F$926)-K166</f>
        <v>0</v>
      </c>
      <c r="AE166" s="28">
        <v>2.079992146396902</v>
      </c>
      <c r="AF166" s="21">
        <f t="shared" si="54"/>
        <v>9.3175938164763217</v>
      </c>
    </row>
    <row r="167" spans="2:32" x14ac:dyDescent="0.2">
      <c r="B167" s="9" t="s">
        <v>564</v>
      </c>
      <c r="C167" s="9" t="s">
        <v>565</v>
      </c>
      <c r="D167" s="9" t="s">
        <v>566</v>
      </c>
      <c r="E167" s="19">
        <v>48008</v>
      </c>
      <c r="F167" s="20">
        <v>3.375</v>
      </c>
      <c r="G167" s="13">
        <v>18850000</v>
      </c>
      <c r="H167" s="21">
        <v>99.463499999999996</v>
      </c>
      <c r="I167" s="22">
        <v>40088.53</v>
      </c>
      <c r="J167" s="22">
        <v>18788958.280000001</v>
      </c>
      <c r="K167" s="21">
        <f t="shared" ref="K167:K198" si="55">J167/G167*100</f>
        <v>99.676171246684348</v>
      </c>
      <c r="L167" s="23">
        <v>117.90141037707041</v>
      </c>
      <c r="M167" s="24">
        <v>0.1994895630296486</v>
      </c>
      <c r="N167" s="24">
        <v>4.3227414565539153</v>
      </c>
      <c r="O167" s="24">
        <v>0.94577091278905701</v>
      </c>
      <c r="P167" s="21">
        <f t="shared" ref="P167:P198" si="56">SUM(M167:O167)</f>
        <v>5.468001932372621</v>
      </c>
      <c r="Q167" s="21">
        <f t="shared" ref="Q167:Q198" si="57">IF(R167="OUI",0,P167)</f>
        <v>5.468001932372621</v>
      </c>
      <c r="R167" s="25" t="s">
        <v>109</v>
      </c>
      <c r="S167" s="13">
        <f t="shared" ref="S167:S173" si="58">IF(B167=RL_ISIN_Vente,J167-RL_Montant_Vente,J167)</f>
        <v>18788958.280000001</v>
      </c>
      <c r="T167" s="26">
        <f t="shared" ref="T167:T174" si="59">J167/RL_NAV</f>
        <v>7.248192291888722E-3</v>
      </c>
      <c r="U167" s="26">
        <f t="shared" ref="U167:U174" si="60">S167/RL_NAV</f>
        <v>7.248192291888722E-3</v>
      </c>
      <c r="V167" s="13">
        <f>RL_NAV*T167*(M167*Calculs!$I$13+N167*Calculs!$I$14+O167*Calculs!$I$15+AF167*Calculs!$I$22)</f>
        <v>222458.10704120176</v>
      </c>
      <c r="W167" s="13">
        <f>RL_NAV*U167*(M167*Calculs!$J$13+N167*Calculs!$J$14+O167*Calculs!$J$15+AF167*Calculs!$J$22)</f>
        <v>222458.10704120176</v>
      </c>
      <c r="X167" s="13">
        <f t="shared" ref="X167:X198" si="61">IF(S167&gt;0,W167/S167*1000000,0)</f>
        <v>11839.831869657106</v>
      </c>
      <c r="Y167" s="13">
        <f t="shared" ref="Y167:Y173" si="62">RL_NAV*T167*(P167*RL_Choc_Taux+Q167*RL_Choc_Spread)/10000</f>
        <v>2568451.5045577139</v>
      </c>
      <c r="Z167" s="13">
        <f t="shared" ref="Z167:Z173" si="63">RL_NAV*U167*(P167*RL_Choc_Taux+Q167*RL_Choc_Spread)/10000</f>
        <v>2568451.5045577139</v>
      </c>
      <c r="AA167" s="13">
        <f>RL_NAV*T167*(1-SUMPRODUCT((Flux!$B$7:$B$926=B167)*Flux!$F$7:$F$926*EXP(-(RL_Choc_Taux+IF(Q167&gt;0,RL_Choc_Spread,0))/10000*Flux!$D$7:$D$926))/K167)</f>
        <v>2392552.7183463075</v>
      </c>
      <c r="AB167" s="13">
        <f>RL_NAV*U167*(1-SUMPRODUCT((Flux!$B$7:$B$926=B167)*Flux!$F$7:$F$926*EXP(-(RL_Choc_Taux+IF(Q167&gt;0,RL_Choc_Spread,0))/10000*Flux!$D$7:$D$926))/K167)</f>
        <v>2392552.7183463075</v>
      </c>
      <c r="AC167" s="9" t="str">
        <f t="shared" ref="AC167:AC173" si="64">IF(U167&gt;RL_Seuil_Ligne,"OUI","")</f>
        <v/>
      </c>
      <c r="AD167" s="27">
        <f>SUMIF(Flux!$B$7:$B$926,B167,Flux!$F$7:$F$926)-K167</f>
        <v>0</v>
      </c>
      <c r="AE167" s="28">
        <v>1.091679725713615</v>
      </c>
      <c r="AF167" s="21">
        <f t="shared" ref="AF167:AF198" si="65">Q167*AE167</f>
        <v>5.9693068497340596</v>
      </c>
    </row>
    <row r="168" spans="2:32" x14ac:dyDescent="0.2">
      <c r="B168" s="9" t="s">
        <v>567</v>
      </c>
      <c r="C168" s="9" t="s">
        <v>568</v>
      </c>
      <c r="D168" s="9" t="s">
        <v>569</v>
      </c>
      <c r="E168" s="19">
        <v>47989</v>
      </c>
      <c r="F168" s="20">
        <v>3.875</v>
      </c>
      <c r="G168" s="13">
        <v>31200000</v>
      </c>
      <c r="H168" s="21">
        <v>100.7675</v>
      </c>
      <c r="I168" s="22">
        <v>139117.81</v>
      </c>
      <c r="J168" s="22">
        <v>31578577.809999999</v>
      </c>
      <c r="K168" s="21">
        <f t="shared" si="55"/>
        <v>101.21339041666666</v>
      </c>
      <c r="L168" s="23">
        <v>142.77817304849569</v>
      </c>
      <c r="M168" s="24">
        <v>0.2255808591184717</v>
      </c>
      <c r="N168" s="24">
        <v>4.2650302604118933</v>
      </c>
      <c r="O168" s="24">
        <v>0.86551452857208211</v>
      </c>
      <c r="P168" s="21">
        <f t="shared" si="56"/>
        <v>5.3561256481024468</v>
      </c>
      <c r="Q168" s="21">
        <f t="shared" si="57"/>
        <v>5.3561256481024468</v>
      </c>
      <c r="R168" s="25" t="s">
        <v>109</v>
      </c>
      <c r="S168" s="13">
        <f t="shared" si="58"/>
        <v>31578577.809999999</v>
      </c>
      <c r="T168" s="26">
        <f t="shared" si="59"/>
        <v>1.2182027383332409E-2</v>
      </c>
      <c r="U168" s="26">
        <f t="shared" si="60"/>
        <v>1.2182027383332409E-2</v>
      </c>
      <c r="V168" s="13">
        <f>RL_NAV*T168*(M168*Calculs!$I$13+N168*Calculs!$I$14+O168*Calculs!$I$15+AF168*Calculs!$I$22)</f>
        <v>409161.2292725814</v>
      </c>
      <c r="W168" s="13">
        <f>RL_NAV*U168*(M168*Calculs!$J$13+N168*Calculs!$J$14+O168*Calculs!$J$15+AF168*Calculs!$J$22)</f>
        <v>409161.2292725814</v>
      </c>
      <c r="X168" s="13">
        <f t="shared" si="61"/>
        <v>12956.923891075683</v>
      </c>
      <c r="Y168" s="13">
        <f t="shared" si="62"/>
        <v>4228470.7634684937</v>
      </c>
      <c r="Z168" s="13">
        <f t="shared" si="63"/>
        <v>4228470.7634684937</v>
      </c>
      <c r="AA168" s="13">
        <f>RL_NAV*T168*(1-SUMPRODUCT((Flux!$B$7:$B$926=B168)*Flux!$F$7:$F$926*EXP(-(RL_Choc_Taux+IF(Q168&gt;0,RL_Choc_Spread,0))/10000*Flux!$D$7:$D$926))/K168)</f>
        <v>3942534.0039664623</v>
      </c>
      <c r="AB168" s="13">
        <f>RL_NAV*U168*(1-SUMPRODUCT((Flux!$B$7:$B$926=B168)*Flux!$F$7:$F$926*EXP(-(RL_Choc_Taux+IF(Q168&gt;0,RL_Choc_Spread,0))/10000*Flux!$D$7:$D$926))/K168)</f>
        <v>3942534.0039664623</v>
      </c>
      <c r="AC168" s="9" t="str">
        <f t="shared" si="64"/>
        <v/>
      </c>
      <c r="AD168" s="27">
        <f>SUMIF(Flux!$B$7:$B$926,B168,Flux!$F$7:$F$926)-K168</f>
        <v>0</v>
      </c>
      <c r="AE168" s="28">
        <v>1.3220201208194049</v>
      </c>
      <c r="AF168" s="21">
        <f t="shared" si="65"/>
        <v>7.0809058764283099</v>
      </c>
    </row>
    <row r="169" spans="2:32" x14ac:dyDescent="0.2">
      <c r="B169" s="9" t="s">
        <v>570</v>
      </c>
      <c r="C169" s="9" t="s">
        <v>571</v>
      </c>
      <c r="D169" s="9" t="s">
        <v>572</v>
      </c>
      <c r="E169" s="19">
        <v>47692</v>
      </c>
      <c r="F169" s="20">
        <v>3.75</v>
      </c>
      <c r="G169" s="13">
        <v>7900000</v>
      </c>
      <c r="H169" s="21">
        <v>101.59950000000001</v>
      </c>
      <c r="I169" s="22">
        <v>28407.53</v>
      </c>
      <c r="J169" s="22">
        <v>8054768.0300000003</v>
      </c>
      <c r="K169" s="21">
        <f t="shared" si="55"/>
        <v>101.95908898734179</v>
      </c>
      <c r="L169" s="23">
        <v>185.33334113851399</v>
      </c>
      <c r="M169" s="24">
        <v>0.21360022943395629</v>
      </c>
      <c r="N169" s="24">
        <v>4.2747342369359123</v>
      </c>
      <c r="O169" s="24">
        <v>6.40067184235351E-2</v>
      </c>
      <c r="P169" s="21">
        <f t="shared" si="56"/>
        <v>4.5523411847934039</v>
      </c>
      <c r="Q169" s="21">
        <f t="shared" si="57"/>
        <v>4.5523411847934039</v>
      </c>
      <c r="R169" s="25" t="s">
        <v>109</v>
      </c>
      <c r="S169" s="13">
        <f t="shared" si="58"/>
        <v>8054768.0300000003</v>
      </c>
      <c r="T169" s="26">
        <f t="shared" si="59"/>
        <v>3.1072775125666895E-3</v>
      </c>
      <c r="U169" s="26">
        <f t="shared" si="60"/>
        <v>3.1072775125666895E-3</v>
      </c>
      <c r="V169" s="13">
        <f>RL_NAV*T169*(M169*Calculs!$I$13+N169*Calculs!$I$14+O169*Calculs!$I$15+AF169*Calculs!$I$22)</f>
        <v>104944.87639534421</v>
      </c>
      <c r="W169" s="13">
        <f>RL_NAV*U169*(M169*Calculs!$J$13+N169*Calculs!$J$14+O169*Calculs!$J$15+AF169*Calculs!$J$22)</f>
        <v>104944.87639534421</v>
      </c>
      <c r="X169" s="13">
        <f t="shared" si="61"/>
        <v>13028.913558339209</v>
      </c>
      <c r="Y169" s="13">
        <f t="shared" si="62"/>
        <v>916701.30592315574</v>
      </c>
      <c r="Z169" s="13">
        <f t="shared" si="63"/>
        <v>916701.30592315574</v>
      </c>
      <c r="AA169" s="13">
        <f>RL_NAV*T169*(1-SUMPRODUCT((Flux!$B$7:$B$926=B169)*Flux!$F$7:$F$926*EXP(-(RL_Choc_Taux+IF(Q169&gt;0,RL_Choc_Spread,0))/10000*Flux!$D$7:$D$926))/K169)</f>
        <v>862593.38660179928</v>
      </c>
      <c r="AB169" s="13">
        <f>RL_NAV*U169*(1-SUMPRODUCT((Flux!$B$7:$B$926=B169)*Flux!$F$7:$F$926*EXP(-(RL_Choc_Taux+IF(Q169&gt;0,RL_Choc_Spread,0))/10000*Flux!$D$7:$D$926))/K169)</f>
        <v>862593.38660179928</v>
      </c>
      <c r="AC169" s="9" t="str">
        <f t="shared" si="64"/>
        <v/>
      </c>
      <c r="AD169" s="27">
        <f>SUMIF(Flux!$B$7:$B$926,B169,Flux!$F$7:$F$926)-K169</f>
        <v>0</v>
      </c>
      <c r="AE169" s="28">
        <v>1.7160494549862411</v>
      </c>
      <c r="AF169" s="21">
        <f t="shared" si="65"/>
        <v>7.8120426090761397</v>
      </c>
    </row>
    <row r="170" spans="2:32" x14ac:dyDescent="0.2">
      <c r="B170" s="9" t="s">
        <v>573</v>
      </c>
      <c r="C170" s="9" t="s">
        <v>574</v>
      </c>
      <c r="D170" s="9" t="s">
        <v>575</v>
      </c>
      <c r="E170" s="19">
        <v>47653</v>
      </c>
      <c r="F170" s="20">
        <v>3.375</v>
      </c>
      <c r="G170" s="13">
        <v>37800000</v>
      </c>
      <c r="H170" s="21">
        <v>99.632999999999996</v>
      </c>
      <c r="I170" s="22">
        <v>45437.67</v>
      </c>
      <c r="J170" s="22">
        <v>37706711.670000002</v>
      </c>
      <c r="K170" s="21">
        <f t="shared" si="55"/>
        <v>99.753205476190473</v>
      </c>
      <c r="L170" s="23">
        <v>125.4496953414578</v>
      </c>
      <c r="M170" s="24">
        <v>0.24139166423981381</v>
      </c>
      <c r="N170" s="24">
        <v>4.4098204084371302</v>
      </c>
      <c r="O170" s="24">
        <v>0</v>
      </c>
      <c r="P170" s="21">
        <f t="shared" si="56"/>
        <v>4.6512120726769437</v>
      </c>
      <c r="Q170" s="21">
        <f t="shared" si="57"/>
        <v>4.6512120726769437</v>
      </c>
      <c r="R170" s="25" t="s">
        <v>109</v>
      </c>
      <c r="S170" s="13">
        <f t="shared" si="58"/>
        <v>37706711.670000002</v>
      </c>
      <c r="T170" s="26">
        <f t="shared" si="59"/>
        <v>1.4546069707860595E-2</v>
      </c>
      <c r="U170" s="26">
        <f t="shared" si="60"/>
        <v>1.4546069707860595E-2</v>
      </c>
      <c r="V170" s="13">
        <f>RL_NAV*T170*(M170*Calculs!$I$13+N170*Calculs!$I$14+O170*Calculs!$I$15+AF170*Calculs!$I$22)</f>
        <v>395088.69526418392</v>
      </c>
      <c r="W170" s="13">
        <f>RL_NAV*U170*(M170*Calculs!$J$13+N170*Calculs!$J$14+O170*Calculs!$J$15+AF170*Calculs!$J$22)</f>
        <v>395088.69526418392</v>
      </c>
      <c r="X170" s="13">
        <f t="shared" si="61"/>
        <v>10477.940869569969</v>
      </c>
      <c r="Y170" s="13">
        <f t="shared" si="62"/>
        <v>4384547.8135113148</v>
      </c>
      <c r="Z170" s="13">
        <f t="shared" si="63"/>
        <v>4384547.8135113148</v>
      </c>
      <c r="AA170" s="13">
        <f>RL_NAV*T170*(1-SUMPRODUCT((Flux!$B$7:$B$926=B170)*Flux!$F$7:$F$926*EXP(-(RL_Choc_Taux+IF(Q170&gt;0,RL_Choc_Spread,0))/10000*Flux!$D$7:$D$926))/K170)</f>
        <v>4129960.7171300645</v>
      </c>
      <c r="AB170" s="13">
        <f>RL_NAV*U170*(1-SUMPRODUCT((Flux!$B$7:$B$926=B170)*Flux!$F$7:$F$926*EXP(-(RL_Choc_Taux+IF(Q170&gt;0,RL_Choc_Spread,0))/10000*Flux!$D$7:$D$926))/K170)</f>
        <v>4129960.7171300645</v>
      </c>
      <c r="AC170" s="9" t="str">
        <f t="shared" si="64"/>
        <v/>
      </c>
      <c r="AD170" s="27">
        <f>SUMIF(Flux!$B$7:$B$926,B170,Flux!$F$7:$F$926)-K170</f>
        <v>0</v>
      </c>
      <c r="AE170" s="28">
        <v>1.161571253161646</v>
      </c>
      <c r="AF170" s="21">
        <f t="shared" si="65"/>
        <v>5.4027142359799347</v>
      </c>
    </row>
    <row r="171" spans="2:32" x14ac:dyDescent="0.2">
      <c r="B171" s="9" t="s">
        <v>576</v>
      </c>
      <c r="C171" s="9" t="s">
        <v>577</v>
      </c>
      <c r="D171" s="9" t="s">
        <v>437</v>
      </c>
      <c r="E171" s="19">
        <v>47639</v>
      </c>
      <c r="F171" s="20">
        <v>3.5</v>
      </c>
      <c r="G171" s="13">
        <v>13000000</v>
      </c>
      <c r="H171" s="21">
        <v>100.0145</v>
      </c>
      <c r="I171" s="22">
        <v>33657.53</v>
      </c>
      <c r="J171" s="22">
        <v>13035542.529999999</v>
      </c>
      <c r="K171" s="21">
        <f t="shared" si="55"/>
        <v>100.27340407692307</v>
      </c>
      <c r="L171" s="23">
        <v>129.68077485507811</v>
      </c>
      <c r="M171" s="24">
        <v>0.30092935211252431</v>
      </c>
      <c r="N171" s="24">
        <v>4.3017428987680546</v>
      </c>
      <c r="O171" s="24">
        <v>0</v>
      </c>
      <c r="P171" s="21">
        <f t="shared" si="56"/>
        <v>4.6026722508805786</v>
      </c>
      <c r="Q171" s="21">
        <f t="shared" si="57"/>
        <v>4.6026722508805786</v>
      </c>
      <c r="R171" s="25" t="s">
        <v>109</v>
      </c>
      <c r="S171" s="13">
        <f t="shared" si="58"/>
        <v>13035542.529999999</v>
      </c>
      <c r="T171" s="26">
        <f t="shared" si="59"/>
        <v>5.0287044911429546E-3</v>
      </c>
      <c r="U171" s="26">
        <f t="shared" si="60"/>
        <v>5.0287044911429546E-3</v>
      </c>
      <c r="V171" s="13">
        <f>RL_NAV*T171*(M171*Calculs!$I$13+N171*Calculs!$I$14+O171*Calculs!$I$15+AF171*Calculs!$I$22)</f>
        <v>137697.24198957335</v>
      </c>
      <c r="W171" s="13">
        <f>RL_NAV*U171*(M171*Calculs!$J$13+N171*Calculs!$J$14+O171*Calculs!$J$15+AF171*Calculs!$J$22)</f>
        <v>137697.24198957335</v>
      </c>
      <c r="X171" s="13">
        <f t="shared" si="61"/>
        <v>10563.215276439541</v>
      </c>
      <c r="Y171" s="13">
        <f t="shared" si="62"/>
        <v>1499958.2469501153</v>
      </c>
      <c r="Z171" s="13">
        <f t="shared" si="63"/>
        <v>1499958.2469501153</v>
      </c>
      <c r="AA171" s="13">
        <f>RL_NAV*T171*(1-SUMPRODUCT((Flux!$B$7:$B$926=B171)*Flux!$F$7:$F$926*EXP(-(RL_Choc_Taux+IF(Q171&gt;0,RL_Choc_Spread,0))/10000*Flux!$D$7:$D$926))/K171)</f>
        <v>1413578.8284330382</v>
      </c>
      <c r="AB171" s="13">
        <f>RL_NAV*U171*(1-SUMPRODUCT((Flux!$B$7:$B$926=B171)*Flux!$F$7:$F$926*EXP(-(RL_Choc_Taux+IF(Q171&gt;0,RL_Choc_Spread,0))/10000*Flux!$D$7:$D$926))/K171)</f>
        <v>1413578.8284330382</v>
      </c>
      <c r="AC171" s="9" t="str">
        <f t="shared" si="64"/>
        <v/>
      </c>
      <c r="AD171" s="27">
        <f>SUMIF(Flux!$B$7:$B$926,B171,Flux!$F$7:$F$926)-K171</f>
        <v>0</v>
      </c>
      <c r="AE171" s="28">
        <v>1.200747915324798</v>
      </c>
      <c r="AF171" s="21">
        <f t="shared" si="65"/>
        <v>5.5266491101681501</v>
      </c>
    </row>
    <row r="172" spans="2:32" x14ac:dyDescent="0.2">
      <c r="B172" s="9" t="s">
        <v>578</v>
      </c>
      <c r="C172" s="9" t="s">
        <v>579</v>
      </c>
      <c r="D172" s="9" t="s">
        <v>580</v>
      </c>
      <c r="E172" s="19">
        <v>48256</v>
      </c>
      <c r="F172" s="20">
        <v>3.625</v>
      </c>
      <c r="G172" s="13">
        <v>35600000</v>
      </c>
      <c r="H172" s="21">
        <v>99.775999999999996</v>
      </c>
      <c r="I172" s="22">
        <v>70712.33</v>
      </c>
      <c r="J172" s="22">
        <v>35590968.329999998</v>
      </c>
      <c r="K172" s="21">
        <f t="shared" si="55"/>
        <v>99.974630140449435</v>
      </c>
      <c r="L172" s="23">
        <v>149.41918169884221</v>
      </c>
      <c r="M172" s="24">
        <v>0.21769749277054931</v>
      </c>
      <c r="N172" s="24">
        <v>3.9513644246898738</v>
      </c>
      <c r="O172" s="24">
        <v>1.7471672245324721</v>
      </c>
      <c r="P172" s="21">
        <f t="shared" si="56"/>
        <v>5.9162291419928952</v>
      </c>
      <c r="Q172" s="21">
        <f t="shared" si="57"/>
        <v>5.9162291419928952</v>
      </c>
      <c r="R172" s="25" t="s">
        <v>109</v>
      </c>
      <c r="S172" s="13">
        <f t="shared" si="58"/>
        <v>35590968.329999998</v>
      </c>
      <c r="T172" s="26">
        <f t="shared" si="59"/>
        <v>1.3729882118316225E-2</v>
      </c>
      <c r="U172" s="26">
        <f t="shared" si="60"/>
        <v>1.3729882118316225E-2</v>
      </c>
      <c r="V172" s="13">
        <f>RL_NAV*T172*(M172*Calculs!$I$13+N172*Calculs!$I$14+O172*Calculs!$I$15+AF172*Calculs!$I$22)</f>
        <v>521813.22712066682</v>
      </c>
      <c r="W172" s="13">
        <f>RL_NAV*U172*(M172*Calculs!$J$13+N172*Calculs!$J$14+O172*Calculs!$J$15+AF172*Calculs!$J$22)</f>
        <v>521813.22712066682</v>
      </c>
      <c r="X172" s="13">
        <f t="shared" si="61"/>
        <v>14661.394494311216</v>
      </c>
      <c r="Y172" s="13">
        <f t="shared" si="62"/>
        <v>5264108.1006423049</v>
      </c>
      <c r="Z172" s="13">
        <f t="shared" si="63"/>
        <v>5264108.1006423049</v>
      </c>
      <c r="AA172" s="13">
        <f>RL_NAV*T172*(1-SUMPRODUCT((Flux!$B$7:$B$926=B172)*Flux!$F$7:$F$926*EXP(-(RL_Choc_Taux+IF(Q172&gt;0,RL_Choc_Spread,0))/10000*Flux!$D$7:$D$926))/K172)</f>
        <v>4867502.0530299479</v>
      </c>
      <c r="AB172" s="13">
        <f>RL_NAV*U172*(1-SUMPRODUCT((Flux!$B$7:$B$926=B172)*Flux!$F$7:$F$926*EXP(-(RL_Choc_Taux+IF(Q172&gt;0,RL_Choc_Spread,0))/10000*Flux!$D$7:$D$926))/K172)</f>
        <v>4867502.0530299479</v>
      </c>
      <c r="AC172" s="9" t="str">
        <f t="shared" si="64"/>
        <v/>
      </c>
      <c r="AD172" s="27">
        <f>SUMIF(Flux!$B$7:$B$926,B172,Flux!$F$7:$F$926)-K172</f>
        <v>0</v>
      </c>
      <c r="AE172" s="28">
        <v>1.383510941655947</v>
      </c>
      <c r="AF172" s="21">
        <f t="shared" si="65"/>
        <v>8.1851677512909458</v>
      </c>
    </row>
    <row r="173" spans="2:32" x14ac:dyDescent="0.2">
      <c r="B173" s="9" t="s">
        <v>581</v>
      </c>
      <c r="C173" s="9" t="s">
        <v>582</v>
      </c>
      <c r="D173" s="9" t="s">
        <v>583</v>
      </c>
      <c r="E173" s="19">
        <v>47658</v>
      </c>
      <c r="F173" s="20">
        <v>4.125</v>
      </c>
      <c r="G173" s="13">
        <v>15900000</v>
      </c>
      <c r="H173" s="21">
        <v>100.92</v>
      </c>
      <c r="I173" s="22">
        <v>14375.34</v>
      </c>
      <c r="J173" s="22">
        <v>16060655.34</v>
      </c>
      <c r="K173" s="21">
        <f t="shared" si="55"/>
        <v>101.01041094339622</v>
      </c>
      <c r="L173" s="23">
        <v>170.0298727241852</v>
      </c>
      <c r="M173" s="24">
        <v>0.2593052539273269</v>
      </c>
      <c r="N173" s="24">
        <v>4.3432562220432134</v>
      </c>
      <c r="O173" s="24">
        <v>0</v>
      </c>
      <c r="P173" s="21">
        <f t="shared" si="56"/>
        <v>4.60256147597054</v>
      </c>
      <c r="Q173" s="21">
        <f t="shared" si="57"/>
        <v>4.60256147597054</v>
      </c>
      <c r="R173" s="25" t="s">
        <v>109</v>
      </c>
      <c r="S173" s="13">
        <f t="shared" si="58"/>
        <v>16060655.34</v>
      </c>
      <c r="T173" s="26">
        <f t="shared" si="59"/>
        <v>6.1956983725906401E-3</v>
      </c>
      <c r="U173" s="26">
        <f t="shared" si="60"/>
        <v>6.1956983725906401E-3</v>
      </c>
      <c r="V173" s="13">
        <f>RL_NAV*T173*(M173*Calculs!$I$13+N173*Calculs!$I$14+O173*Calculs!$I$15+AF173*Calculs!$I$22)</f>
        <v>200066.67373036989</v>
      </c>
      <c r="W173" s="13">
        <f>RL_NAV*U173*(M173*Calculs!$J$13+N173*Calculs!$J$14+O173*Calculs!$J$15+AF173*Calculs!$J$22)</f>
        <v>200066.67373036989</v>
      </c>
      <c r="X173" s="13">
        <f t="shared" si="61"/>
        <v>12456.943349758099</v>
      </c>
      <c r="Y173" s="13">
        <f t="shared" si="62"/>
        <v>1848003.8386681138</v>
      </c>
      <c r="Z173" s="13">
        <f t="shared" si="63"/>
        <v>1848003.8386681138</v>
      </c>
      <c r="AA173" s="13">
        <f>RL_NAV*T173*(1-SUMPRODUCT((Flux!$B$7:$B$926=B173)*Flux!$F$7:$F$926*EXP(-(RL_Choc_Taux+IF(Q173&gt;0,RL_Choc_Spread,0))/10000*Flux!$D$7:$D$926))/K173)</f>
        <v>1741025.302422384</v>
      </c>
      <c r="AB173" s="13">
        <f>RL_NAV*U173*(1-SUMPRODUCT((Flux!$B$7:$B$926=B173)*Flux!$F$7:$F$926*EXP(-(RL_Choc_Taux+IF(Q173&gt;0,RL_Choc_Spread,0))/10000*Flux!$D$7:$D$926))/K173)</f>
        <v>1741025.302422384</v>
      </c>
      <c r="AC173" s="9" t="str">
        <f t="shared" si="64"/>
        <v/>
      </c>
      <c r="AD173" s="27">
        <f>SUMIF(Flux!$B$7:$B$926,B173,Flux!$F$7:$F$926)-K173</f>
        <v>0</v>
      </c>
      <c r="AE173" s="28">
        <v>1.5743506733720849</v>
      </c>
      <c r="AF173" s="21">
        <f t="shared" si="65"/>
        <v>7.2460457589306362</v>
      </c>
    </row>
    <row r="174" spans="2:32" x14ac:dyDescent="0.2">
      <c r="B174" s="8" t="s">
        <v>584</v>
      </c>
      <c r="C174" s="9" t="s">
        <v>585</v>
      </c>
      <c r="J174" s="22">
        <v>0</v>
      </c>
      <c r="M174" s="21">
        <v>0</v>
      </c>
      <c r="N174" s="21">
        <v>0</v>
      </c>
      <c r="O174" s="21">
        <v>0</v>
      </c>
      <c r="P174" s="21">
        <v>0</v>
      </c>
      <c r="Q174" s="21">
        <v>0</v>
      </c>
      <c r="S174" s="13">
        <f>RL_Montant_Vente</f>
        <v>20000000</v>
      </c>
      <c r="T174" s="26">
        <f t="shared" si="59"/>
        <v>0</v>
      </c>
      <c r="U174" s="26">
        <f t="shared" si="60"/>
        <v>7.7153743000260913E-3</v>
      </c>
      <c r="V174" s="13">
        <v>0</v>
      </c>
      <c r="W174" s="13">
        <v>0</v>
      </c>
      <c r="Y174" s="13">
        <v>0</v>
      </c>
      <c r="Z174" s="13">
        <v>0</v>
      </c>
      <c r="AA174" s="13">
        <v>0</v>
      </c>
      <c r="AB174" s="13">
        <v>0</v>
      </c>
      <c r="AE174" s="21">
        <v>0</v>
      </c>
      <c r="AF174" s="21">
        <v>0</v>
      </c>
    </row>
    <row r="175" spans="2:32" x14ac:dyDescent="0.2">
      <c r="B175" s="29"/>
      <c r="C175" s="30" t="s">
        <v>586</v>
      </c>
      <c r="D175" s="29"/>
      <c r="E175" s="29"/>
      <c r="F175" s="29"/>
      <c r="G175" s="29"/>
      <c r="H175" s="29"/>
      <c r="I175" s="29"/>
      <c r="J175" s="31">
        <f>SUM(J7:J174)</f>
        <v>2592226795.7800007</v>
      </c>
      <c r="K175" s="29"/>
      <c r="L175" s="29"/>
      <c r="M175" s="29"/>
      <c r="N175" s="29"/>
      <c r="O175" s="29"/>
      <c r="P175" s="29"/>
      <c r="Q175" s="29"/>
      <c r="R175" s="29"/>
      <c r="S175" s="32">
        <f>SUM(S7:S174)</f>
        <v>2592226795.7800007</v>
      </c>
      <c r="T175" s="33">
        <f>SUM(T7:T174)</f>
        <v>0.99999999999999978</v>
      </c>
      <c r="U175" s="33">
        <f>SUM(U7:U174)</f>
        <v>0.99999999999999989</v>
      </c>
      <c r="V175" s="32">
        <f>SUM(V7:V174)</f>
        <v>29274800.070492446</v>
      </c>
      <c r="W175" s="32">
        <f>SUM(W7:W174)</f>
        <v>28675584.383495588</v>
      </c>
      <c r="X175" s="29"/>
      <c r="Y175" s="32">
        <f>SUM(Y7:Y174)</f>
        <v>305562031.7256428</v>
      </c>
      <c r="Z175" s="32">
        <f>SUM(Z7:Z174)</f>
        <v>301760831.61381191</v>
      </c>
      <c r="AA175" s="32">
        <f>SUM(AA7:AA174)</f>
        <v>283116696.50466722</v>
      </c>
      <c r="AB175" s="32">
        <f>SUM(AB7:AB174)</f>
        <v>279717741.51715124</v>
      </c>
      <c r="AC175" s="29"/>
    </row>
  </sheetData>
  <conditionalFormatting sqref="B7:C173">
    <cfRule type="expression" dxfId="7" priority="2">
      <formula>$B7=RL_ISIN_Vente</formula>
    </cfRule>
  </conditionalFormatting>
  <conditionalFormatting sqref="AC7:AC173">
    <cfRule type="cellIs" dxfId="6" priority="1" operator="equal">
      <formula>"OUI"</formula>
    </cfRule>
  </conditionalFormatting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J1006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2" customWidth="1"/>
    <col min="3" max="4" width="16" customWidth="1"/>
    <col min="5" max="6" width="14" customWidth="1"/>
    <col min="8" max="8" width="34" customWidth="1"/>
    <col min="9" max="10" width="16" customWidth="1"/>
  </cols>
  <sheetData>
    <row r="2" spans="2:10" ht="18" x14ac:dyDescent="0.2">
      <c r="B2" s="1" t="s">
        <v>587</v>
      </c>
    </row>
    <row r="3" spans="2:10" x14ac:dyDescent="0.2">
      <c r="B3" s="2" t="s">
        <v>588</v>
      </c>
    </row>
    <row r="6" spans="2:10" ht="30" customHeight="1" x14ac:dyDescent="0.2">
      <c r="B6" s="3" t="s">
        <v>589</v>
      </c>
      <c r="C6" s="3" t="s">
        <v>590</v>
      </c>
      <c r="D6" s="3" t="s">
        <v>591</v>
      </c>
      <c r="E6" s="3" t="s">
        <v>592</v>
      </c>
      <c r="F6" s="3" t="s">
        <v>593</v>
      </c>
      <c r="H6" s="3" t="s">
        <v>594</v>
      </c>
      <c r="I6" s="3" t="s">
        <v>3</v>
      </c>
      <c r="J6" s="3" t="s">
        <v>4</v>
      </c>
    </row>
    <row r="7" spans="2:10" x14ac:dyDescent="0.2">
      <c r="B7" s="19">
        <f>Historique!B7</f>
        <v>44406</v>
      </c>
      <c r="C7" s="13">
        <f>RL_NAV*($I$10*Historique!D7+$I$11*Historique!E7+$I$12*Historique!F7+$I$21*Historique!G7)</f>
        <v>-1505254.6638121202</v>
      </c>
      <c r="D7" s="13">
        <f>RL_NAV*($J$10*Historique!D7+$J$11*Historique!E7+$J$12*Historique!F7+$J$21*Historique!G7)</f>
        <v>-1462936.0801325121</v>
      </c>
      <c r="E7" s="20">
        <f t="shared" ref="E7:E70" si="0">IF(C7&gt;$I$9,1,IF(C7=$I$9,($I$8-$I$18)/$I$19,0))/$I$8</f>
        <v>0</v>
      </c>
      <c r="F7" s="20">
        <f t="shared" ref="F7:F70" si="1">IF(D7&gt;$J$9,1,IF(D7=$J$9,($J$8-$J$18)/$J$19,0))/$J$8</f>
        <v>0</v>
      </c>
      <c r="H7" s="9" t="s">
        <v>595</v>
      </c>
      <c r="I7" s="34">
        <f>COUNT(Historique!$D$7:$D$1006)</f>
        <v>1000</v>
      </c>
      <c r="J7" s="34">
        <f>COUNT(Historique!$D$7:$D$1006)</f>
        <v>1000</v>
      </c>
    </row>
    <row r="8" spans="2:10" x14ac:dyDescent="0.2">
      <c r="B8" s="19">
        <f>Historique!B8</f>
        <v>44407</v>
      </c>
      <c r="C8" s="13">
        <f>RL_NAV*($I$10*Historique!D8+$I$11*Historique!E8+$I$12*Historique!F8+$I$21*Historique!G8)</f>
        <v>-2239750.6069359938</v>
      </c>
      <c r="D8" s="13">
        <f>RL_NAV*($J$10*Historique!D8+$J$11*Historique!E8+$J$12*Historique!F8+$J$21*Historique!G8)</f>
        <v>-2187073.3661868596</v>
      </c>
      <c r="E8" s="20">
        <f t="shared" si="0"/>
        <v>0</v>
      </c>
      <c r="F8" s="20">
        <f t="shared" si="1"/>
        <v>0</v>
      </c>
      <c r="H8" s="9" t="s">
        <v>596</v>
      </c>
      <c r="I8" s="35">
        <f>ROUND(I7*(1-RL_Confiance),8)</f>
        <v>10</v>
      </c>
      <c r="J8" s="35">
        <f>ROUND(J7*(1-RL_Confiance),8)</f>
        <v>10</v>
      </c>
    </row>
    <row r="9" spans="2:10" x14ac:dyDescent="0.2">
      <c r="B9" s="19">
        <f>Historique!B9</f>
        <v>44410</v>
      </c>
      <c r="C9" s="13">
        <f>RL_NAV*($I$10*Historique!D9+$I$11*Historique!E9+$I$12*Historique!F9+$I$21*Historique!G9)</f>
        <v>-5085084.9174738294</v>
      </c>
      <c r="D9" s="13">
        <f>RL_NAV*($J$10*Historique!D9+$J$11*Historique!E9+$J$12*Historique!F9+$J$21*Historique!G9)</f>
        <v>-4972838.5850358056</v>
      </c>
      <c r="E9" s="20">
        <f t="shared" si="0"/>
        <v>0</v>
      </c>
      <c r="F9" s="20">
        <f t="shared" si="1"/>
        <v>0</v>
      </c>
      <c r="H9" s="9" t="s">
        <v>597</v>
      </c>
      <c r="I9" s="13">
        <f>LARGE(C7:C1006,ROUNDUP(I8,0))</f>
        <v>22404741.029512178</v>
      </c>
      <c r="J9" s="13">
        <f>LARGE(D7:D1006,ROUNDUP(J8,0))</f>
        <v>21959030.581096787</v>
      </c>
    </row>
    <row r="10" spans="2:10" x14ac:dyDescent="0.2">
      <c r="B10" s="19">
        <f>Historique!B10</f>
        <v>44411</v>
      </c>
      <c r="C10" s="13">
        <f>RL_NAV*($I$10*Historique!D10+$I$11*Historique!E10+$I$12*Historique!F10+$I$21*Historique!G10)</f>
        <v>-2645283.315856507</v>
      </c>
      <c r="D10" s="13">
        <f>RL_NAV*($J$10*Historique!D10+$J$11*Historique!E10+$J$12*Historique!F10+$J$21*Historique!G10)</f>
        <v>-2605791.0494490801</v>
      </c>
      <c r="E10" s="20">
        <f t="shared" si="0"/>
        <v>0</v>
      </c>
      <c r="F10" s="20">
        <f t="shared" si="1"/>
        <v>0</v>
      </c>
      <c r="H10" s="9" t="s">
        <v>598</v>
      </c>
      <c r="I10" s="21">
        <f>SUMPRODUCT(Positions!$T$7:$T$174,Positions!$M$7:$M$174)</f>
        <v>0.76143393003689286</v>
      </c>
      <c r="J10" s="21">
        <f>SUMPRODUCT(Positions!$U$7:$U$174,Positions!$M$7:$M$174)</f>
        <v>0.75925112959000407</v>
      </c>
    </row>
    <row r="11" spans="2:10" x14ac:dyDescent="0.2">
      <c r="B11" s="19">
        <f>Historique!B11</f>
        <v>44412</v>
      </c>
      <c r="C11" s="13">
        <f>RL_NAV*($I$10*Historique!D11+$I$11*Historique!E11+$I$12*Historique!F11+$I$21*Historique!G11)</f>
        <v>-1607932.5765898726</v>
      </c>
      <c r="D11" s="13">
        <f>RL_NAV*($J$10*Historique!D11+$J$11*Historique!E11+$J$12*Historique!F11+$J$21*Historique!G11)</f>
        <v>-1582275.8710564566</v>
      </c>
      <c r="E11" s="20">
        <f t="shared" si="0"/>
        <v>0</v>
      </c>
      <c r="F11" s="20">
        <f t="shared" si="1"/>
        <v>0</v>
      </c>
      <c r="H11" s="9" t="s">
        <v>599</v>
      </c>
      <c r="I11" s="21">
        <f>SUMPRODUCT(Positions!$T$7:$T$174,Positions!$N$7:$N$174)</f>
        <v>2.5048706845887403</v>
      </c>
      <c r="J11" s="21">
        <f>SUMPRODUCT(Positions!$U$7:$U$174,Positions!$N$7:$N$174)</f>
        <v>2.4984384749143556</v>
      </c>
    </row>
    <row r="12" spans="2:10" x14ac:dyDescent="0.2">
      <c r="B12" s="19">
        <f>Historique!B12</f>
        <v>44413</v>
      </c>
      <c r="C12" s="13">
        <f>RL_NAV*($I$10*Historique!D12+$I$11*Historique!E12+$I$12*Historique!F12+$I$21*Historique!G12)</f>
        <v>1964579.3373398683</v>
      </c>
      <c r="D12" s="13">
        <f>RL_NAV*($J$10*Historique!D12+$J$11*Historique!E12+$J$12*Historique!F12+$J$21*Historique!G12)</f>
        <v>1914662.8570014616</v>
      </c>
      <c r="E12" s="20">
        <f t="shared" si="0"/>
        <v>0</v>
      </c>
      <c r="F12" s="20">
        <f t="shared" si="1"/>
        <v>0</v>
      </c>
      <c r="H12" s="9" t="s">
        <v>600</v>
      </c>
      <c r="I12" s="21">
        <f>SUMPRODUCT(Positions!$T$7:$T$174,Positions!$O$7:$O$174)</f>
        <v>1.6330993864174745</v>
      </c>
      <c r="J12" s="21">
        <f>SUMPRODUCT(Positions!$U$7:$U$174,Positions!$O$7:$O$174)</f>
        <v>1.5830590332345946</v>
      </c>
    </row>
    <row r="13" spans="2:10" x14ac:dyDescent="0.2">
      <c r="B13" s="19">
        <f>Historique!B13</f>
        <v>44414</v>
      </c>
      <c r="C13" s="13">
        <f>RL_NAV*($I$10*Historique!D13+$I$11*Historique!E13+$I$12*Historique!F13+$I$21*Historique!G13)</f>
        <v>4838952.9770442406</v>
      </c>
      <c r="D13" s="13">
        <f>RL_NAV*($J$10*Historique!D13+$J$11*Historique!E13+$J$12*Historique!F13+$J$21*Historique!G13)</f>
        <v>4773696.6614177916</v>
      </c>
      <c r="E13" s="20">
        <f t="shared" si="0"/>
        <v>0</v>
      </c>
      <c r="F13" s="20">
        <f t="shared" si="1"/>
        <v>0</v>
      </c>
      <c r="H13" s="9" t="s">
        <v>601</v>
      </c>
      <c r="I13" s="36">
        <f>SUMPRODUCT(Historique!$D$7:$D$1006,E7:E1006)</f>
        <v>9.1805825178078418E-4</v>
      </c>
      <c r="J13" s="36">
        <f>SUMPRODUCT(Historique!$D$7:$D$1006,F7:F1006)</f>
        <v>9.1805825178078418E-4</v>
      </c>
    </row>
    <row r="14" spans="2:10" x14ac:dyDescent="0.2">
      <c r="B14" s="19">
        <f>Historique!B14</f>
        <v>44417</v>
      </c>
      <c r="C14" s="13">
        <f>RL_NAV*($I$10*Historique!D14+$I$11*Historique!E14+$I$12*Historique!F14+$I$21*Historique!G14)</f>
        <v>-626677.89854095667</v>
      </c>
      <c r="D14" s="13">
        <f>RL_NAV*($J$10*Historique!D14+$J$11*Historique!E14+$J$12*Historique!F14+$J$21*Historique!G14)</f>
        <v>-611511.18235629809</v>
      </c>
      <c r="E14" s="20">
        <f t="shared" si="0"/>
        <v>0</v>
      </c>
      <c r="F14" s="20">
        <f t="shared" si="1"/>
        <v>0</v>
      </c>
      <c r="H14" s="9" t="s">
        <v>602</v>
      </c>
      <c r="I14" s="36">
        <f>SUMPRODUCT(Historique!$E$7:$E$1006,E7:E1006)</f>
        <v>9.7812228191266975E-4</v>
      </c>
      <c r="J14" s="36">
        <f>SUMPRODUCT(Historique!$E$7:$E$1006,F7:F1006)</f>
        <v>9.7812228191266975E-4</v>
      </c>
    </row>
    <row r="15" spans="2:10" x14ac:dyDescent="0.2">
      <c r="B15" s="19">
        <f>Historique!B15</f>
        <v>44418</v>
      </c>
      <c r="C15" s="13">
        <f>RL_NAV*($I$10*Historique!D15+$I$11*Historique!E15+$I$12*Historique!F15+$I$21*Historique!G15)</f>
        <v>-1914549.4933540376</v>
      </c>
      <c r="D15" s="13">
        <f>RL_NAV*($J$10*Historique!D15+$J$11*Historique!E15+$J$12*Historique!F15+$J$21*Historique!G15)</f>
        <v>-1866784.1175092175</v>
      </c>
      <c r="E15" s="20">
        <f t="shared" si="0"/>
        <v>0</v>
      </c>
      <c r="F15" s="20">
        <f t="shared" si="1"/>
        <v>0</v>
      </c>
      <c r="H15" s="9" t="s">
        <v>603</v>
      </c>
      <c r="I15" s="36">
        <f>SUMPRODUCT(Historique!$F$7:$F$1006,E7:E1006)</f>
        <v>9.1172349054409712E-4</v>
      </c>
      <c r="J15" s="36">
        <f>SUMPRODUCT(Historique!$F$7:$F$1006,F7:F1006)</f>
        <v>9.1172349054409712E-4</v>
      </c>
    </row>
    <row r="16" spans="2:10" x14ac:dyDescent="0.2">
      <c r="B16" s="19">
        <f>Historique!B16</f>
        <v>44419</v>
      </c>
      <c r="C16" s="13">
        <f>RL_NAV*($I$10*Historique!D16+$I$11*Historique!E16+$I$12*Historique!F16+$I$21*Historique!G16)</f>
        <v>2471469.7235406209</v>
      </c>
      <c r="D16" s="13">
        <f>RL_NAV*($J$10*Historique!D16+$J$11*Historique!E16+$J$12*Historique!F16+$J$21*Historique!G16)</f>
        <v>2440857.4075404876</v>
      </c>
      <c r="E16" s="20">
        <f t="shared" si="0"/>
        <v>0</v>
      </c>
      <c r="F16" s="20">
        <f t="shared" si="1"/>
        <v>0</v>
      </c>
      <c r="H16" s="9" t="s">
        <v>604</v>
      </c>
      <c r="I16" s="13">
        <f>LARGE(C7:C1006,I7-ROUNDUP(ROUND(RL_Confiance*I7,9),0)+1)</f>
        <v>20982291.93790577</v>
      </c>
      <c r="J16" s="13">
        <f>LARGE(D7:D1006,J7-ROUNDUP(ROUND(RL_Confiance*J7,9),0)+1)</f>
        <v>20535073.5328479</v>
      </c>
    </row>
    <row r="17" spans="2:10" x14ac:dyDescent="0.2">
      <c r="B17" s="19">
        <f>Historique!B17</f>
        <v>44420</v>
      </c>
      <c r="C17" s="13">
        <f>RL_NAV*($I$10*Historique!D17+$I$11*Historique!E17+$I$12*Historique!F17+$I$21*Historique!G17)</f>
        <v>380475.26074580423</v>
      </c>
      <c r="D17" s="13">
        <f>RL_NAV*($J$10*Historique!D17+$J$11*Historique!E17+$J$12*Historique!F17+$J$21*Historique!G17)</f>
        <v>375341.10457332904</v>
      </c>
      <c r="E17" s="20">
        <f t="shared" si="0"/>
        <v>0</v>
      </c>
      <c r="F17" s="20">
        <f t="shared" si="1"/>
        <v>0</v>
      </c>
      <c r="H17" s="9" t="s">
        <v>605</v>
      </c>
      <c r="I17" s="13">
        <f>SUMPRODUCT(C7:C1006,E7:E1006)</f>
        <v>29274800.070492469</v>
      </c>
      <c r="J17" s="13">
        <f>SUMPRODUCT(D7:D1006,F7:F1006)</f>
        <v>28675584.383495606</v>
      </c>
    </row>
    <row r="18" spans="2:10" x14ac:dyDescent="0.2">
      <c r="B18" s="19">
        <f>Historique!B18</f>
        <v>44421</v>
      </c>
      <c r="C18" s="13">
        <f>RL_NAV*($I$10*Historique!D18+$I$11*Historique!E18+$I$12*Historique!F18+$I$21*Historique!G18)</f>
        <v>1338335.8527162464</v>
      </c>
      <c r="D18" s="13">
        <f>RL_NAV*($J$10*Historique!D18+$J$11*Historique!E18+$J$12*Historique!F18+$J$21*Historique!G18)</f>
        <v>1308184.9173938979</v>
      </c>
      <c r="E18" s="20">
        <f t="shared" si="0"/>
        <v>0</v>
      </c>
      <c r="F18" s="20">
        <f t="shared" si="1"/>
        <v>0</v>
      </c>
      <c r="H18" s="9" t="s">
        <v>606</v>
      </c>
      <c r="I18" s="34">
        <f>SUMPRODUCT(--(C7:C1006&gt;I9))</f>
        <v>9</v>
      </c>
      <c r="J18" s="34">
        <f>SUMPRODUCT(--(D7:D1006&gt;J9))</f>
        <v>9</v>
      </c>
    </row>
    <row r="19" spans="2:10" x14ac:dyDescent="0.2">
      <c r="B19" s="19">
        <f>Historique!B19</f>
        <v>44424</v>
      </c>
      <c r="C19" s="13">
        <f>RL_NAV*($I$10*Historique!D19+$I$11*Historique!E19+$I$12*Historique!F19+$I$21*Historique!G19)</f>
        <v>-2618505.5089682164</v>
      </c>
      <c r="D19" s="13">
        <f>RL_NAV*($J$10*Historique!D19+$J$11*Historique!E19+$J$12*Historique!F19+$J$21*Historique!G19)</f>
        <v>-2579109.1750572231</v>
      </c>
      <c r="E19" s="20">
        <f t="shared" si="0"/>
        <v>0</v>
      </c>
      <c r="F19" s="20">
        <f t="shared" si="1"/>
        <v>0</v>
      </c>
      <c r="H19" s="9" t="s">
        <v>607</v>
      </c>
      <c r="I19" s="34">
        <f>SUMPRODUCT(--(C7:C1006=I9))</f>
        <v>1</v>
      </c>
      <c r="J19" s="34">
        <f>SUMPRODUCT(--(D7:D1006=J9))</f>
        <v>1</v>
      </c>
    </row>
    <row r="20" spans="2:10" x14ac:dyDescent="0.2">
      <c r="B20" s="19">
        <f>Historique!B20</f>
        <v>44425</v>
      </c>
      <c r="C20" s="13">
        <f>RL_NAV*($I$10*Historique!D20+$I$11*Historique!E20+$I$12*Historique!F20+$I$21*Historique!G20)</f>
        <v>3136364.0806694455</v>
      </c>
      <c r="D20" s="13">
        <f>RL_NAV*($J$10*Historique!D20+$J$11*Historique!E20+$J$12*Historique!F20+$J$21*Historique!G20)</f>
        <v>3070080.1770686996</v>
      </c>
      <c r="E20" s="20">
        <f t="shared" si="0"/>
        <v>0</v>
      </c>
      <c r="F20" s="20">
        <f t="shared" si="1"/>
        <v>0</v>
      </c>
      <c r="H20" s="9" t="s">
        <v>608</v>
      </c>
      <c r="I20" s="37">
        <f>SUM(E7:E1006)</f>
        <v>0.99999999999999989</v>
      </c>
      <c r="J20" s="37">
        <f>SUM(F7:F1006)</f>
        <v>0.99999999999999989</v>
      </c>
    </row>
    <row r="21" spans="2:10" x14ac:dyDescent="0.2">
      <c r="B21" s="19">
        <f>Historique!B21</f>
        <v>44426</v>
      </c>
      <c r="C21" s="13">
        <f>RL_NAV*($I$10*Historique!D21+$I$11*Historique!E21+$I$12*Historique!F21+$I$21*Historique!G21)</f>
        <v>-877446.94938572845</v>
      </c>
      <c r="D21" s="13">
        <f>RL_NAV*($J$10*Historique!D21+$J$11*Historique!E21+$J$12*Historique!F21+$J$21*Historique!G21)</f>
        <v>-864774.06425951095</v>
      </c>
      <c r="E21" s="20">
        <f t="shared" si="0"/>
        <v>0</v>
      </c>
      <c r="F21" s="20">
        <f t="shared" si="1"/>
        <v>0</v>
      </c>
      <c r="H21" s="9" t="s">
        <v>609</v>
      </c>
      <c r="I21" s="21">
        <f>SUMPRODUCT(Positions!$T$7:$T$174,Positions!$AF$7:$AF$174)</f>
        <v>6.0502330905106261</v>
      </c>
      <c r="J21" s="21">
        <f>SUMPRODUCT(Positions!$U$7:$U$174,Positions!$AF$7:$AF$174)</f>
        <v>5.8891055681990423</v>
      </c>
    </row>
    <row r="22" spans="2:10" x14ac:dyDescent="0.2">
      <c r="B22" s="19">
        <f>Historique!B22</f>
        <v>44427</v>
      </c>
      <c r="C22" s="13">
        <f>RL_NAV*($I$10*Historique!D22+$I$11*Historique!E22+$I$12*Historique!F22+$I$21*Historique!G22)</f>
        <v>1493426.287385667</v>
      </c>
      <c r="D22" s="13">
        <f>RL_NAV*($J$10*Historique!D22+$J$11*Historique!E22+$J$12*Historique!F22+$J$21*Historique!G22)</f>
        <v>1456989.8532478088</v>
      </c>
      <c r="E22" s="20">
        <f t="shared" si="0"/>
        <v>0</v>
      </c>
      <c r="F22" s="20">
        <f t="shared" si="1"/>
        <v>0</v>
      </c>
      <c r="H22" s="9" t="s">
        <v>610</v>
      </c>
      <c r="I22" s="36">
        <f>SUMPRODUCT(Historique!$G$7:$G$1006,E7:E1006)</f>
        <v>1.0999999999999994E-3</v>
      </c>
      <c r="J22" s="36">
        <f>SUMPRODUCT(Historique!$G$7:$G$1006,F7:F1006)</f>
        <v>1.0999999999999994E-3</v>
      </c>
    </row>
    <row r="23" spans="2:10" x14ac:dyDescent="0.2">
      <c r="B23" s="19">
        <f>Historique!B23</f>
        <v>44428</v>
      </c>
      <c r="C23" s="13">
        <f>RL_NAV*($I$10*Historique!D23+$I$11*Historique!E23+$I$12*Historique!F23+$I$21*Historique!G23)</f>
        <v>-2337635.8119482934</v>
      </c>
      <c r="D23" s="13">
        <f>RL_NAV*($J$10*Historique!D23+$J$11*Historique!E23+$J$12*Historique!F23+$J$21*Historique!G23)</f>
        <v>-2284751.1424083877</v>
      </c>
      <c r="E23" s="20">
        <f t="shared" si="0"/>
        <v>0</v>
      </c>
      <c r="F23" s="20">
        <f t="shared" si="1"/>
        <v>0</v>
      </c>
    </row>
    <row r="24" spans="2:10" x14ac:dyDescent="0.2">
      <c r="B24" s="19">
        <f>Historique!B24</f>
        <v>44431</v>
      </c>
      <c r="C24" s="13">
        <f>RL_NAV*($I$10*Historique!D24+$I$11*Historique!E24+$I$12*Historique!F24+$I$21*Historique!G24)</f>
        <v>-688659.38266367209</v>
      </c>
      <c r="D24" s="13">
        <f>RL_NAV*($J$10*Historique!D24+$J$11*Historique!E24+$J$12*Historique!F24+$J$21*Historique!G24)</f>
        <v>-666185.07391869638</v>
      </c>
      <c r="E24" s="20">
        <f t="shared" si="0"/>
        <v>0</v>
      </c>
      <c r="F24" s="20">
        <f t="shared" si="1"/>
        <v>0</v>
      </c>
    </row>
    <row r="25" spans="2:10" x14ac:dyDescent="0.2">
      <c r="B25" s="19">
        <f>Historique!B25</f>
        <v>44432</v>
      </c>
      <c r="C25" s="13">
        <f>RL_NAV*($I$10*Historique!D25+$I$11*Historique!E25+$I$12*Historique!F25+$I$21*Historique!G25)</f>
        <v>3743207.2817520131</v>
      </c>
      <c r="D25" s="13">
        <f>RL_NAV*($J$10*Historique!D25+$J$11*Historique!E25+$J$12*Historique!F25+$J$21*Historique!G25)</f>
        <v>3654341.491057788</v>
      </c>
      <c r="E25" s="20">
        <f t="shared" si="0"/>
        <v>0</v>
      </c>
      <c r="F25" s="20">
        <f t="shared" si="1"/>
        <v>0</v>
      </c>
    </row>
    <row r="26" spans="2:10" x14ac:dyDescent="0.2">
      <c r="B26" s="19">
        <f>Historique!B26</f>
        <v>44433</v>
      </c>
      <c r="C26" s="13">
        <f>RL_NAV*($I$10*Historique!D26+$I$11*Historique!E26+$I$12*Historique!F26+$I$21*Historique!G26)</f>
        <v>1879546.9752702289</v>
      </c>
      <c r="D26" s="13">
        <f>RL_NAV*($J$10*Historique!D26+$J$11*Historique!E26+$J$12*Historique!F26+$J$21*Historique!G26)</f>
        <v>1860704.6959985856</v>
      </c>
      <c r="E26" s="20">
        <f t="shared" si="0"/>
        <v>0</v>
      </c>
      <c r="F26" s="20">
        <f t="shared" si="1"/>
        <v>0</v>
      </c>
    </row>
    <row r="27" spans="2:10" x14ac:dyDescent="0.2">
      <c r="B27" s="19">
        <f>Historique!B27</f>
        <v>44434</v>
      </c>
      <c r="C27" s="13">
        <f>RL_NAV*($I$10*Historique!D27+$I$11*Historique!E27+$I$12*Historique!F27+$I$21*Historique!G27)</f>
        <v>-348992.66552825458</v>
      </c>
      <c r="D27" s="13">
        <f>RL_NAV*($J$10*Historique!D27+$J$11*Historique!E27+$J$12*Historique!F27+$J$21*Historique!G27)</f>
        <v>-306642.84021478985</v>
      </c>
      <c r="E27" s="20">
        <f t="shared" si="0"/>
        <v>0</v>
      </c>
      <c r="F27" s="20">
        <f t="shared" si="1"/>
        <v>0</v>
      </c>
    </row>
    <row r="28" spans="2:10" x14ac:dyDescent="0.2">
      <c r="B28" s="19">
        <f>Historique!B28</f>
        <v>44435</v>
      </c>
      <c r="C28" s="13">
        <f>RL_NAV*($I$10*Historique!D28+$I$11*Historique!E28+$I$12*Historique!F28+$I$21*Historique!G28)</f>
        <v>3357042.8237742609</v>
      </c>
      <c r="D28" s="13">
        <f>RL_NAV*($J$10*Historique!D28+$J$11*Historique!E28+$J$12*Historique!F28+$J$21*Historique!G28)</f>
        <v>3270915.7173095099</v>
      </c>
      <c r="E28" s="20">
        <f t="shared" si="0"/>
        <v>0</v>
      </c>
      <c r="F28" s="20">
        <f t="shared" si="1"/>
        <v>0</v>
      </c>
    </row>
    <row r="29" spans="2:10" x14ac:dyDescent="0.2">
      <c r="B29" s="19">
        <f>Historique!B29</f>
        <v>44438</v>
      </c>
      <c r="C29" s="13">
        <f>RL_NAV*($I$10*Historique!D29+$I$11*Historique!E29+$I$12*Historique!F29+$I$21*Historique!G29)</f>
        <v>-1721563.7335141299</v>
      </c>
      <c r="D29" s="13">
        <f>RL_NAV*($J$10*Historique!D29+$J$11*Historique!E29+$J$12*Historique!F29+$J$21*Historique!G29)</f>
        <v>-1693288.9534721537</v>
      </c>
      <c r="E29" s="20">
        <f t="shared" si="0"/>
        <v>0</v>
      </c>
      <c r="F29" s="20">
        <f t="shared" si="1"/>
        <v>0</v>
      </c>
    </row>
    <row r="30" spans="2:10" x14ac:dyDescent="0.2">
      <c r="B30" s="19">
        <f>Historique!B30</f>
        <v>44439</v>
      </c>
      <c r="C30" s="13">
        <f>RL_NAV*($I$10*Historique!D30+$I$11*Historique!E30+$I$12*Historique!F30+$I$21*Historique!G30)</f>
        <v>4271822.2526049595</v>
      </c>
      <c r="D30" s="13">
        <f>RL_NAV*($J$10*Historique!D30+$J$11*Historique!E30+$J$12*Historique!F30+$J$21*Historique!G30)</f>
        <v>4195731.6254016161</v>
      </c>
      <c r="E30" s="20">
        <f t="shared" si="0"/>
        <v>0</v>
      </c>
      <c r="F30" s="20">
        <f t="shared" si="1"/>
        <v>0</v>
      </c>
    </row>
    <row r="31" spans="2:10" x14ac:dyDescent="0.2">
      <c r="B31" s="19">
        <f>Historique!B31</f>
        <v>44440</v>
      </c>
      <c r="C31" s="13">
        <f>RL_NAV*($I$10*Historique!D31+$I$11*Historique!E31+$I$12*Historique!F31+$I$21*Historique!G31)</f>
        <v>-501544.78430859762</v>
      </c>
      <c r="D31" s="13">
        <f>RL_NAV*($J$10*Historique!D31+$J$11*Historique!E31+$J$12*Historique!F31+$J$21*Historique!G31)</f>
        <v>-484613.1828880742</v>
      </c>
      <c r="E31" s="20">
        <f t="shared" si="0"/>
        <v>0</v>
      </c>
      <c r="F31" s="20">
        <f t="shared" si="1"/>
        <v>0</v>
      </c>
    </row>
    <row r="32" spans="2:10" x14ac:dyDescent="0.2">
      <c r="B32" s="19">
        <f>Historique!B32</f>
        <v>44441</v>
      </c>
      <c r="C32" s="13">
        <f>RL_NAV*($I$10*Historique!D32+$I$11*Historique!E32+$I$12*Historique!F32+$I$21*Historique!G32)</f>
        <v>-946065.97761522874</v>
      </c>
      <c r="D32" s="13">
        <f>RL_NAV*($J$10*Historique!D32+$J$11*Historique!E32+$J$12*Historique!F32+$J$21*Historique!G32)</f>
        <v>-933294.39066612232</v>
      </c>
      <c r="E32" s="20">
        <f t="shared" si="0"/>
        <v>0</v>
      </c>
      <c r="F32" s="20">
        <f t="shared" si="1"/>
        <v>0</v>
      </c>
    </row>
    <row r="33" spans="2:6" x14ac:dyDescent="0.2">
      <c r="B33" s="19">
        <f>Historique!B33</f>
        <v>44442</v>
      </c>
      <c r="C33" s="13">
        <f>RL_NAV*($I$10*Historique!D33+$I$11*Historique!E33+$I$12*Historique!F33+$I$21*Historique!G33)</f>
        <v>2811830.3249462764</v>
      </c>
      <c r="D33" s="13">
        <f>RL_NAV*($J$10*Historique!D33+$J$11*Historique!E33+$J$12*Historique!F33+$J$21*Historique!G33)</f>
        <v>2765013.0967387063</v>
      </c>
      <c r="E33" s="20">
        <f t="shared" si="0"/>
        <v>0</v>
      </c>
      <c r="F33" s="20">
        <f t="shared" si="1"/>
        <v>0</v>
      </c>
    </row>
    <row r="34" spans="2:6" x14ac:dyDescent="0.2">
      <c r="B34" s="19">
        <f>Historique!B34</f>
        <v>44445</v>
      </c>
      <c r="C34" s="13">
        <f>RL_NAV*($I$10*Historique!D34+$I$11*Historique!E34+$I$12*Historique!F34+$I$21*Historique!G34)</f>
        <v>-228135.05624702599</v>
      </c>
      <c r="D34" s="13">
        <f>RL_NAV*($J$10*Historique!D34+$J$11*Historique!E34+$J$12*Historique!F34+$J$21*Historique!G34)</f>
        <v>-218937.65810540909</v>
      </c>
      <c r="E34" s="20">
        <f t="shared" si="0"/>
        <v>0</v>
      </c>
      <c r="F34" s="20">
        <f t="shared" si="1"/>
        <v>0</v>
      </c>
    </row>
    <row r="35" spans="2:6" x14ac:dyDescent="0.2">
      <c r="B35" s="19">
        <f>Historique!B35</f>
        <v>44446</v>
      </c>
      <c r="C35" s="13">
        <f>RL_NAV*($I$10*Historique!D35+$I$11*Historique!E35+$I$12*Historique!F35+$I$21*Historique!G35)</f>
        <v>2844168.3315541237</v>
      </c>
      <c r="D35" s="13">
        <f>RL_NAV*($J$10*Historique!D35+$J$11*Historique!E35+$J$12*Historique!F35+$J$21*Historique!G35)</f>
        <v>2818472.0880901846</v>
      </c>
      <c r="E35" s="20">
        <f t="shared" si="0"/>
        <v>0</v>
      </c>
      <c r="F35" s="20">
        <f t="shared" si="1"/>
        <v>0</v>
      </c>
    </row>
    <row r="36" spans="2:6" x14ac:dyDescent="0.2">
      <c r="B36" s="19">
        <f>Historique!B36</f>
        <v>44447</v>
      </c>
      <c r="C36" s="13">
        <f>RL_NAV*($I$10*Historique!D36+$I$11*Historique!E36+$I$12*Historique!F36+$I$21*Historique!G36)</f>
        <v>1751482.3583822944</v>
      </c>
      <c r="D36" s="13">
        <f>RL_NAV*($J$10*Historique!D36+$J$11*Historique!E36+$J$12*Historique!F36+$J$21*Historique!G36)</f>
        <v>1711210.3375168426</v>
      </c>
      <c r="E36" s="20">
        <f t="shared" si="0"/>
        <v>0</v>
      </c>
      <c r="F36" s="20">
        <f t="shared" si="1"/>
        <v>0</v>
      </c>
    </row>
    <row r="37" spans="2:6" x14ac:dyDescent="0.2">
      <c r="B37" s="19">
        <f>Historique!B37</f>
        <v>44448</v>
      </c>
      <c r="C37" s="13">
        <f>RL_NAV*($I$10*Historique!D37+$I$11*Historique!E37+$I$12*Historique!F37+$I$21*Historique!G37)</f>
        <v>-2714138.0175146922</v>
      </c>
      <c r="D37" s="13">
        <f>RL_NAV*($J$10*Historique!D37+$J$11*Historique!E37+$J$12*Historique!F37+$J$21*Historique!G37)</f>
        <v>-2678920.8358051777</v>
      </c>
      <c r="E37" s="20">
        <f t="shared" si="0"/>
        <v>0</v>
      </c>
      <c r="F37" s="20">
        <f t="shared" si="1"/>
        <v>0</v>
      </c>
    </row>
    <row r="38" spans="2:6" x14ac:dyDescent="0.2">
      <c r="B38" s="19">
        <f>Historique!B38</f>
        <v>44449</v>
      </c>
      <c r="C38" s="13">
        <f>RL_NAV*($I$10*Historique!D38+$I$11*Historique!E38+$I$12*Historique!F38+$I$21*Historique!G38)</f>
        <v>-858953.84321674414</v>
      </c>
      <c r="D38" s="13">
        <f>RL_NAV*($J$10*Historique!D38+$J$11*Historique!E38+$J$12*Historique!F38+$J$21*Historique!G38)</f>
        <v>-824713.03195711097</v>
      </c>
      <c r="E38" s="20">
        <f t="shared" si="0"/>
        <v>0</v>
      </c>
      <c r="F38" s="20">
        <f t="shared" si="1"/>
        <v>0</v>
      </c>
    </row>
    <row r="39" spans="2:6" x14ac:dyDescent="0.2">
      <c r="B39" s="19">
        <f>Historique!B39</f>
        <v>44452</v>
      </c>
      <c r="C39" s="13">
        <f>RL_NAV*($I$10*Historique!D39+$I$11*Historique!E39+$I$12*Historique!F39+$I$21*Historique!G39)</f>
        <v>241003.85774907481</v>
      </c>
      <c r="D39" s="13">
        <f>RL_NAV*($J$10*Historique!D39+$J$11*Historique!E39+$J$12*Historique!F39+$J$21*Historique!G39)</f>
        <v>234241.82125139676</v>
      </c>
      <c r="E39" s="20">
        <f t="shared" si="0"/>
        <v>0</v>
      </c>
      <c r="F39" s="20">
        <f t="shared" si="1"/>
        <v>0</v>
      </c>
    </row>
    <row r="40" spans="2:6" x14ac:dyDescent="0.2">
      <c r="B40" s="19">
        <f>Historique!B40</f>
        <v>44453</v>
      </c>
      <c r="C40" s="13">
        <f>RL_NAV*($I$10*Historique!D40+$I$11*Historique!E40+$I$12*Historique!F40+$I$21*Historique!G40)</f>
        <v>-3115913.3478513206</v>
      </c>
      <c r="D40" s="13">
        <f>RL_NAV*($J$10*Historique!D40+$J$11*Historique!E40+$J$12*Historique!F40+$J$21*Historique!G40)</f>
        <v>-3035399.7001278428</v>
      </c>
      <c r="E40" s="20">
        <f t="shared" si="0"/>
        <v>0</v>
      </c>
      <c r="F40" s="20">
        <f t="shared" si="1"/>
        <v>0</v>
      </c>
    </row>
    <row r="41" spans="2:6" x14ac:dyDescent="0.2">
      <c r="B41" s="19">
        <f>Historique!B41</f>
        <v>44454</v>
      </c>
      <c r="C41" s="13">
        <f>RL_NAV*($I$10*Historique!D41+$I$11*Historique!E41+$I$12*Historique!F41+$I$21*Historique!G41)</f>
        <v>3325651.702374462</v>
      </c>
      <c r="D41" s="13">
        <f>RL_NAV*($J$10*Historique!D41+$J$11*Historique!E41+$J$12*Historique!F41+$J$21*Historique!G41)</f>
        <v>3261033.6999591263</v>
      </c>
      <c r="E41" s="20">
        <f t="shared" si="0"/>
        <v>0</v>
      </c>
      <c r="F41" s="20">
        <f t="shared" si="1"/>
        <v>0</v>
      </c>
    </row>
    <row r="42" spans="2:6" x14ac:dyDescent="0.2">
      <c r="B42" s="19">
        <f>Historique!B42</f>
        <v>44455</v>
      </c>
      <c r="C42" s="13">
        <f>RL_NAV*($I$10*Historique!D42+$I$11*Historique!E42+$I$12*Historique!F42+$I$21*Historique!G42)</f>
        <v>-1597476.456379178</v>
      </c>
      <c r="D42" s="13">
        <f>RL_NAV*($J$10*Historique!D42+$J$11*Historique!E42+$J$12*Historique!F42+$J$21*Historique!G42)</f>
        <v>-1547658.9634684145</v>
      </c>
      <c r="E42" s="20">
        <f t="shared" si="0"/>
        <v>0</v>
      </c>
      <c r="F42" s="20">
        <f t="shared" si="1"/>
        <v>0</v>
      </c>
    </row>
    <row r="43" spans="2:6" x14ac:dyDescent="0.2">
      <c r="B43" s="19">
        <f>Historique!B43</f>
        <v>44456</v>
      </c>
      <c r="C43" s="13">
        <f>RL_NAV*($I$10*Historique!D43+$I$11*Historique!E43+$I$12*Historique!F43+$I$21*Historique!G43)</f>
        <v>134791.22261086554</v>
      </c>
      <c r="D43" s="13">
        <f>RL_NAV*($J$10*Historique!D43+$J$11*Historique!E43+$J$12*Historique!F43+$J$21*Historique!G43)</f>
        <v>151999.96284895888</v>
      </c>
      <c r="E43" s="20">
        <f t="shared" si="0"/>
        <v>0</v>
      </c>
      <c r="F43" s="20">
        <f t="shared" si="1"/>
        <v>0</v>
      </c>
    </row>
    <row r="44" spans="2:6" x14ac:dyDescent="0.2">
      <c r="B44" s="19">
        <f>Historique!B44</f>
        <v>44459</v>
      </c>
      <c r="C44" s="13">
        <f>RL_NAV*($I$10*Historique!D44+$I$11*Historique!E44+$I$12*Historique!F44+$I$21*Historique!G44)</f>
        <v>-665831.825184196</v>
      </c>
      <c r="D44" s="13">
        <f>RL_NAV*($J$10*Historique!D44+$J$11*Historique!E44+$J$12*Historique!F44+$J$21*Historique!G44)</f>
        <v>-698955.59924527153</v>
      </c>
      <c r="E44" s="20">
        <f t="shared" si="0"/>
        <v>0</v>
      </c>
      <c r="F44" s="20">
        <f t="shared" si="1"/>
        <v>0</v>
      </c>
    </row>
    <row r="45" spans="2:6" x14ac:dyDescent="0.2">
      <c r="B45" s="19">
        <f>Historique!B45</f>
        <v>44460</v>
      </c>
      <c r="C45" s="13">
        <f>RL_NAV*($I$10*Historique!D45+$I$11*Historique!E45+$I$12*Historique!F45+$I$21*Historique!G45)</f>
        <v>-3182434.4733782555</v>
      </c>
      <c r="D45" s="13">
        <f>RL_NAV*($J$10*Historique!D45+$J$11*Historique!E45+$J$12*Historique!F45+$J$21*Historique!G45)</f>
        <v>-3111383.6225444428</v>
      </c>
      <c r="E45" s="20">
        <f t="shared" si="0"/>
        <v>0</v>
      </c>
      <c r="F45" s="20">
        <f t="shared" si="1"/>
        <v>0</v>
      </c>
    </row>
    <row r="46" spans="2:6" x14ac:dyDescent="0.2">
      <c r="B46" s="19">
        <f>Historique!B46</f>
        <v>44461</v>
      </c>
      <c r="C46" s="13">
        <f>RL_NAV*($I$10*Historique!D46+$I$11*Historique!E46+$I$12*Historique!F46+$I$21*Historique!G46)</f>
        <v>3082681.3385707331</v>
      </c>
      <c r="D46" s="13">
        <f>RL_NAV*($J$10*Historique!D46+$J$11*Historique!E46+$J$12*Historique!F46+$J$21*Historique!G46)</f>
        <v>3020394.5287302304</v>
      </c>
      <c r="E46" s="20">
        <f t="shared" si="0"/>
        <v>0</v>
      </c>
      <c r="F46" s="20">
        <f t="shared" si="1"/>
        <v>0</v>
      </c>
    </row>
    <row r="47" spans="2:6" x14ac:dyDescent="0.2">
      <c r="B47" s="19">
        <f>Historique!B47</f>
        <v>44462</v>
      </c>
      <c r="C47" s="13">
        <f>RL_NAV*($I$10*Historique!D47+$I$11*Historique!E47+$I$12*Historique!F47+$I$21*Historique!G47)</f>
        <v>6938665.4866876733</v>
      </c>
      <c r="D47" s="13">
        <f>RL_NAV*($J$10*Historique!D47+$J$11*Historique!E47+$J$12*Historique!F47+$J$21*Historique!G47)</f>
        <v>6823460.4095031945</v>
      </c>
      <c r="E47" s="20">
        <f t="shared" si="0"/>
        <v>0</v>
      </c>
      <c r="F47" s="20">
        <f t="shared" si="1"/>
        <v>0</v>
      </c>
    </row>
    <row r="48" spans="2:6" x14ac:dyDescent="0.2">
      <c r="B48" s="19">
        <f>Historique!B48</f>
        <v>44463</v>
      </c>
      <c r="C48" s="13">
        <f>RL_NAV*($I$10*Historique!D48+$I$11*Historique!E48+$I$12*Historique!F48+$I$21*Historique!G48)</f>
        <v>1221152.03893569</v>
      </c>
      <c r="D48" s="13">
        <f>RL_NAV*($J$10*Historique!D48+$J$11*Historique!E48+$J$12*Historique!F48+$J$21*Historique!G48)</f>
        <v>1230507.980358074</v>
      </c>
      <c r="E48" s="20">
        <f t="shared" si="0"/>
        <v>0</v>
      </c>
      <c r="F48" s="20">
        <f t="shared" si="1"/>
        <v>0</v>
      </c>
    </row>
    <row r="49" spans="2:6" x14ac:dyDescent="0.2">
      <c r="B49" s="19">
        <f>Historique!B49</f>
        <v>44466</v>
      </c>
      <c r="C49" s="13">
        <f>RL_NAV*($I$10*Historique!D49+$I$11*Historique!E49+$I$12*Historique!F49+$I$21*Historique!G49)</f>
        <v>-1226519.5071218603</v>
      </c>
      <c r="D49" s="13">
        <f>RL_NAV*($J$10*Historique!D49+$J$11*Historique!E49+$J$12*Historique!F49+$J$21*Historique!G49)</f>
        <v>-1184572.2524465583</v>
      </c>
      <c r="E49" s="20">
        <f t="shared" si="0"/>
        <v>0</v>
      </c>
      <c r="F49" s="20">
        <f t="shared" si="1"/>
        <v>0</v>
      </c>
    </row>
    <row r="50" spans="2:6" x14ac:dyDescent="0.2">
      <c r="B50" s="19">
        <f>Historique!B50</f>
        <v>44467</v>
      </c>
      <c r="C50" s="13">
        <f>RL_NAV*($I$10*Historique!D50+$I$11*Historique!E50+$I$12*Historique!F50+$I$21*Historique!G50)</f>
        <v>612807.89351790061</v>
      </c>
      <c r="D50" s="13">
        <f>RL_NAV*($J$10*Historique!D50+$J$11*Historique!E50+$J$12*Historique!F50+$J$21*Historique!G50)</f>
        <v>638242.30518944864</v>
      </c>
      <c r="E50" s="20">
        <f t="shared" si="0"/>
        <v>0</v>
      </c>
      <c r="F50" s="20">
        <f t="shared" si="1"/>
        <v>0</v>
      </c>
    </row>
    <row r="51" spans="2:6" x14ac:dyDescent="0.2">
      <c r="B51" s="19">
        <f>Historique!B51</f>
        <v>44468</v>
      </c>
      <c r="C51" s="13">
        <f>RL_NAV*($I$10*Historique!D51+$I$11*Historique!E51+$I$12*Historique!F51+$I$21*Historique!G51)</f>
        <v>-2758787.5059027541</v>
      </c>
      <c r="D51" s="13">
        <f>RL_NAV*($J$10*Historique!D51+$J$11*Historique!E51+$J$12*Historique!F51+$J$21*Historique!G51)</f>
        <v>-2735877.7120103766</v>
      </c>
      <c r="E51" s="20">
        <f t="shared" si="0"/>
        <v>0</v>
      </c>
      <c r="F51" s="20">
        <f t="shared" si="1"/>
        <v>0</v>
      </c>
    </row>
    <row r="52" spans="2:6" x14ac:dyDescent="0.2">
      <c r="B52" s="19">
        <f>Historique!B52</f>
        <v>44469</v>
      </c>
      <c r="C52" s="13">
        <f>RL_NAV*($I$10*Historique!D52+$I$11*Historique!E52+$I$12*Historique!F52+$I$21*Historique!G52)</f>
        <v>3494853.0589450039</v>
      </c>
      <c r="D52" s="13">
        <f>RL_NAV*($J$10*Historique!D52+$J$11*Historique!E52+$J$12*Historique!F52+$J$21*Historique!G52)</f>
        <v>3439987.6935940348</v>
      </c>
      <c r="E52" s="20">
        <f t="shared" si="0"/>
        <v>0</v>
      </c>
      <c r="F52" s="20">
        <f t="shared" si="1"/>
        <v>0</v>
      </c>
    </row>
    <row r="53" spans="2:6" x14ac:dyDescent="0.2">
      <c r="B53" s="19">
        <f>Historique!B53</f>
        <v>44470</v>
      </c>
      <c r="C53" s="13">
        <f>RL_NAV*($I$10*Historique!D53+$I$11*Historique!E53+$I$12*Historique!F53+$I$21*Historique!G53)</f>
        <v>-3200668.6603911789</v>
      </c>
      <c r="D53" s="13">
        <f>RL_NAV*($J$10*Historique!D53+$J$11*Historique!E53+$J$12*Historique!F53+$J$21*Historique!G53)</f>
        <v>-3177718.3780875695</v>
      </c>
      <c r="E53" s="20">
        <f t="shared" si="0"/>
        <v>0</v>
      </c>
      <c r="F53" s="20">
        <f t="shared" si="1"/>
        <v>0</v>
      </c>
    </row>
    <row r="54" spans="2:6" x14ac:dyDescent="0.2">
      <c r="B54" s="19">
        <f>Historique!B54</f>
        <v>44473</v>
      </c>
      <c r="C54" s="13">
        <f>RL_NAV*($I$10*Historique!D54+$I$11*Historique!E54+$I$12*Historique!F54+$I$21*Historique!G54)</f>
        <v>2390308.8439771468</v>
      </c>
      <c r="D54" s="13">
        <f>RL_NAV*($J$10*Historique!D54+$J$11*Historique!E54+$J$12*Historique!F54+$J$21*Historique!G54)</f>
        <v>2348867.4455783414</v>
      </c>
      <c r="E54" s="20">
        <f t="shared" si="0"/>
        <v>0</v>
      </c>
      <c r="F54" s="20">
        <f t="shared" si="1"/>
        <v>0</v>
      </c>
    </row>
    <row r="55" spans="2:6" x14ac:dyDescent="0.2">
      <c r="B55" s="19">
        <f>Historique!B55</f>
        <v>44474</v>
      </c>
      <c r="C55" s="13">
        <f>RL_NAV*($I$10*Historique!D55+$I$11*Historique!E55+$I$12*Historique!F55+$I$21*Historique!G55)</f>
        <v>55856.390343512139</v>
      </c>
      <c r="D55" s="13">
        <f>RL_NAV*($J$10*Historique!D55+$J$11*Historique!E55+$J$12*Historique!F55+$J$21*Historique!G55)</f>
        <v>49428.481898664351</v>
      </c>
      <c r="E55" s="20">
        <f t="shared" si="0"/>
        <v>0</v>
      </c>
      <c r="F55" s="20">
        <f t="shared" si="1"/>
        <v>0</v>
      </c>
    </row>
    <row r="56" spans="2:6" x14ac:dyDescent="0.2">
      <c r="B56" s="19">
        <f>Historique!B56</f>
        <v>44475</v>
      </c>
      <c r="C56" s="13">
        <f>RL_NAV*($I$10*Historique!D56+$I$11*Historique!E56+$I$12*Historique!F56+$I$21*Historique!G56)</f>
        <v>3001012.0758654671</v>
      </c>
      <c r="D56" s="13">
        <f>RL_NAV*($J$10*Historique!D56+$J$11*Historique!E56+$J$12*Historique!F56+$J$21*Historique!G56)</f>
        <v>2943082.7785554216</v>
      </c>
      <c r="E56" s="20">
        <f t="shared" si="0"/>
        <v>0</v>
      </c>
      <c r="F56" s="20">
        <f t="shared" si="1"/>
        <v>0</v>
      </c>
    </row>
    <row r="57" spans="2:6" x14ac:dyDescent="0.2">
      <c r="B57" s="19">
        <f>Historique!B57</f>
        <v>44476</v>
      </c>
      <c r="C57" s="13">
        <f>RL_NAV*($I$10*Historique!D57+$I$11*Historique!E57+$I$12*Historique!F57+$I$21*Historique!G57)</f>
        <v>1224438.4223309113</v>
      </c>
      <c r="D57" s="13">
        <f>RL_NAV*($J$10*Historique!D57+$J$11*Historique!E57+$J$12*Historique!F57+$J$21*Historique!G57)</f>
        <v>1179146.0795116022</v>
      </c>
      <c r="E57" s="20">
        <f t="shared" si="0"/>
        <v>0</v>
      </c>
      <c r="F57" s="20">
        <f t="shared" si="1"/>
        <v>0</v>
      </c>
    </row>
    <row r="58" spans="2:6" x14ac:dyDescent="0.2">
      <c r="B58" s="19">
        <f>Historique!B58</f>
        <v>44477</v>
      </c>
      <c r="C58" s="13">
        <f>RL_NAV*($I$10*Historique!D58+$I$11*Historique!E58+$I$12*Historique!F58+$I$21*Historique!G58)</f>
        <v>-336442.38198708097</v>
      </c>
      <c r="D58" s="13">
        <f>RL_NAV*($J$10*Historique!D58+$J$11*Historique!E58+$J$12*Historique!F58+$J$21*Historique!G58)</f>
        <v>-295113.66205319035</v>
      </c>
      <c r="E58" s="20">
        <f t="shared" si="0"/>
        <v>0</v>
      </c>
      <c r="F58" s="20">
        <f t="shared" si="1"/>
        <v>0</v>
      </c>
    </row>
    <row r="59" spans="2:6" x14ac:dyDescent="0.2">
      <c r="B59" s="19">
        <f>Historique!B59</f>
        <v>44480</v>
      </c>
      <c r="C59" s="13">
        <f>RL_NAV*($I$10*Historique!D59+$I$11*Historique!E59+$I$12*Historique!F59+$I$21*Historique!G59)</f>
        <v>8453783.1242675055</v>
      </c>
      <c r="D59" s="13">
        <f>RL_NAV*($J$10*Historique!D59+$J$11*Historique!E59+$J$12*Historique!F59+$J$21*Historique!G59)</f>
        <v>8277148.921147299</v>
      </c>
      <c r="E59" s="20">
        <f t="shared" si="0"/>
        <v>0</v>
      </c>
      <c r="F59" s="20">
        <f t="shared" si="1"/>
        <v>0</v>
      </c>
    </row>
    <row r="60" spans="2:6" x14ac:dyDescent="0.2">
      <c r="B60" s="19">
        <f>Historique!B60</f>
        <v>44481</v>
      </c>
      <c r="C60" s="13">
        <f>RL_NAV*($I$10*Historique!D60+$I$11*Historique!E60+$I$12*Historique!F60+$I$21*Historique!G60)</f>
        <v>3762183.6117038392</v>
      </c>
      <c r="D60" s="13">
        <f>RL_NAV*($J$10*Historique!D60+$J$11*Historique!E60+$J$12*Historique!F60+$J$21*Historique!G60)</f>
        <v>3695258.1187234367</v>
      </c>
      <c r="E60" s="20">
        <f t="shared" si="0"/>
        <v>0</v>
      </c>
      <c r="F60" s="20">
        <f t="shared" si="1"/>
        <v>0</v>
      </c>
    </row>
    <row r="61" spans="2:6" x14ac:dyDescent="0.2">
      <c r="B61" s="19">
        <f>Historique!B61</f>
        <v>44482</v>
      </c>
      <c r="C61" s="13">
        <f>RL_NAV*($I$10*Historique!D61+$I$11*Historique!E61+$I$12*Historique!F61+$I$21*Historique!G61)</f>
        <v>-137363.37488376701</v>
      </c>
      <c r="D61" s="13">
        <f>RL_NAV*($J$10*Historique!D61+$J$11*Historique!E61+$J$12*Historique!F61+$J$21*Historique!G61)</f>
        <v>-138268.60584042256</v>
      </c>
      <c r="E61" s="20">
        <f t="shared" si="0"/>
        <v>0</v>
      </c>
      <c r="F61" s="20">
        <f t="shared" si="1"/>
        <v>0</v>
      </c>
    </row>
    <row r="62" spans="2:6" x14ac:dyDescent="0.2">
      <c r="B62" s="19">
        <f>Historique!B62</f>
        <v>44483</v>
      </c>
      <c r="C62" s="13">
        <f>RL_NAV*($I$10*Historique!D62+$I$11*Historique!E62+$I$12*Historique!F62+$I$21*Historique!G62)</f>
        <v>-7594719.4767190637</v>
      </c>
      <c r="D62" s="13">
        <f>RL_NAV*($J$10*Historique!D62+$J$11*Historique!E62+$J$12*Historique!F62+$J$21*Historique!G62)</f>
        <v>-7444928.4558697138</v>
      </c>
      <c r="E62" s="20">
        <f t="shared" si="0"/>
        <v>0</v>
      </c>
      <c r="F62" s="20">
        <f t="shared" si="1"/>
        <v>0</v>
      </c>
    </row>
    <row r="63" spans="2:6" x14ac:dyDescent="0.2">
      <c r="B63" s="19">
        <f>Historique!B63</f>
        <v>44484</v>
      </c>
      <c r="C63" s="13">
        <f>RL_NAV*($I$10*Historique!D63+$I$11*Historique!E63+$I$12*Historique!F63+$I$21*Historique!G63)</f>
        <v>589279.3977790036</v>
      </c>
      <c r="D63" s="13">
        <f>RL_NAV*($J$10*Historique!D63+$J$11*Historique!E63+$J$12*Historique!F63+$J$21*Historique!G63)</f>
        <v>603267.39116836165</v>
      </c>
      <c r="E63" s="20">
        <f t="shared" si="0"/>
        <v>0</v>
      </c>
      <c r="F63" s="20">
        <f t="shared" si="1"/>
        <v>0</v>
      </c>
    </row>
    <row r="64" spans="2:6" x14ac:dyDescent="0.2">
      <c r="B64" s="19">
        <f>Historique!B64</f>
        <v>44487</v>
      </c>
      <c r="C64" s="13">
        <f>RL_NAV*($I$10*Historique!D64+$I$11*Historique!E64+$I$12*Historique!F64+$I$21*Historique!G64)</f>
        <v>3622290.3217163985</v>
      </c>
      <c r="D64" s="13">
        <f>RL_NAV*($J$10*Historique!D64+$J$11*Historique!E64+$J$12*Historique!F64+$J$21*Historique!G64)</f>
        <v>3594603.3166904496</v>
      </c>
      <c r="E64" s="20">
        <f t="shared" si="0"/>
        <v>0</v>
      </c>
      <c r="F64" s="20">
        <f t="shared" si="1"/>
        <v>0</v>
      </c>
    </row>
    <row r="65" spans="2:6" x14ac:dyDescent="0.2">
      <c r="B65" s="19">
        <f>Historique!B65</f>
        <v>44488</v>
      </c>
      <c r="C65" s="13">
        <f>RL_NAV*($I$10*Historique!D65+$I$11*Historique!E65+$I$12*Historique!F65+$I$21*Historique!G65)</f>
        <v>8693925.4727609307</v>
      </c>
      <c r="D65" s="13">
        <f>RL_NAV*($J$10*Historique!D65+$J$11*Historique!E65+$J$12*Historique!F65+$J$21*Historique!G65)</f>
        <v>8543527.5811284352</v>
      </c>
      <c r="E65" s="20">
        <f t="shared" si="0"/>
        <v>0</v>
      </c>
      <c r="F65" s="20">
        <f t="shared" si="1"/>
        <v>0</v>
      </c>
    </row>
    <row r="66" spans="2:6" x14ac:dyDescent="0.2">
      <c r="B66" s="19">
        <f>Historique!B66</f>
        <v>44489</v>
      </c>
      <c r="C66" s="13">
        <f>RL_NAV*($I$10*Historique!D66+$I$11*Historique!E66+$I$12*Historique!F66+$I$21*Historique!G66)</f>
        <v>-7462398.687518457</v>
      </c>
      <c r="D66" s="13">
        <f>RL_NAV*($J$10*Historique!D66+$J$11*Historique!E66+$J$12*Historique!F66+$J$21*Historique!G66)</f>
        <v>-7344631.1330532935</v>
      </c>
      <c r="E66" s="20">
        <f t="shared" si="0"/>
        <v>0</v>
      </c>
      <c r="F66" s="20">
        <f t="shared" si="1"/>
        <v>0</v>
      </c>
    </row>
    <row r="67" spans="2:6" x14ac:dyDescent="0.2">
      <c r="B67" s="19">
        <f>Historique!B67</f>
        <v>44490</v>
      </c>
      <c r="C67" s="13">
        <f>RL_NAV*($I$10*Historique!D67+$I$11*Historique!E67+$I$12*Historique!F67+$I$21*Historique!G67)</f>
        <v>3726968.6348240837</v>
      </c>
      <c r="D67" s="13">
        <f>RL_NAV*($J$10*Historique!D67+$J$11*Historique!E67+$J$12*Historique!F67+$J$21*Historique!G67)</f>
        <v>3679862.5691341446</v>
      </c>
      <c r="E67" s="20">
        <f t="shared" si="0"/>
        <v>0</v>
      </c>
      <c r="F67" s="20">
        <f t="shared" si="1"/>
        <v>0</v>
      </c>
    </row>
    <row r="68" spans="2:6" x14ac:dyDescent="0.2">
      <c r="B68" s="19">
        <f>Historique!B68</f>
        <v>44491</v>
      </c>
      <c r="C68" s="13">
        <f>RL_NAV*($I$10*Historique!D68+$I$11*Historique!E68+$I$12*Historique!F68+$I$21*Historique!G68)</f>
        <v>835835.90874472156</v>
      </c>
      <c r="D68" s="13">
        <f>RL_NAV*($J$10*Historique!D68+$J$11*Historique!E68+$J$12*Historique!F68+$J$21*Historique!G68)</f>
        <v>840087.27173578308</v>
      </c>
      <c r="E68" s="20">
        <f t="shared" si="0"/>
        <v>0</v>
      </c>
      <c r="F68" s="20">
        <f t="shared" si="1"/>
        <v>0</v>
      </c>
    </row>
    <row r="69" spans="2:6" x14ac:dyDescent="0.2">
      <c r="B69" s="19">
        <f>Historique!B69</f>
        <v>44494</v>
      </c>
      <c r="C69" s="13">
        <f>RL_NAV*($I$10*Historique!D69+$I$11*Historique!E69+$I$12*Historique!F69+$I$21*Historique!G69)</f>
        <v>-1418574.6988822261</v>
      </c>
      <c r="D69" s="13">
        <f>RL_NAV*($J$10*Historique!D69+$J$11*Historique!E69+$J$12*Historique!F69+$J$21*Historique!G69)</f>
        <v>-1429279.769479308</v>
      </c>
      <c r="E69" s="20">
        <f t="shared" si="0"/>
        <v>0</v>
      </c>
      <c r="F69" s="20">
        <f t="shared" si="1"/>
        <v>0</v>
      </c>
    </row>
    <row r="70" spans="2:6" x14ac:dyDescent="0.2">
      <c r="B70" s="19">
        <f>Historique!B70</f>
        <v>44495</v>
      </c>
      <c r="C70" s="13">
        <f>RL_NAV*($I$10*Historique!D70+$I$11*Historique!E70+$I$12*Historique!F70+$I$21*Historique!G70)</f>
        <v>422093.58869394817</v>
      </c>
      <c r="D70" s="13">
        <f>RL_NAV*($J$10*Historique!D70+$J$11*Historique!E70+$J$12*Historique!F70+$J$21*Historique!G70)</f>
        <v>399804.82563171157</v>
      </c>
      <c r="E70" s="20">
        <f t="shared" si="0"/>
        <v>0</v>
      </c>
      <c r="F70" s="20">
        <f t="shared" si="1"/>
        <v>0</v>
      </c>
    </row>
    <row r="71" spans="2:6" x14ac:dyDescent="0.2">
      <c r="B71" s="19">
        <f>Historique!B71</f>
        <v>44496</v>
      </c>
      <c r="C71" s="13">
        <f>RL_NAV*($I$10*Historique!D71+$I$11*Historique!E71+$I$12*Historique!F71+$I$21*Historique!G71)</f>
        <v>-3876269.1762351864</v>
      </c>
      <c r="D71" s="13">
        <f>RL_NAV*($J$10*Historique!D71+$J$11*Historique!E71+$J$12*Historique!F71+$J$21*Historique!G71)</f>
        <v>-3803317.6575256684</v>
      </c>
      <c r="E71" s="20">
        <f t="shared" ref="E71:E134" si="2">IF(C71&gt;$I$9,1,IF(C71=$I$9,($I$8-$I$18)/$I$19,0))/$I$8</f>
        <v>0</v>
      </c>
      <c r="F71" s="20">
        <f t="shared" ref="F71:F134" si="3">IF(D71&gt;$J$9,1,IF(D71=$J$9,($J$8-$J$18)/$J$19,0))/$J$8</f>
        <v>0</v>
      </c>
    </row>
    <row r="72" spans="2:6" x14ac:dyDescent="0.2">
      <c r="B72" s="19">
        <f>Historique!B72</f>
        <v>44497</v>
      </c>
      <c r="C72" s="13">
        <f>RL_NAV*($I$10*Historique!D72+$I$11*Historique!E72+$I$12*Historique!F72+$I$21*Historique!G72)</f>
        <v>7159891.515302306</v>
      </c>
      <c r="D72" s="13">
        <f>RL_NAV*($J$10*Historique!D72+$J$11*Historique!E72+$J$12*Historique!F72+$J$21*Historique!G72)</f>
        <v>7039803.5429419521</v>
      </c>
      <c r="E72" s="20">
        <f t="shared" si="2"/>
        <v>0</v>
      </c>
      <c r="F72" s="20">
        <f t="shared" si="3"/>
        <v>0</v>
      </c>
    </row>
    <row r="73" spans="2:6" x14ac:dyDescent="0.2">
      <c r="B73" s="19">
        <f>Historique!B73</f>
        <v>44498</v>
      </c>
      <c r="C73" s="13">
        <f>RL_NAV*($I$10*Historique!D73+$I$11*Historique!E73+$I$12*Historique!F73+$I$21*Historique!G73)</f>
        <v>6854647.5699977251</v>
      </c>
      <c r="D73" s="13">
        <f>RL_NAV*($J$10*Historique!D73+$J$11*Historique!E73+$J$12*Historique!F73+$J$21*Historique!G73)</f>
        <v>6789713.1189185157</v>
      </c>
      <c r="E73" s="20">
        <f t="shared" si="2"/>
        <v>0</v>
      </c>
      <c r="F73" s="20">
        <f t="shared" si="3"/>
        <v>0</v>
      </c>
    </row>
    <row r="74" spans="2:6" x14ac:dyDescent="0.2">
      <c r="B74" s="19">
        <f>Historique!B74</f>
        <v>44501</v>
      </c>
      <c r="C74" s="13">
        <f>RL_NAV*($I$10*Historique!D74+$I$11*Historique!E74+$I$12*Historique!F74+$I$21*Historique!G74)</f>
        <v>-1936642.3436597371</v>
      </c>
      <c r="D74" s="13">
        <f>RL_NAV*($J$10*Historique!D74+$J$11*Historique!E74+$J$12*Historique!F74+$J$21*Historique!G74)</f>
        <v>-1912127.9163287126</v>
      </c>
      <c r="E74" s="20">
        <f t="shared" si="2"/>
        <v>0</v>
      </c>
      <c r="F74" s="20">
        <f t="shared" si="3"/>
        <v>0</v>
      </c>
    </row>
    <row r="75" spans="2:6" x14ac:dyDescent="0.2">
      <c r="B75" s="19">
        <f>Historique!B75</f>
        <v>44502</v>
      </c>
      <c r="C75" s="13">
        <f>RL_NAV*($I$10*Historique!D75+$I$11*Historique!E75+$I$12*Historique!F75+$I$21*Historique!G75)</f>
        <v>-9673943.9776166752</v>
      </c>
      <c r="D75" s="13">
        <f>RL_NAV*($J$10*Historique!D75+$J$11*Historique!E75+$J$12*Historique!F75+$J$21*Historique!G75)</f>
        <v>-9574912.078696508</v>
      </c>
      <c r="E75" s="20">
        <f t="shared" si="2"/>
        <v>0</v>
      </c>
      <c r="F75" s="20">
        <f t="shared" si="3"/>
        <v>0</v>
      </c>
    </row>
    <row r="76" spans="2:6" x14ac:dyDescent="0.2">
      <c r="B76" s="19">
        <f>Historique!B76</f>
        <v>44503</v>
      </c>
      <c r="C76" s="13">
        <f>RL_NAV*($I$10*Historique!D76+$I$11*Historique!E76+$I$12*Historique!F76+$I$21*Historique!G76)</f>
        <v>2103059.6800691225</v>
      </c>
      <c r="D76" s="13">
        <f>RL_NAV*($J$10*Historique!D76+$J$11*Historique!E76+$J$12*Historique!F76+$J$21*Historique!G76)</f>
        <v>2062278.1855307999</v>
      </c>
      <c r="E76" s="20">
        <f t="shared" si="2"/>
        <v>0</v>
      </c>
      <c r="F76" s="20">
        <f t="shared" si="3"/>
        <v>0</v>
      </c>
    </row>
    <row r="77" spans="2:6" x14ac:dyDescent="0.2">
      <c r="B77" s="19">
        <f>Historique!B77</f>
        <v>44504</v>
      </c>
      <c r="C77" s="13">
        <f>RL_NAV*($I$10*Historique!D77+$I$11*Historique!E77+$I$12*Historique!F77+$I$21*Historique!G77)</f>
        <v>-14816519.318967238</v>
      </c>
      <c r="D77" s="13">
        <f>RL_NAV*($J$10*Historique!D77+$J$11*Historique!E77+$J$12*Historique!F77+$J$21*Historique!G77)</f>
        <v>-14587626.522832202</v>
      </c>
      <c r="E77" s="20">
        <f t="shared" si="2"/>
        <v>0</v>
      </c>
      <c r="F77" s="20">
        <f t="shared" si="3"/>
        <v>0</v>
      </c>
    </row>
    <row r="78" spans="2:6" x14ac:dyDescent="0.2">
      <c r="B78" s="19">
        <f>Historique!B78</f>
        <v>44505</v>
      </c>
      <c r="C78" s="13">
        <f>RL_NAV*($I$10*Historique!D78+$I$11*Historique!E78+$I$12*Historique!F78+$I$21*Historique!G78)</f>
        <v>-2523777.6149484552</v>
      </c>
      <c r="D78" s="13">
        <f>RL_NAV*($J$10*Historique!D78+$J$11*Historique!E78+$J$12*Historique!F78+$J$21*Historique!G78)</f>
        <v>-2494698.5780383972</v>
      </c>
      <c r="E78" s="20">
        <f t="shared" si="2"/>
        <v>0</v>
      </c>
      <c r="F78" s="20">
        <f t="shared" si="3"/>
        <v>0</v>
      </c>
    </row>
    <row r="79" spans="2:6" x14ac:dyDescent="0.2">
      <c r="B79" s="19">
        <f>Historique!B79</f>
        <v>44508</v>
      </c>
      <c r="C79" s="13">
        <f>RL_NAV*($I$10*Historique!D79+$I$11*Historique!E79+$I$12*Historique!F79+$I$21*Historique!G79)</f>
        <v>1985385.7305264825</v>
      </c>
      <c r="D79" s="13">
        <f>RL_NAV*($J$10*Historique!D79+$J$11*Historique!E79+$J$12*Historique!F79+$J$21*Historique!G79)</f>
        <v>1925317.8988726211</v>
      </c>
      <c r="E79" s="20">
        <f t="shared" si="2"/>
        <v>0</v>
      </c>
      <c r="F79" s="20">
        <f t="shared" si="3"/>
        <v>0</v>
      </c>
    </row>
    <row r="80" spans="2:6" x14ac:dyDescent="0.2">
      <c r="B80" s="19">
        <f>Historique!B80</f>
        <v>44509</v>
      </c>
      <c r="C80" s="13">
        <f>RL_NAV*($I$10*Historique!D80+$I$11*Historique!E80+$I$12*Historique!F80+$I$21*Historique!G80)</f>
        <v>-5216142.7633123891</v>
      </c>
      <c r="D80" s="13">
        <f>RL_NAV*($J$10*Historique!D80+$J$11*Historique!E80+$J$12*Historique!F80+$J$21*Historique!G80)</f>
        <v>-5089488.3815213405</v>
      </c>
      <c r="E80" s="20">
        <f t="shared" si="2"/>
        <v>0</v>
      </c>
      <c r="F80" s="20">
        <f t="shared" si="3"/>
        <v>0</v>
      </c>
    </row>
    <row r="81" spans="2:6" x14ac:dyDescent="0.2">
      <c r="B81" s="19">
        <f>Historique!B81</f>
        <v>44510</v>
      </c>
      <c r="C81" s="13">
        <f>RL_NAV*($I$10*Historique!D81+$I$11*Historique!E81+$I$12*Historique!F81+$I$21*Historique!G81)</f>
        <v>6363645.2419902664</v>
      </c>
      <c r="D81" s="13">
        <f>RL_NAV*($J$10*Historique!D81+$J$11*Historique!E81+$J$12*Historique!F81+$J$21*Historique!G81)</f>
        <v>6242003.6424027123</v>
      </c>
      <c r="E81" s="20">
        <f t="shared" si="2"/>
        <v>0</v>
      </c>
      <c r="F81" s="20">
        <f t="shared" si="3"/>
        <v>0</v>
      </c>
    </row>
    <row r="82" spans="2:6" x14ac:dyDescent="0.2">
      <c r="B82" s="19">
        <f>Historique!B82</f>
        <v>44511</v>
      </c>
      <c r="C82" s="13">
        <f>RL_NAV*($I$10*Historique!D82+$I$11*Historique!E82+$I$12*Historique!F82+$I$21*Historique!G82)</f>
        <v>4227708.9149971977</v>
      </c>
      <c r="D82" s="13">
        <f>RL_NAV*($J$10*Historique!D82+$J$11*Historique!E82+$J$12*Historique!F82+$J$21*Historique!G82)</f>
        <v>4167907.0869401982</v>
      </c>
      <c r="E82" s="20">
        <f t="shared" si="2"/>
        <v>0</v>
      </c>
      <c r="F82" s="20">
        <f t="shared" si="3"/>
        <v>0</v>
      </c>
    </row>
    <row r="83" spans="2:6" x14ac:dyDescent="0.2">
      <c r="B83" s="19">
        <f>Historique!B83</f>
        <v>44512</v>
      </c>
      <c r="C83" s="13">
        <f>RL_NAV*($I$10*Historique!D83+$I$11*Historique!E83+$I$12*Historique!F83+$I$21*Historique!G83)</f>
        <v>-2587010.8353942265</v>
      </c>
      <c r="D83" s="13">
        <f>RL_NAV*($J$10*Historique!D83+$J$11*Historique!E83+$J$12*Historique!F83+$J$21*Historique!G83)</f>
        <v>-2586084.8513163417</v>
      </c>
      <c r="E83" s="20">
        <f t="shared" si="2"/>
        <v>0</v>
      </c>
      <c r="F83" s="20">
        <f t="shared" si="3"/>
        <v>0</v>
      </c>
    </row>
    <row r="84" spans="2:6" x14ac:dyDescent="0.2">
      <c r="B84" s="19">
        <f>Historique!B84</f>
        <v>44515</v>
      </c>
      <c r="C84" s="13">
        <f>RL_NAV*($I$10*Historique!D84+$I$11*Historique!E84+$I$12*Historique!F84+$I$21*Historique!G84)</f>
        <v>4641930.4534291448</v>
      </c>
      <c r="D84" s="13">
        <f>RL_NAV*($J$10*Historique!D84+$J$11*Historique!E84+$J$12*Historique!F84+$J$21*Historique!G84)</f>
        <v>4545116.4955155179</v>
      </c>
      <c r="E84" s="20">
        <f t="shared" si="2"/>
        <v>0</v>
      </c>
      <c r="F84" s="20">
        <f t="shared" si="3"/>
        <v>0</v>
      </c>
    </row>
    <row r="85" spans="2:6" x14ac:dyDescent="0.2">
      <c r="B85" s="19">
        <f>Historique!B85</f>
        <v>44516</v>
      </c>
      <c r="C85" s="13">
        <f>RL_NAV*($I$10*Historique!D85+$I$11*Historique!E85+$I$12*Historique!F85+$I$21*Historique!G85)</f>
        <v>-659209.21295125899</v>
      </c>
      <c r="D85" s="13">
        <f>RL_NAV*($J$10*Historique!D85+$J$11*Historique!E85+$J$12*Historique!F85+$J$21*Historique!G85)</f>
        <v>-665638.50141560182</v>
      </c>
      <c r="E85" s="20">
        <f t="shared" si="2"/>
        <v>0</v>
      </c>
      <c r="F85" s="20">
        <f t="shared" si="3"/>
        <v>0</v>
      </c>
    </row>
    <row r="86" spans="2:6" x14ac:dyDescent="0.2">
      <c r="B86" s="19">
        <f>Historique!B86</f>
        <v>44517</v>
      </c>
      <c r="C86" s="13">
        <f>RL_NAV*($I$10*Historique!D86+$I$11*Historique!E86+$I$12*Historique!F86+$I$21*Historique!G86)</f>
        <v>4656701.1797520937</v>
      </c>
      <c r="D86" s="13">
        <f>RL_NAV*($J$10*Historique!D86+$J$11*Historique!E86+$J$12*Historique!F86+$J$21*Historique!G86)</f>
        <v>4535062.5694841845</v>
      </c>
      <c r="E86" s="20">
        <f t="shared" si="2"/>
        <v>0</v>
      </c>
      <c r="F86" s="20">
        <f t="shared" si="3"/>
        <v>0</v>
      </c>
    </row>
    <row r="87" spans="2:6" x14ac:dyDescent="0.2">
      <c r="B87" s="19">
        <f>Historique!B87</f>
        <v>44518</v>
      </c>
      <c r="C87" s="13">
        <f>RL_NAV*($I$10*Historique!D87+$I$11*Historique!E87+$I$12*Historique!F87+$I$21*Historique!G87)</f>
        <v>100386.18221460548</v>
      </c>
      <c r="D87" s="13">
        <f>RL_NAV*($J$10*Historique!D87+$J$11*Historique!E87+$J$12*Historique!F87+$J$21*Historique!G87)</f>
        <v>84696.209259010036</v>
      </c>
      <c r="E87" s="20">
        <f t="shared" si="2"/>
        <v>0</v>
      </c>
      <c r="F87" s="20">
        <f t="shared" si="3"/>
        <v>0</v>
      </c>
    </row>
    <row r="88" spans="2:6" x14ac:dyDescent="0.2">
      <c r="B88" s="19">
        <f>Historique!B88</f>
        <v>44519</v>
      </c>
      <c r="C88" s="13">
        <f>RL_NAV*($I$10*Historique!D88+$I$11*Historique!E88+$I$12*Historique!F88+$I$21*Historique!G88)</f>
        <v>-4374206.2998019112</v>
      </c>
      <c r="D88" s="13">
        <f>RL_NAV*($J$10*Historique!D88+$J$11*Historique!E88+$J$12*Historique!F88+$J$21*Historique!G88)</f>
        <v>-4354607.2448143866</v>
      </c>
      <c r="E88" s="20">
        <f t="shared" si="2"/>
        <v>0</v>
      </c>
      <c r="F88" s="20">
        <f t="shared" si="3"/>
        <v>0</v>
      </c>
    </row>
    <row r="89" spans="2:6" x14ac:dyDescent="0.2">
      <c r="B89" s="19">
        <f>Historique!B89</f>
        <v>44522</v>
      </c>
      <c r="C89" s="13">
        <f>RL_NAV*($I$10*Historique!D89+$I$11*Historique!E89+$I$12*Historique!F89+$I$21*Historique!G89)</f>
        <v>1029226.9050068057</v>
      </c>
      <c r="D89" s="13">
        <f>RL_NAV*($J$10*Historique!D89+$J$11*Historique!E89+$J$12*Historique!F89+$J$21*Historique!G89)</f>
        <v>1017112.1862484661</v>
      </c>
      <c r="E89" s="20">
        <f t="shared" si="2"/>
        <v>0</v>
      </c>
      <c r="F89" s="20">
        <f t="shared" si="3"/>
        <v>0</v>
      </c>
    </row>
    <row r="90" spans="2:6" x14ac:dyDescent="0.2">
      <c r="B90" s="19">
        <f>Historique!B90</f>
        <v>44523</v>
      </c>
      <c r="C90" s="13">
        <f>RL_NAV*($I$10*Historique!D90+$I$11*Historique!E90+$I$12*Historique!F90+$I$21*Historique!G90)</f>
        <v>9401613.7442642823</v>
      </c>
      <c r="D90" s="13">
        <f>RL_NAV*($J$10*Historique!D90+$J$11*Historique!E90+$J$12*Historique!F90+$J$21*Historique!G90)</f>
        <v>9241495.4518676009</v>
      </c>
      <c r="E90" s="20">
        <f t="shared" si="2"/>
        <v>0</v>
      </c>
      <c r="F90" s="20">
        <f t="shared" si="3"/>
        <v>0</v>
      </c>
    </row>
    <row r="91" spans="2:6" x14ac:dyDescent="0.2">
      <c r="B91" s="19">
        <f>Historique!B91</f>
        <v>44524</v>
      </c>
      <c r="C91" s="13">
        <f>RL_NAV*($I$10*Historique!D91+$I$11*Historique!E91+$I$12*Historique!F91+$I$21*Historique!G91)</f>
        <v>-167411.0873435309</v>
      </c>
      <c r="D91" s="13">
        <f>RL_NAV*($J$10*Historique!D91+$J$11*Historique!E91+$J$12*Historique!F91+$J$21*Historique!G91)</f>
        <v>-162036.31597097695</v>
      </c>
      <c r="E91" s="20">
        <f t="shared" si="2"/>
        <v>0</v>
      </c>
      <c r="F91" s="20">
        <f t="shared" si="3"/>
        <v>0</v>
      </c>
    </row>
    <row r="92" spans="2:6" x14ac:dyDescent="0.2">
      <c r="B92" s="19">
        <f>Historique!B92</f>
        <v>44525</v>
      </c>
      <c r="C92" s="13">
        <f>RL_NAV*($I$10*Historique!D92+$I$11*Historique!E92+$I$12*Historique!F92+$I$21*Historique!G92)</f>
        <v>3194852.6797416373</v>
      </c>
      <c r="D92" s="13">
        <f>RL_NAV*($J$10*Historique!D92+$J$11*Historique!E92+$J$12*Historique!F92+$J$21*Historique!G92)</f>
        <v>3118225.9585800758</v>
      </c>
      <c r="E92" s="20">
        <f t="shared" si="2"/>
        <v>0</v>
      </c>
      <c r="F92" s="20">
        <f t="shared" si="3"/>
        <v>0</v>
      </c>
    </row>
    <row r="93" spans="2:6" x14ac:dyDescent="0.2">
      <c r="B93" s="19">
        <f>Historique!B93</f>
        <v>44526</v>
      </c>
      <c r="C93" s="13">
        <f>RL_NAV*($I$10*Historique!D93+$I$11*Historique!E93+$I$12*Historique!F93+$I$21*Historique!G93)</f>
        <v>5862266.8187225033</v>
      </c>
      <c r="D93" s="13">
        <f>RL_NAV*($J$10*Historique!D93+$J$11*Historique!E93+$J$12*Historique!F93+$J$21*Historique!G93)</f>
        <v>5602557.6001666412</v>
      </c>
      <c r="E93" s="20">
        <f t="shared" si="2"/>
        <v>0</v>
      </c>
      <c r="F93" s="20">
        <f t="shared" si="3"/>
        <v>0</v>
      </c>
    </row>
    <row r="94" spans="2:6" x14ac:dyDescent="0.2">
      <c r="B94" s="19">
        <f>Historique!B94</f>
        <v>44529</v>
      </c>
      <c r="C94" s="13">
        <f>RL_NAV*($I$10*Historique!D94+$I$11*Historique!E94+$I$12*Historique!F94+$I$21*Historique!G94)</f>
        <v>5070000.8074288275</v>
      </c>
      <c r="D94" s="13">
        <f>RL_NAV*($J$10*Historique!D94+$J$11*Historique!E94+$J$12*Historique!F94+$J$21*Historique!G94)</f>
        <v>4982404.1140400507</v>
      </c>
      <c r="E94" s="20">
        <f t="shared" si="2"/>
        <v>0</v>
      </c>
      <c r="F94" s="20">
        <f t="shared" si="3"/>
        <v>0</v>
      </c>
    </row>
    <row r="95" spans="2:6" x14ac:dyDescent="0.2">
      <c r="B95" s="19">
        <f>Historique!B95</f>
        <v>44530</v>
      </c>
      <c r="C95" s="13">
        <f>RL_NAV*($I$10*Historique!D95+$I$11*Historique!E95+$I$12*Historique!F95+$I$21*Historique!G95)</f>
        <v>-557033.56671534199</v>
      </c>
      <c r="D95" s="13">
        <f>RL_NAV*($J$10*Historique!D95+$J$11*Historique!E95+$J$12*Historique!F95+$J$21*Historique!G95)</f>
        <v>-596441.38104842033</v>
      </c>
      <c r="E95" s="20">
        <f t="shared" si="2"/>
        <v>0</v>
      </c>
      <c r="F95" s="20">
        <f t="shared" si="3"/>
        <v>0</v>
      </c>
    </row>
    <row r="96" spans="2:6" x14ac:dyDescent="0.2">
      <c r="B96" s="19">
        <f>Historique!B96</f>
        <v>44531</v>
      </c>
      <c r="C96" s="13">
        <f>RL_NAV*($I$10*Historique!D96+$I$11*Historique!E96+$I$12*Historique!F96+$I$21*Historique!G96)</f>
        <v>-523349.90146538947</v>
      </c>
      <c r="D96" s="13">
        <f>RL_NAV*($J$10*Historique!D96+$J$11*Historique!E96+$J$12*Historique!F96+$J$21*Historique!G96)</f>
        <v>-404780.7823972113</v>
      </c>
      <c r="E96" s="20">
        <f t="shared" si="2"/>
        <v>0</v>
      </c>
      <c r="F96" s="20">
        <f t="shared" si="3"/>
        <v>0</v>
      </c>
    </row>
    <row r="97" spans="2:6" x14ac:dyDescent="0.2">
      <c r="B97" s="19">
        <f>Historique!B97</f>
        <v>44532</v>
      </c>
      <c r="C97" s="13">
        <f>RL_NAV*($I$10*Historique!D97+$I$11*Historique!E97+$I$12*Historique!F97+$I$21*Historique!G97)</f>
        <v>-8438984.5161357559</v>
      </c>
      <c r="D97" s="13">
        <f>RL_NAV*($J$10*Historique!D97+$J$11*Historique!E97+$J$12*Historique!F97+$J$21*Historique!G97)</f>
        <v>-8287927.6519619869</v>
      </c>
      <c r="E97" s="20">
        <f t="shared" si="2"/>
        <v>0</v>
      </c>
      <c r="F97" s="20">
        <f t="shared" si="3"/>
        <v>0</v>
      </c>
    </row>
    <row r="98" spans="2:6" x14ac:dyDescent="0.2">
      <c r="B98" s="19">
        <f>Historique!B98</f>
        <v>44533</v>
      </c>
      <c r="C98" s="13">
        <f>RL_NAV*($I$10*Historique!D98+$I$11*Historique!E98+$I$12*Historique!F98+$I$21*Historique!G98)</f>
        <v>-986785.55712421436</v>
      </c>
      <c r="D98" s="13">
        <f>RL_NAV*($J$10*Historique!D98+$J$11*Historique!E98+$J$12*Historique!F98+$J$21*Historique!G98)</f>
        <v>-925108.11806547001</v>
      </c>
      <c r="E98" s="20">
        <f t="shared" si="2"/>
        <v>0</v>
      </c>
      <c r="F98" s="20">
        <f t="shared" si="3"/>
        <v>0</v>
      </c>
    </row>
    <row r="99" spans="2:6" x14ac:dyDescent="0.2">
      <c r="B99" s="19">
        <f>Historique!B99</f>
        <v>44536</v>
      </c>
      <c r="C99" s="13">
        <f>RL_NAV*($I$10*Historique!D99+$I$11*Historique!E99+$I$12*Historique!F99+$I$21*Historique!G99)</f>
        <v>-5583160.2110518087</v>
      </c>
      <c r="D99" s="13">
        <f>RL_NAV*($J$10*Historique!D99+$J$11*Historique!E99+$J$12*Historique!F99+$J$21*Historique!G99)</f>
        <v>-5466054.3568919348</v>
      </c>
      <c r="E99" s="20">
        <f t="shared" si="2"/>
        <v>0</v>
      </c>
      <c r="F99" s="20">
        <f t="shared" si="3"/>
        <v>0</v>
      </c>
    </row>
    <row r="100" spans="2:6" x14ac:dyDescent="0.2">
      <c r="B100" s="19">
        <f>Historique!B100</f>
        <v>44537</v>
      </c>
      <c r="C100" s="13">
        <f>RL_NAV*($I$10*Historique!D100+$I$11*Historique!E100+$I$12*Historique!F100+$I$21*Historique!G100)</f>
        <v>1359730.3224759568</v>
      </c>
      <c r="D100" s="13">
        <f>RL_NAV*($J$10*Historique!D100+$J$11*Historique!E100+$J$12*Historique!F100+$J$21*Historique!G100)</f>
        <v>1377378.2755800777</v>
      </c>
      <c r="E100" s="20">
        <f t="shared" si="2"/>
        <v>0</v>
      </c>
      <c r="F100" s="20">
        <f t="shared" si="3"/>
        <v>0</v>
      </c>
    </row>
    <row r="101" spans="2:6" x14ac:dyDescent="0.2">
      <c r="B101" s="19">
        <f>Historique!B101</f>
        <v>44538</v>
      </c>
      <c r="C101" s="13">
        <f>RL_NAV*($I$10*Historique!D101+$I$11*Historique!E101+$I$12*Historique!F101+$I$21*Historique!G101)</f>
        <v>3338233.4193157102</v>
      </c>
      <c r="D101" s="13">
        <f>RL_NAV*($J$10*Historique!D101+$J$11*Historique!E101+$J$12*Historique!F101+$J$21*Historique!G101)</f>
        <v>3316094.9689653143</v>
      </c>
      <c r="E101" s="20">
        <f t="shared" si="2"/>
        <v>0</v>
      </c>
      <c r="F101" s="20">
        <f t="shared" si="3"/>
        <v>0</v>
      </c>
    </row>
    <row r="102" spans="2:6" x14ac:dyDescent="0.2">
      <c r="B102" s="19">
        <f>Historique!B102</f>
        <v>44539</v>
      </c>
      <c r="C102" s="13">
        <f>RL_NAV*($I$10*Historique!D102+$I$11*Historique!E102+$I$12*Historique!F102+$I$21*Historique!G102)</f>
        <v>-8856211.6115552243</v>
      </c>
      <c r="D102" s="13">
        <f>RL_NAV*($J$10*Historique!D102+$J$11*Historique!E102+$J$12*Historique!F102+$J$21*Historique!G102)</f>
        <v>-8686337.2561294381</v>
      </c>
      <c r="E102" s="20">
        <f t="shared" si="2"/>
        <v>0</v>
      </c>
      <c r="F102" s="20">
        <f t="shared" si="3"/>
        <v>0</v>
      </c>
    </row>
    <row r="103" spans="2:6" x14ac:dyDescent="0.2">
      <c r="B103" s="19">
        <f>Historique!B103</f>
        <v>44540</v>
      </c>
      <c r="C103" s="13">
        <f>RL_NAV*($I$10*Historique!D103+$I$11*Historique!E103+$I$12*Historique!F103+$I$21*Historique!G103)</f>
        <v>2652615.568714445</v>
      </c>
      <c r="D103" s="13">
        <f>RL_NAV*($J$10*Historique!D103+$J$11*Historique!E103+$J$12*Historique!F103+$J$21*Historique!G103)</f>
        <v>2598802.7843000479</v>
      </c>
      <c r="E103" s="20">
        <f t="shared" si="2"/>
        <v>0</v>
      </c>
      <c r="F103" s="20">
        <f t="shared" si="3"/>
        <v>0</v>
      </c>
    </row>
    <row r="104" spans="2:6" x14ac:dyDescent="0.2">
      <c r="B104" s="19">
        <f>Historique!B104</f>
        <v>44543</v>
      </c>
      <c r="C104" s="13">
        <f>RL_NAV*($I$10*Historique!D104+$I$11*Historique!E104+$I$12*Historique!F104+$I$21*Historique!G104)</f>
        <v>16621.633830835231</v>
      </c>
      <c r="D104" s="13">
        <f>RL_NAV*($J$10*Historique!D104+$J$11*Historique!E104+$J$12*Historique!F104+$J$21*Historique!G104)</f>
        <v>756.23357315598105</v>
      </c>
      <c r="E104" s="20">
        <f t="shared" si="2"/>
        <v>0</v>
      </c>
      <c r="F104" s="20">
        <f t="shared" si="3"/>
        <v>0</v>
      </c>
    </row>
    <row r="105" spans="2:6" x14ac:dyDescent="0.2">
      <c r="B105" s="19">
        <f>Historique!B105</f>
        <v>44545</v>
      </c>
      <c r="C105" s="13">
        <f>RL_NAV*($I$10*Historique!D105+$I$11*Historique!E105+$I$12*Historique!F105+$I$21*Historique!G105)</f>
        <v>1775870.0700455883</v>
      </c>
      <c r="D105" s="13">
        <f>RL_NAV*($J$10*Historique!D105+$J$11*Historique!E105+$J$12*Historique!F105+$J$21*Historique!G105)</f>
        <v>1753507.7651993956</v>
      </c>
      <c r="E105" s="20">
        <f t="shared" si="2"/>
        <v>0</v>
      </c>
      <c r="F105" s="20">
        <f t="shared" si="3"/>
        <v>0</v>
      </c>
    </row>
    <row r="106" spans="2:6" x14ac:dyDescent="0.2">
      <c r="B106" s="19">
        <f>Historique!B106</f>
        <v>44546</v>
      </c>
      <c r="C106" s="13">
        <f>RL_NAV*($I$10*Historique!D106+$I$11*Historique!E106+$I$12*Historique!F106+$I$21*Historique!G106)</f>
        <v>-1469764.5242260408</v>
      </c>
      <c r="D106" s="13">
        <f>RL_NAV*($J$10*Historique!D106+$J$11*Historique!E106+$J$12*Historique!F106+$J$21*Historique!G106)</f>
        <v>-1442256.4637425009</v>
      </c>
      <c r="E106" s="20">
        <f t="shared" si="2"/>
        <v>0</v>
      </c>
      <c r="F106" s="20">
        <f t="shared" si="3"/>
        <v>0</v>
      </c>
    </row>
    <row r="107" spans="2:6" x14ac:dyDescent="0.2">
      <c r="B107" s="19">
        <f>Historique!B107</f>
        <v>44547</v>
      </c>
      <c r="C107" s="13">
        <f>RL_NAV*($I$10*Historique!D107+$I$11*Historique!E107+$I$12*Historique!F107+$I$21*Historique!G107)</f>
        <v>-6310787.1170238182</v>
      </c>
      <c r="D107" s="13">
        <f>RL_NAV*($J$10*Historique!D107+$J$11*Historique!E107+$J$12*Historique!F107+$J$21*Historique!G107)</f>
        <v>-6185099.0500728292</v>
      </c>
      <c r="E107" s="20">
        <f t="shared" si="2"/>
        <v>0</v>
      </c>
      <c r="F107" s="20">
        <f t="shared" si="3"/>
        <v>0</v>
      </c>
    </row>
    <row r="108" spans="2:6" x14ac:dyDescent="0.2">
      <c r="B108" s="19">
        <f>Historique!B108</f>
        <v>44550</v>
      </c>
      <c r="C108" s="13">
        <f>RL_NAV*($I$10*Historique!D108+$I$11*Historique!E108+$I$12*Historique!F108+$I$21*Historique!G108)</f>
        <v>3232794.8949830984</v>
      </c>
      <c r="D108" s="13">
        <f>RL_NAV*($J$10*Historique!D108+$J$11*Historique!E108+$J$12*Historique!F108+$J$21*Historique!G108)</f>
        <v>3138535.4299969627</v>
      </c>
      <c r="E108" s="20">
        <f t="shared" si="2"/>
        <v>0</v>
      </c>
      <c r="F108" s="20">
        <f t="shared" si="3"/>
        <v>0</v>
      </c>
    </row>
    <row r="109" spans="2:6" x14ac:dyDescent="0.2">
      <c r="B109" s="19">
        <f>Historique!B109</f>
        <v>44551</v>
      </c>
      <c r="C109" s="13">
        <f>RL_NAV*($I$10*Historique!D109+$I$11*Historique!E109+$I$12*Historique!F109+$I$21*Historique!G109)</f>
        <v>1848451.1779011181</v>
      </c>
      <c r="D109" s="13">
        <f>RL_NAV*($J$10*Historique!D109+$J$11*Historique!E109+$J$12*Historique!F109+$J$21*Historique!G109)</f>
        <v>1855904.0310746911</v>
      </c>
      <c r="E109" s="20">
        <f t="shared" si="2"/>
        <v>0</v>
      </c>
      <c r="F109" s="20">
        <f t="shared" si="3"/>
        <v>0</v>
      </c>
    </row>
    <row r="110" spans="2:6" x14ac:dyDescent="0.2">
      <c r="B110" s="19">
        <f>Historique!B110</f>
        <v>44552</v>
      </c>
      <c r="C110" s="13">
        <f>RL_NAV*($I$10*Historique!D110+$I$11*Historique!E110+$I$12*Historique!F110+$I$21*Historique!G110)</f>
        <v>464417.30302372889</v>
      </c>
      <c r="D110" s="13">
        <f>RL_NAV*($J$10*Historique!D110+$J$11*Historique!E110+$J$12*Historique!F110+$J$21*Historique!G110)</f>
        <v>509284.96316138352</v>
      </c>
      <c r="E110" s="20">
        <f t="shared" si="2"/>
        <v>0</v>
      </c>
      <c r="F110" s="20">
        <f t="shared" si="3"/>
        <v>0</v>
      </c>
    </row>
    <row r="111" spans="2:6" x14ac:dyDescent="0.2">
      <c r="B111" s="19">
        <f>Historique!B111</f>
        <v>44553</v>
      </c>
      <c r="C111" s="13">
        <f>RL_NAV*($I$10*Historique!D111+$I$11*Historique!E111+$I$12*Historique!F111+$I$21*Historique!G111)</f>
        <v>3186916.9112351835</v>
      </c>
      <c r="D111" s="13">
        <f>RL_NAV*($J$10*Historique!D111+$J$11*Historique!E111+$J$12*Historique!F111+$J$21*Historique!G111)</f>
        <v>3138793.1544085788</v>
      </c>
      <c r="E111" s="20">
        <f t="shared" si="2"/>
        <v>0</v>
      </c>
      <c r="F111" s="20">
        <f t="shared" si="3"/>
        <v>0</v>
      </c>
    </row>
    <row r="112" spans="2:6" x14ac:dyDescent="0.2">
      <c r="B112" s="19">
        <f>Historique!B112</f>
        <v>44557</v>
      </c>
      <c r="C112" s="13">
        <f>RL_NAV*($I$10*Historique!D112+$I$11*Historique!E112+$I$12*Historique!F112+$I$21*Historique!G112)</f>
        <v>1184294.8736154658</v>
      </c>
      <c r="D112" s="13">
        <f>RL_NAV*($J$10*Historique!D112+$J$11*Historique!E112+$J$12*Historique!F112+$J$21*Historique!G112)</f>
        <v>1173195.7292231594</v>
      </c>
      <c r="E112" s="20">
        <f t="shared" si="2"/>
        <v>0</v>
      </c>
      <c r="F112" s="20">
        <f t="shared" si="3"/>
        <v>0</v>
      </c>
    </row>
    <row r="113" spans="2:6" x14ac:dyDescent="0.2">
      <c r="B113" s="19">
        <f>Historique!B113</f>
        <v>44558</v>
      </c>
      <c r="C113" s="13">
        <f>RL_NAV*($I$10*Historique!D113+$I$11*Historique!E113+$I$12*Historique!F113+$I$21*Historique!G113)</f>
        <v>-1183111.1327335641</v>
      </c>
      <c r="D113" s="13">
        <f>RL_NAV*($J$10*Historique!D113+$J$11*Historique!E113+$J$12*Historique!F113+$J$21*Historique!G113)</f>
        <v>-1144861.7173157136</v>
      </c>
      <c r="E113" s="20">
        <f t="shared" si="2"/>
        <v>0</v>
      </c>
      <c r="F113" s="20">
        <f t="shared" si="3"/>
        <v>0</v>
      </c>
    </row>
    <row r="114" spans="2:6" x14ac:dyDescent="0.2">
      <c r="B114" s="19">
        <f>Historique!B114</f>
        <v>44559</v>
      </c>
      <c r="C114" s="13">
        <f>RL_NAV*($I$10*Historique!D114+$I$11*Historique!E114+$I$12*Historique!F114+$I$21*Historique!G114)</f>
        <v>2638767.4361563232</v>
      </c>
      <c r="D114" s="13">
        <f>RL_NAV*($J$10*Historique!D114+$J$11*Historique!E114+$J$12*Historique!F114+$J$21*Historique!G114)</f>
        <v>2594833.3033975107</v>
      </c>
      <c r="E114" s="20">
        <f t="shared" si="2"/>
        <v>0</v>
      </c>
      <c r="F114" s="20">
        <f t="shared" si="3"/>
        <v>0</v>
      </c>
    </row>
    <row r="115" spans="2:6" x14ac:dyDescent="0.2">
      <c r="B115" s="19">
        <f>Historique!B115</f>
        <v>44560</v>
      </c>
      <c r="C115" s="13">
        <f>RL_NAV*($I$10*Historique!D115+$I$11*Historique!E115+$I$12*Historique!F115+$I$21*Historique!G115)</f>
        <v>234807.81669952234</v>
      </c>
      <c r="D115" s="13">
        <f>RL_NAV*($J$10*Historique!D115+$J$11*Historique!E115+$J$12*Historique!F115+$J$21*Historique!G115)</f>
        <v>257652.40030642538</v>
      </c>
      <c r="E115" s="20">
        <f t="shared" si="2"/>
        <v>0</v>
      </c>
      <c r="F115" s="20">
        <f t="shared" si="3"/>
        <v>0</v>
      </c>
    </row>
    <row r="116" spans="2:6" x14ac:dyDescent="0.2">
      <c r="B116" s="19">
        <f>Historique!B116</f>
        <v>44564</v>
      </c>
      <c r="C116" s="13">
        <f>RL_NAV*($I$10*Historique!D116+$I$11*Historique!E116+$I$12*Historique!F116+$I$21*Historique!G116)</f>
        <v>7364364.159826667</v>
      </c>
      <c r="D116" s="13">
        <f>RL_NAV*($J$10*Historique!D116+$J$11*Historique!E116+$J$12*Historique!F116+$J$21*Historique!G116)</f>
        <v>7230284.1111221127</v>
      </c>
      <c r="E116" s="20">
        <f t="shared" si="2"/>
        <v>0</v>
      </c>
      <c r="F116" s="20">
        <f t="shared" si="3"/>
        <v>0</v>
      </c>
    </row>
    <row r="117" spans="2:6" x14ac:dyDescent="0.2">
      <c r="B117" s="19">
        <f>Historique!B117</f>
        <v>44565</v>
      </c>
      <c r="C117" s="13">
        <f>RL_NAV*($I$10*Historique!D117+$I$11*Historique!E117+$I$12*Historique!F117+$I$21*Historique!G117)</f>
        <v>-2757936.4712736076</v>
      </c>
      <c r="D117" s="13">
        <f>RL_NAV*($J$10*Historique!D117+$J$11*Historique!E117+$J$12*Historique!F117+$J$21*Historique!G117)</f>
        <v>-2683930.4142244137</v>
      </c>
      <c r="E117" s="20">
        <f t="shared" si="2"/>
        <v>0</v>
      </c>
      <c r="F117" s="20">
        <f t="shared" si="3"/>
        <v>0</v>
      </c>
    </row>
    <row r="118" spans="2:6" x14ac:dyDescent="0.2">
      <c r="B118" s="19">
        <f>Historique!B118</f>
        <v>44566</v>
      </c>
      <c r="C118" s="13">
        <f>RL_NAV*($I$10*Historique!D118+$I$11*Historique!E118+$I$12*Historique!F118+$I$21*Historique!G118)</f>
        <v>-129331.4791707648</v>
      </c>
      <c r="D118" s="13">
        <f>RL_NAV*($J$10*Historique!D118+$J$11*Historique!E118+$J$12*Historique!F118+$J$21*Historique!G118)</f>
        <v>-101612.59960926454</v>
      </c>
      <c r="E118" s="20">
        <f t="shared" si="2"/>
        <v>0</v>
      </c>
      <c r="F118" s="20">
        <f t="shared" si="3"/>
        <v>0</v>
      </c>
    </row>
    <row r="119" spans="2:6" x14ac:dyDescent="0.2">
      <c r="B119" s="19">
        <f>Historique!B119</f>
        <v>44567</v>
      </c>
      <c r="C119" s="13">
        <f>RL_NAV*($I$10*Historique!D119+$I$11*Historique!E119+$I$12*Historique!F119+$I$21*Historique!G119)</f>
        <v>-385733.92554523685</v>
      </c>
      <c r="D119" s="13">
        <f>RL_NAV*($J$10*Historique!D119+$J$11*Historique!E119+$J$12*Historique!F119+$J$21*Historique!G119)</f>
        <v>-334300.6277694006</v>
      </c>
      <c r="E119" s="20">
        <f t="shared" si="2"/>
        <v>0</v>
      </c>
      <c r="F119" s="20">
        <f t="shared" si="3"/>
        <v>0</v>
      </c>
    </row>
    <row r="120" spans="2:6" x14ac:dyDescent="0.2">
      <c r="B120" s="19">
        <f>Historique!B120</f>
        <v>44568</v>
      </c>
      <c r="C120" s="13">
        <f>RL_NAV*($I$10*Historique!D120+$I$11*Historique!E120+$I$12*Historique!F120+$I$21*Historique!G120)</f>
        <v>3352995.728759978</v>
      </c>
      <c r="D120" s="13">
        <f>RL_NAV*($J$10*Historique!D120+$J$11*Historique!E120+$J$12*Historique!F120+$J$21*Historique!G120)</f>
        <v>3289156.8479722454</v>
      </c>
      <c r="E120" s="20">
        <f t="shared" si="2"/>
        <v>0</v>
      </c>
      <c r="F120" s="20">
        <f t="shared" si="3"/>
        <v>0</v>
      </c>
    </row>
    <row r="121" spans="2:6" x14ac:dyDescent="0.2">
      <c r="B121" s="19">
        <f>Historique!B121</f>
        <v>44571</v>
      </c>
      <c r="C121" s="13">
        <f>RL_NAV*($I$10*Historique!D121+$I$11*Historique!E121+$I$12*Historique!F121+$I$21*Historique!G121)</f>
        <v>1073171.7902513745</v>
      </c>
      <c r="D121" s="13">
        <f>RL_NAV*($J$10*Historique!D121+$J$11*Historique!E121+$J$12*Historique!F121+$J$21*Historique!G121)</f>
        <v>1077438.3755095757</v>
      </c>
      <c r="E121" s="20">
        <f t="shared" si="2"/>
        <v>0</v>
      </c>
      <c r="F121" s="20">
        <f t="shared" si="3"/>
        <v>0</v>
      </c>
    </row>
    <row r="122" spans="2:6" x14ac:dyDescent="0.2">
      <c r="B122" s="19">
        <f>Historique!B122</f>
        <v>44572</v>
      </c>
      <c r="C122" s="13">
        <f>RL_NAV*($I$10*Historique!D122+$I$11*Historique!E122+$I$12*Historique!F122+$I$21*Historique!G122)</f>
        <v>5468356.9570644889</v>
      </c>
      <c r="D122" s="13">
        <f>RL_NAV*($J$10*Historique!D122+$J$11*Historique!E122+$J$12*Historique!F122+$J$21*Historique!G122)</f>
        <v>5336308.2164273215</v>
      </c>
      <c r="E122" s="20">
        <f t="shared" si="2"/>
        <v>0</v>
      </c>
      <c r="F122" s="20">
        <f t="shared" si="3"/>
        <v>0</v>
      </c>
    </row>
    <row r="123" spans="2:6" x14ac:dyDescent="0.2">
      <c r="B123" s="19">
        <f>Historique!B123</f>
        <v>44573</v>
      </c>
      <c r="C123" s="13">
        <f>RL_NAV*($I$10*Historique!D123+$I$11*Historique!E123+$I$12*Historique!F123+$I$21*Historique!G123)</f>
        <v>-4774953.0276579158</v>
      </c>
      <c r="D123" s="13">
        <f>RL_NAV*($J$10*Historique!D123+$J$11*Historique!E123+$J$12*Historique!F123+$J$21*Historique!G123)</f>
        <v>-4690675.4425937682</v>
      </c>
      <c r="E123" s="20">
        <f t="shared" si="2"/>
        <v>0</v>
      </c>
      <c r="F123" s="20">
        <f t="shared" si="3"/>
        <v>0</v>
      </c>
    </row>
    <row r="124" spans="2:6" x14ac:dyDescent="0.2">
      <c r="B124" s="19">
        <f>Historique!B124</f>
        <v>44574</v>
      </c>
      <c r="C124" s="13">
        <f>RL_NAV*($I$10*Historique!D124+$I$11*Historique!E124+$I$12*Historique!F124+$I$21*Historique!G124)</f>
        <v>378496.0124437671</v>
      </c>
      <c r="D124" s="13">
        <f>RL_NAV*($J$10*Historique!D124+$J$11*Historique!E124+$J$12*Historique!F124+$J$21*Historique!G124)</f>
        <v>367241.67057239317</v>
      </c>
      <c r="E124" s="20">
        <f t="shared" si="2"/>
        <v>0</v>
      </c>
      <c r="F124" s="20">
        <f t="shared" si="3"/>
        <v>0</v>
      </c>
    </row>
    <row r="125" spans="2:6" x14ac:dyDescent="0.2">
      <c r="B125" s="19">
        <f>Historique!B125</f>
        <v>44575</v>
      </c>
      <c r="C125" s="13">
        <f>RL_NAV*($I$10*Historique!D125+$I$11*Historique!E125+$I$12*Historique!F125+$I$21*Historique!G125)</f>
        <v>4903314.1941849422</v>
      </c>
      <c r="D125" s="13">
        <f>RL_NAV*($J$10*Historique!D125+$J$11*Historique!E125+$J$12*Historique!F125+$J$21*Historique!G125)</f>
        <v>4792850.8762281965</v>
      </c>
      <c r="E125" s="20">
        <f t="shared" si="2"/>
        <v>0</v>
      </c>
      <c r="F125" s="20">
        <f t="shared" si="3"/>
        <v>0</v>
      </c>
    </row>
    <row r="126" spans="2:6" x14ac:dyDescent="0.2">
      <c r="B126" s="19">
        <f>Historique!B126</f>
        <v>44578</v>
      </c>
      <c r="C126" s="13">
        <f>RL_NAV*($I$10*Historique!D126+$I$11*Historique!E126+$I$12*Historique!F126+$I$21*Historique!G126)</f>
        <v>5615322.6546179159</v>
      </c>
      <c r="D126" s="13">
        <f>RL_NAV*($J$10*Historique!D126+$J$11*Historique!E126+$J$12*Historique!F126+$J$21*Historique!G126)</f>
        <v>5521986.3705304153</v>
      </c>
      <c r="E126" s="20">
        <f t="shared" si="2"/>
        <v>0</v>
      </c>
      <c r="F126" s="20">
        <f t="shared" si="3"/>
        <v>0</v>
      </c>
    </row>
    <row r="127" spans="2:6" x14ac:dyDescent="0.2">
      <c r="B127" s="19">
        <f>Historique!B127</f>
        <v>44579</v>
      </c>
      <c r="C127" s="13">
        <f>RL_NAV*($I$10*Historique!D127+$I$11*Historique!E127+$I$12*Historique!F127+$I$21*Historique!G127)</f>
        <v>-246796.26981760495</v>
      </c>
      <c r="D127" s="13">
        <f>RL_NAV*($J$10*Historique!D127+$J$11*Historique!E127+$J$12*Historique!F127+$J$21*Historique!G127)</f>
        <v>-248202.97556278057</v>
      </c>
      <c r="E127" s="20">
        <f t="shared" si="2"/>
        <v>0</v>
      </c>
      <c r="F127" s="20">
        <f t="shared" si="3"/>
        <v>0</v>
      </c>
    </row>
    <row r="128" spans="2:6" x14ac:dyDescent="0.2">
      <c r="B128" s="19">
        <f>Historique!B128</f>
        <v>44580</v>
      </c>
      <c r="C128" s="13">
        <f>RL_NAV*($I$10*Historique!D128+$I$11*Historique!E128+$I$12*Historique!F128+$I$21*Historique!G128)</f>
        <v>2270791.6519982936</v>
      </c>
      <c r="D128" s="13">
        <f>RL_NAV*($J$10*Historique!D128+$J$11*Historique!E128+$J$12*Historique!F128+$J$21*Historique!G128)</f>
        <v>2233678.0572318821</v>
      </c>
      <c r="E128" s="20">
        <f t="shared" si="2"/>
        <v>0</v>
      </c>
      <c r="F128" s="20">
        <f t="shared" si="3"/>
        <v>0</v>
      </c>
    </row>
    <row r="129" spans="2:6" x14ac:dyDescent="0.2">
      <c r="B129" s="19">
        <f>Historique!B129</f>
        <v>44581</v>
      </c>
      <c r="C129" s="13">
        <f>RL_NAV*($I$10*Historique!D129+$I$11*Historique!E129+$I$12*Historique!F129+$I$21*Historique!G129)</f>
        <v>-1084874.0045858044</v>
      </c>
      <c r="D129" s="13">
        <f>RL_NAV*($J$10*Historique!D129+$J$11*Historique!E129+$J$12*Historique!F129+$J$21*Historique!G129)</f>
        <v>-1084982.5635472396</v>
      </c>
      <c r="E129" s="20">
        <f t="shared" si="2"/>
        <v>0</v>
      </c>
      <c r="F129" s="20">
        <f t="shared" si="3"/>
        <v>0</v>
      </c>
    </row>
    <row r="130" spans="2:6" x14ac:dyDescent="0.2">
      <c r="B130" s="19">
        <f>Historique!B130</f>
        <v>44582</v>
      </c>
      <c r="C130" s="13">
        <f>RL_NAV*($I$10*Historique!D130+$I$11*Historique!E130+$I$12*Historique!F130+$I$21*Historique!G130)</f>
        <v>-3076412.3984679757</v>
      </c>
      <c r="D130" s="13">
        <f>RL_NAV*($J$10*Historique!D130+$J$11*Historique!E130+$J$12*Historique!F130+$J$21*Historique!G130)</f>
        <v>-3060918.5510739214</v>
      </c>
      <c r="E130" s="20">
        <f t="shared" si="2"/>
        <v>0</v>
      </c>
      <c r="F130" s="20">
        <f t="shared" si="3"/>
        <v>0</v>
      </c>
    </row>
    <row r="131" spans="2:6" x14ac:dyDescent="0.2">
      <c r="B131" s="19">
        <f>Historique!B131</f>
        <v>44585</v>
      </c>
      <c r="C131" s="13">
        <f>RL_NAV*($I$10*Historique!D131+$I$11*Historique!E131+$I$12*Historique!F131+$I$21*Historique!G131)</f>
        <v>972069.46237591573</v>
      </c>
      <c r="D131" s="13">
        <f>RL_NAV*($J$10*Historique!D131+$J$11*Historique!E131+$J$12*Historique!F131+$J$21*Historique!G131)</f>
        <v>883242.64833981881</v>
      </c>
      <c r="E131" s="20">
        <f t="shared" si="2"/>
        <v>0</v>
      </c>
      <c r="F131" s="20">
        <f t="shared" si="3"/>
        <v>0</v>
      </c>
    </row>
    <row r="132" spans="2:6" x14ac:dyDescent="0.2">
      <c r="B132" s="19">
        <f>Historique!B132</f>
        <v>44586</v>
      </c>
      <c r="C132" s="13">
        <f>RL_NAV*($I$10*Historique!D132+$I$11*Historique!E132+$I$12*Historique!F132+$I$21*Historique!G132)</f>
        <v>1827372.104112121</v>
      </c>
      <c r="D132" s="13">
        <f>RL_NAV*($J$10*Historique!D132+$J$11*Historique!E132+$J$12*Historique!F132+$J$21*Historique!G132)</f>
        <v>1774425.4166783844</v>
      </c>
      <c r="E132" s="20">
        <f t="shared" si="2"/>
        <v>0</v>
      </c>
      <c r="F132" s="20">
        <f t="shared" si="3"/>
        <v>0</v>
      </c>
    </row>
    <row r="133" spans="2:6" x14ac:dyDescent="0.2">
      <c r="B133" s="19">
        <f>Historique!B133</f>
        <v>44587</v>
      </c>
      <c r="C133" s="13">
        <f>RL_NAV*($I$10*Historique!D133+$I$11*Historique!E133+$I$12*Historique!F133+$I$21*Historique!G133)</f>
        <v>4685593.3159687202</v>
      </c>
      <c r="D133" s="13">
        <f>RL_NAV*($J$10*Historique!D133+$J$11*Historique!E133+$J$12*Historique!F133+$J$21*Historique!G133)</f>
        <v>4603570.3108787909</v>
      </c>
      <c r="E133" s="20">
        <f t="shared" si="2"/>
        <v>0</v>
      </c>
      <c r="F133" s="20">
        <f t="shared" si="3"/>
        <v>0</v>
      </c>
    </row>
    <row r="134" spans="2:6" x14ac:dyDescent="0.2">
      <c r="B134" s="19">
        <f>Historique!B134</f>
        <v>44588</v>
      </c>
      <c r="C134" s="13">
        <f>RL_NAV*($I$10*Historique!D134+$I$11*Historique!E134+$I$12*Historique!F134+$I$21*Historique!G134)</f>
        <v>3039523.418075006</v>
      </c>
      <c r="D134" s="13">
        <f>RL_NAV*($J$10*Historique!D134+$J$11*Historique!E134+$J$12*Historique!F134+$J$21*Historique!G134)</f>
        <v>3015693.0155228716</v>
      </c>
      <c r="E134" s="20">
        <f t="shared" si="2"/>
        <v>0</v>
      </c>
      <c r="F134" s="20">
        <f t="shared" si="3"/>
        <v>0</v>
      </c>
    </row>
    <row r="135" spans="2:6" x14ac:dyDescent="0.2">
      <c r="B135" s="19">
        <f>Historique!B135</f>
        <v>44589</v>
      </c>
      <c r="C135" s="13">
        <f>RL_NAV*($I$10*Historique!D135+$I$11*Historique!E135+$I$12*Historique!F135+$I$21*Historique!G135)</f>
        <v>5482879.3296822691</v>
      </c>
      <c r="D135" s="13">
        <f>RL_NAV*($J$10*Historique!D135+$J$11*Historique!E135+$J$12*Historique!F135+$J$21*Historique!G135)</f>
        <v>5369780.7530259127</v>
      </c>
      <c r="E135" s="20">
        <f t="shared" ref="E135:E198" si="4">IF(C135&gt;$I$9,1,IF(C135=$I$9,($I$8-$I$18)/$I$19,0))/$I$8</f>
        <v>0</v>
      </c>
      <c r="F135" s="20">
        <f t="shared" ref="F135:F198" si="5">IF(D135&gt;$J$9,1,IF(D135=$J$9,($J$8-$J$18)/$J$19,0))/$J$8</f>
        <v>0</v>
      </c>
    </row>
    <row r="136" spans="2:6" x14ac:dyDescent="0.2">
      <c r="B136" s="19">
        <f>Historique!B136</f>
        <v>44592</v>
      </c>
      <c r="C136" s="13">
        <f>RL_NAV*($I$10*Historique!D136+$I$11*Historique!E136+$I$12*Historique!F136+$I$21*Historique!G136)</f>
        <v>9705843.8842130248</v>
      </c>
      <c r="D136" s="13">
        <f>RL_NAV*($J$10*Historique!D136+$J$11*Historique!E136+$J$12*Historique!F136+$J$21*Historique!G136)</f>
        <v>9570945.1646089647</v>
      </c>
      <c r="E136" s="20">
        <f t="shared" si="4"/>
        <v>0</v>
      </c>
      <c r="F136" s="20">
        <f t="shared" si="5"/>
        <v>0</v>
      </c>
    </row>
    <row r="137" spans="2:6" x14ac:dyDescent="0.2">
      <c r="B137" s="19">
        <f>Historique!B137</f>
        <v>44593</v>
      </c>
      <c r="C137" s="13">
        <f>RL_NAV*($I$10*Historique!D137+$I$11*Historique!E137+$I$12*Historique!F137+$I$21*Historique!G137)</f>
        <v>4992873.4748796327</v>
      </c>
      <c r="D137" s="13">
        <f>RL_NAV*($J$10*Historique!D137+$J$11*Historique!E137+$J$12*Historique!F137+$J$21*Historique!G137)</f>
        <v>4886778.7002445385</v>
      </c>
      <c r="E137" s="20">
        <f t="shared" si="4"/>
        <v>0</v>
      </c>
      <c r="F137" s="20">
        <f t="shared" si="5"/>
        <v>0</v>
      </c>
    </row>
    <row r="138" spans="2:6" x14ac:dyDescent="0.2">
      <c r="B138" s="19">
        <f>Historique!B138</f>
        <v>44594</v>
      </c>
      <c r="C138" s="13">
        <f>RL_NAV*($I$10*Historique!D138+$I$11*Historique!E138+$I$12*Historique!F138+$I$21*Historique!G138)</f>
        <v>-704856.37135180738</v>
      </c>
      <c r="D138" s="13">
        <f>RL_NAV*($J$10*Historique!D138+$J$11*Historique!E138+$J$12*Historique!F138+$J$21*Historique!G138)</f>
        <v>-641595.97515623656</v>
      </c>
      <c r="E138" s="20">
        <f t="shared" si="4"/>
        <v>0</v>
      </c>
      <c r="F138" s="20">
        <f t="shared" si="5"/>
        <v>0</v>
      </c>
    </row>
    <row r="139" spans="2:6" x14ac:dyDescent="0.2">
      <c r="B139" s="19">
        <f>Historique!B139</f>
        <v>44595</v>
      </c>
      <c r="C139" s="13">
        <f>RL_NAV*($I$10*Historique!D139+$I$11*Historique!E139+$I$12*Historique!F139+$I$21*Historique!G139)</f>
        <v>16584618.782496514</v>
      </c>
      <c r="D139" s="13">
        <f>RL_NAV*($J$10*Historique!D139+$J$11*Historique!E139+$J$12*Historique!F139+$J$21*Historique!G139)</f>
        <v>16370493.476320984</v>
      </c>
      <c r="E139" s="20">
        <f t="shared" si="4"/>
        <v>0</v>
      </c>
      <c r="F139" s="20">
        <f t="shared" si="5"/>
        <v>0</v>
      </c>
    </row>
    <row r="140" spans="2:6" x14ac:dyDescent="0.2">
      <c r="B140" s="19">
        <f>Historique!B140</f>
        <v>44596</v>
      </c>
      <c r="C140" s="13">
        <f>RL_NAV*($I$10*Historique!D140+$I$11*Historique!E140+$I$12*Historique!F140+$I$21*Historique!G140)</f>
        <v>24513239.630001731</v>
      </c>
      <c r="D140" s="13">
        <f>RL_NAV*($J$10*Historique!D140+$J$11*Historique!E140+$J$12*Historique!F140+$J$21*Historique!G140)</f>
        <v>24075442.909019276</v>
      </c>
      <c r="E140" s="20">
        <f t="shared" si="4"/>
        <v>0.1</v>
      </c>
      <c r="F140" s="20">
        <f t="shared" si="5"/>
        <v>0.1</v>
      </c>
    </row>
    <row r="141" spans="2:6" x14ac:dyDescent="0.2">
      <c r="B141" s="19">
        <f>Historique!B141</f>
        <v>44599</v>
      </c>
      <c r="C141" s="13">
        <f>RL_NAV*($I$10*Historique!D141+$I$11*Historique!E141+$I$12*Historique!F141+$I$21*Historique!G141)</f>
        <v>15317324.329958837</v>
      </c>
      <c r="D141" s="13">
        <f>RL_NAV*($J$10*Historique!D141+$J$11*Historique!E141+$J$12*Historique!F141+$J$21*Historique!G141)</f>
        <v>14954801.882876081</v>
      </c>
      <c r="E141" s="20">
        <f t="shared" si="4"/>
        <v>0</v>
      </c>
      <c r="F141" s="20">
        <f t="shared" si="5"/>
        <v>0</v>
      </c>
    </row>
    <row r="142" spans="2:6" x14ac:dyDescent="0.2">
      <c r="B142" s="19">
        <f>Historique!B142</f>
        <v>44600</v>
      </c>
      <c r="C142" s="13">
        <f>RL_NAV*($I$10*Historique!D142+$I$11*Historique!E142+$I$12*Historique!F142+$I$21*Historique!G142)</f>
        <v>7275419.7624918129</v>
      </c>
      <c r="D142" s="13">
        <f>RL_NAV*($J$10*Historique!D142+$J$11*Historique!E142+$J$12*Historique!F142+$J$21*Historique!G142)</f>
        <v>7091885.6430697422</v>
      </c>
      <c r="E142" s="20">
        <f t="shared" si="4"/>
        <v>0</v>
      </c>
      <c r="F142" s="20">
        <f t="shared" si="5"/>
        <v>0</v>
      </c>
    </row>
    <row r="143" spans="2:6" x14ac:dyDescent="0.2">
      <c r="B143" s="19">
        <f>Historique!B143</f>
        <v>44601</v>
      </c>
      <c r="C143" s="13">
        <f>RL_NAV*($I$10*Historique!D143+$I$11*Historique!E143+$I$12*Historique!F143+$I$21*Historique!G143)</f>
        <v>-12395225.370137328</v>
      </c>
      <c r="D143" s="13">
        <f>RL_NAV*($J$10*Historique!D143+$J$11*Historique!E143+$J$12*Historique!F143+$J$21*Historique!G143)</f>
        <v>-12166678.335108703</v>
      </c>
      <c r="E143" s="20">
        <f t="shared" si="4"/>
        <v>0</v>
      </c>
      <c r="F143" s="20">
        <f t="shared" si="5"/>
        <v>0</v>
      </c>
    </row>
    <row r="144" spans="2:6" x14ac:dyDescent="0.2">
      <c r="B144" s="19">
        <f>Historique!B144</f>
        <v>44602</v>
      </c>
      <c r="C144" s="13">
        <f>RL_NAV*($I$10*Historique!D144+$I$11*Historique!E144+$I$12*Historique!F144+$I$21*Historique!G144)</f>
        <v>-4027148.9920863439</v>
      </c>
      <c r="D144" s="13">
        <f>RL_NAV*($J$10*Historique!D144+$J$11*Historique!E144+$J$12*Historique!F144+$J$21*Historique!G144)</f>
        <v>-3865477.7468502764</v>
      </c>
      <c r="E144" s="20">
        <f t="shared" si="4"/>
        <v>0</v>
      </c>
      <c r="F144" s="20">
        <f t="shared" si="5"/>
        <v>0</v>
      </c>
    </row>
    <row r="145" spans="2:6" x14ac:dyDescent="0.2">
      <c r="B145" s="19">
        <f>Historique!B145</f>
        <v>44603</v>
      </c>
      <c r="C145" s="13">
        <f>RL_NAV*($I$10*Historique!D145+$I$11*Historique!E145+$I$12*Historique!F145+$I$21*Historique!G145)</f>
        <v>7437919.003519061</v>
      </c>
      <c r="D145" s="13">
        <f>RL_NAV*($J$10*Historique!D145+$J$11*Historique!E145+$J$12*Historique!F145+$J$21*Historique!G145)</f>
        <v>7263038.6824262571</v>
      </c>
      <c r="E145" s="20">
        <f t="shared" si="4"/>
        <v>0</v>
      </c>
      <c r="F145" s="20">
        <f t="shared" si="5"/>
        <v>0</v>
      </c>
    </row>
    <row r="146" spans="2:6" x14ac:dyDescent="0.2">
      <c r="B146" s="19">
        <f>Historique!B146</f>
        <v>44606</v>
      </c>
      <c r="C146" s="13">
        <f>RL_NAV*($I$10*Historique!D146+$I$11*Historique!E146+$I$12*Historique!F146+$I$21*Historique!G146)</f>
        <v>7418445.5006031999</v>
      </c>
      <c r="D146" s="13">
        <f>RL_NAV*($J$10*Historique!D146+$J$11*Historique!E146+$J$12*Historique!F146+$J$21*Historique!G146)</f>
        <v>7145703.8742280072</v>
      </c>
      <c r="E146" s="20">
        <f t="shared" si="4"/>
        <v>0</v>
      </c>
      <c r="F146" s="20">
        <f t="shared" si="5"/>
        <v>0</v>
      </c>
    </row>
    <row r="147" spans="2:6" x14ac:dyDescent="0.2">
      <c r="B147" s="19">
        <f>Historique!B147</f>
        <v>44607</v>
      </c>
      <c r="C147" s="13">
        <f>RL_NAV*($I$10*Historique!D147+$I$11*Historique!E147+$I$12*Historique!F147+$I$21*Historique!G147)</f>
        <v>3647028.2878414816</v>
      </c>
      <c r="D147" s="13">
        <f>RL_NAV*($J$10*Historique!D147+$J$11*Historique!E147+$J$12*Historique!F147+$J$21*Historique!G147)</f>
        <v>3628862.4873986328</v>
      </c>
      <c r="E147" s="20">
        <f t="shared" si="4"/>
        <v>0</v>
      </c>
      <c r="F147" s="20">
        <f t="shared" si="5"/>
        <v>0</v>
      </c>
    </row>
    <row r="148" spans="2:6" x14ac:dyDescent="0.2">
      <c r="B148" s="19">
        <f>Historique!B148</f>
        <v>44608</v>
      </c>
      <c r="C148" s="13">
        <f>RL_NAV*($I$10*Historique!D148+$I$11*Historique!E148+$I$12*Historique!F148+$I$21*Historique!G148)</f>
        <v>-11652946.085785806</v>
      </c>
      <c r="D148" s="13">
        <f>RL_NAV*($J$10*Historique!D148+$J$11*Historique!E148+$J$12*Historique!F148+$J$21*Historique!G148)</f>
        <v>-11424766.848721154</v>
      </c>
      <c r="E148" s="20">
        <f t="shared" si="4"/>
        <v>0</v>
      </c>
      <c r="F148" s="20">
        <f t="shared" si="5"/>
        <v>0</v>
      </c>
    </row>
    <row r="149" spans="2:6" x14ac:dyDescent="0.2">
      <c r="B149" s="19">
        <f>Historique!B149</f>
        <v>44609</v>
      </c>
      <c r="C149" s="13">
        <f>RL_NAV*($I$10*Historique!D149+$I$11*Historique!E149+$I$12*Historique!F149+$I$21*Historique!G149)</f>
        <v>-4133601.4454420065</v>
      </c>
      <c r="D149" s="13">
        <f>RL_NAV*($J$10*Historique!D149+$J$11*Historique!E149+$J$12*Historique!F149+$J$21*Historique!G149)</f>
        <v>-4089120.5664071315</v>
      </c>
      <c r="E149" s="20">
        <f t="shared" si="4"/>
        <v>0</v>
      </c>
      <c r="F149" s="20">
        <f t="shared" si="5"/>
        <v>0</v>
      </c>
    </row>
    <row r="150" spans="2:6" x14ac:dyDescent="0.2">
      <c r="B150" s="19">
        <f>Historique!B150</f>
        <v>44610</v>
      </c>
      <c r="C150" s="13">
        <f>RL_NAV*($I$10*Historique!D150+$I$11*Historique!E150+$I$12*Historique!F150+$I$21*Historique!G150)</f>
        <v>-2333265.3266598154</v>
      </c>
      <c r="D150" s="13">
        <f>RL_NAV*($J$10*Historique!D150+$J$11*Historique!E150+$J$12*Historique!F150+$J$21*Historique!G150)</f>
        <v>-2366391.8543591509</v>
      </c>
      <c r="E150" s="20">
        <f t="shared" si="4"/>
        <v>0</v>
      </c>
      <c r="F150" s="20">
        <f t="shared" si="5"/>
        <v>0</v>
      </c>
    </row>
    <row r="151" spans="2:6" x14ac:dyDescent="0.2">
      <c r="B151" s="19">
        <f>Historique!B151</f>
        <v>44613</v>
      </c>
      <c r="C151" s="13">
        <f>RL_NAV*($I$10*Historique!D151+$I$11*Historique!E151+$I$12*Historique!F151+$I$21*Historique!G151)</f>
        <v>-2316424.2848244524</v>
      </c>
      <c r="D151" s="13">
        <f>RL_NAV*($J$10*Historique!D151+$J$11*Historique!E151+$J$12*Historique!F151+$J$21*Historique!G151)</f>
        <v>-2259398.2325953399</v>
      </c>
      <c r="E151" s="20">
        <f t="shared" si="4"/>
        <v>0</v>
      </c>
      <c r="F151" s="20">
        <f t="shared" si="5"/>
        <v>0</v>
      </c>
    </row>
    <row r="152" spans="2:6" x14ac:dyDescent="0.2">
      <c r="B152" s="19">
        <f>Historique!B152</f>
        <v>44614</v>
      </c>
      <c r="C152" s="13">
        <f>RL_NAV*($I$10*Historique!D152+$I$11*Historique!E152+$I$12*Historique!F152+$I$21*Historique!G152)</f>
        <v>25287133.697302416</v>
      </c>
      <c r="D152" s="13">
        <f>RL_NAV*($J$10*Historique!D152+$J$11*Historique!E152+$J$12*Historique!F152+$J$21*Historique!G152)</f>
        <v>24792566.346665356</v>
      </c>
      <c r="E152" s="20">
        <f t="shared" si="4"/>
        <v>0.1</v>
      </c>
      <c r="F152" s="20">
        <f t="shared" si="5"/>
        <v>0.1</v>
      </c>
    </row>
    <row r="153" spans="2:6" x14ac:dyDescent="0.2">
      <c r="B153" s="19">
        <f>Historique!B153</f>
        <v>44615</v>
      </c>
      <c r="C153" s="13">
        <f>RL_NAV*($I$10*Historique!D153+$I$11*Historique!E153+$I$12*Historique!F153+$I$21*Historique!G153)</f>
        <v>-1087951.3989304523</v>
      </c>
      <c r="D153" s="13">
        <f>RL_NAV*($J$10*Historique!D153+$J$11*Historique!E153+$J$12*Historique!F153+$J$21*Historique!G153)</f>
        <v>-1029859.8592964886</v>
      </c>
      <c r="E153" s="20">
        <f t="shared" si="4"/>
        <v>0</v>
      </c>
      <c r="F153" s="20">
        <f t="shared" si="5"/>
        <v>0</v>
      </c>
    </row>
    <row r="154" spans="2:6" x14ac:dyDescent="0.2">
      <c r="B154" s="19">
        <f>Historique!B154</f>
        <v>44616</v>
      </c>
      <c r="C154" s="13">
        <f>RL_NAV*($I$10*Historique!D154+$I$11*Historique!E154+$I$12*Historique!F154+$I$21*Historique!G154)</f>
        <v>12868572.190907646</v>
      </c>
      <c r="D154" s="13">
        <f>RL_NAV*($J$10*Historique!D154+$J$11*Historique!E154+$J$12*Historique!F154+$J$21*Historique!G154)</f>
        <v>12374150.048564792</v>
      </c>
      <c r="E154" s="20">
        <f t="shared" si="4"/>
        <v>0</v>
      </c>
      <c r="F154" s="20">
        <f t="shared" si="5"/>
        <v>0</v>
      </c>
    </row>
    <row r="155" spans="2:6" x14ac:dyDescent="0.2">
      <c r="B155" s="19">
        <f>Historique!B155</f>
        <v>44617</v>
      </c>
      <c r="C155" s="13">
        <f>RL_NAV*($I$10*Historique!D155+$I$11*Historique!E155+$I$12*Historique!F155+$I$21*Historique!G155)</f>
        <v>3483949.6352820816</v>
      </c>
      <c r="D155" s="13">
        <f>RL_NAV*($J$10*Historique!D155+$J$11*Historique!E155+$J$12*Historique!F155+$J$21*Historique!G155)</f>
        <v>3449033.9155398658</v>
      </c>
      <c r="E155" s="20">
        <f t="shared" si="4"/>
        <v>0</v>
      </c>
      <c r="F155" s="20">
        <f t="shared" si="5"/>
        <v>0</v>
      </c>
    </row>
    <row r="156" spans="2:6" x14ac:dyDescent="0.2">
      <c r="B156" s="19">
        <f>Historique!B156</f>
        <v>44620</v>
      </c>
      <c r="C156" s="13">
        <f>RL_NAV*($I$10*Historique!D156+$I$11*Historique!E156+$I$12*Historique!F156+$I$21*Historique!G156)</f>
        <v>-15041778.329641134</v>
      </c>
      <c r="D156" s="13">
        <f>RL_NAV*($J$10*Historique!D156+$J$11*Historique!E156+$J$12*Historique!F156+$J$21*Historique!G156)</f>
        <v>-14830942.628364416</v>
      </c>
      <c r="E156" s="20">
        <f t="shared" si="4"/>
        <v>0</v>
      </c>
      <c r="F156" s="20">
        <f t="shared" si="5"/>
        <v>0</v>
      </c>
    </row>
    <row r="157" spans="2:6" x14ac:dyDescent="0.2">
      <c r="B157" s="19">
        <f>Historique!B157</f>
        <v>44621</v>
      </c>
      <c r="C157" s="13">
        <f>RL_NAV*($I$10*Historique!D157+$I$11*Historique!E157+$I$12*Historique!F157+$I$21*Historique!G157)</f>
        <v>-18528915.608379152</v>
      </c>
      <c r="D157" s="13">
        <f>RL_NAV*($J$10*Historique!D157+$J$11*Historique!E157+$J$12*Historique!F157+$J$21*Historique!G157)</f>
        <v>-18414435.883571021</v>
      </c>
      <c r="E157" s="20">
        <f t="shared" si="4"/>
        <v>0</v>
      </c>
      <c r="F157" s="20">
        <f t="shared" si="5"/>
        <v>0</v>
      </c>
    </row>
    <row r="158" spans="2:6" x14ac:dyDescent="0.2">
      <c r="B158" s="19">
        <f>Historique!B158</f>
        <v>44622</v>
      </c>
      <c r="C158" s="13">
        <f>RL_NAV*($I$10*Historique!D158+$I$11*Historique!E158+$I$12*Historique!F158+$I$21*Historique!G158)</f>
        <v>4500395.4693796039</v>
      </c>
      <c r="D158" s="13">
        <f>RL_NAV*($J$10*Historique!D158+$J$11*Historique!E158+$J$12*Historique!F158+$J$21*Historique!G158)</f>
        <v>4452300.4366704281</v>
      </c>
      <c r="E158" s="20">
        <f t="shared" si="4"/>
        <v>0</v>
      </c>
      <c r="F158" s="20">
        <f t="shared" si="5"/>
        <v>0</v>
      </c>
    </row>
    <row r="159" spans="2:6" x14ac:dyDescent="0.2">
      <c r="B159" s="19">
        <f>Historique!B159</f>
        <v>44623</v>
      </c>
      <c r="C159" s="13">
        <f>RL_NAV*($I$10*Historique!D159+$I$11*Historique!E159+$I$12*Historique!F159+$I$21*Historique!G159)</f>
        <v>5985351.3177124392</v>
      </c>
      <c r="D159" s="13">
        <f>RL_NAV*($J$10*Historique!D159+$J$11*Historique!E159+$J$12*Historique!F159+$J$21*Historique!G159)</f>
        <v>5965120.3497618996</v>
      </c>
      <c r="E159" s="20">
        <f t="shared" si="4"/>
        <v>0</v>
      </c>
      <c r="F159" s="20">
        <f t="shared" si="5"/>
        <v>0</v>
      </c>
    </row>
    <row r="160" spans="2:6" x14ac:dyDescent="0.2">
      <c r="B160" s="19">
        <f>Historique!B160</f>
        <v>44624</v>
      </c>
      <c r="C160" s="13">
        <f>RL_NAV*($I$10*Historique!D160+$I$11*Historique!E160+$I$12*Historique!F160+$I$21*Historique!G160)</f>
        <v>-12580724.855688872</v>
      </c>
      <c r="D160" s="13">
        <f>RL_NAV*($J$10*Historique!D160+$J$11*Historique!E160+$J$12*Historique!F160+$J$21*Historique!G160)</f>
        <v>-12548027.435429834</v>
      </c>
      <c r="E160" s="20">
        <f t="shared" si="4"/>
        <v>0</v>
      </c>
      <c r="F160" s="20">
        <f t="shared" si="5"/>
        <v>0</v>
      </c>
    </row>
    <row r="161" spans="2:6" x14ac:dyDescent="0.2">
      <c r="B161" s="19">
        <f>Historique!B161</f>
        <v>44627</v>
      </c>
      <c r="C161" s="13">
        <f>RL_NAV*($I$10*Historique!D161+$I$11*Historique!E161+$I$12*Historique!F161+$I$21*Historique!G161)</f>
        <v>26919219.714485347</v>
      </c>
      <c r="D161" s="13">
        <f>RL_NAV*($J$10*Historique!D161+$J$11*Historique!E161+$J$12*Historique!F161+$J$21*Historique!G161)</f>
        <v>26295402.060119934</v>
      </c>
      <c r="E161" s="20">
        <f t="shared" si="4"/>
        <v>0.1</v>
      </c>
      <c r="F161" s="20">
        <f t="shared" si="5"/>
        <v>0.1</v>
      </c>
    </row>
    <row r="162" spans="2:6" x14ac:dyDescent="0.2">
      <c r="B162" s="19">
        <f>Historique!B162</f>
        <v>44628</v>
      </c>
      <c r="C162" s="13">
        <f>RL_NAV*($I$10*Historique!D162+$I$11*Historique!E162+$I$12*Historique!F162+$I$21*Historique!G162)</f>
        <v>20193757.72743272</v>
      </c>
      <c r="D162" s="13">
        <f>RL_NAV*($J$10*Historique!D162+$J$11*Historique!E162+$J$12*Historique!F162+$J$21*Historique!G162)</f>
        <v>19836387.367559634</v>
      </c>
      <c r="E162" s="20">
        <f t="shared" si="4"/>
        <v>0</v>
      </c>
      <c r="F162" s="20">
        <f t="shared" si="5"/>
        <v>0</v>
      </c>
    </row>
    <row r="163" spans="2:6" x14ac:dyDescent="0.2">
      <c r="B163" s="19">
        <f>Historique!B163</f>
        <v>44629</v>
      </c>
      <c r="C163" s="13">
        <f>RL_NAV*($I$10*Historique!D163+$I$11*Historique!E163+$I$12*Historique!F163+$I$21*Historique!G163)</f>
        <v>6061375.6734259725</v>
      </c>
      <c r="D163" s="13">
        <f>RL_NAV*($J$10*Historique!D163+$J$11*Historique!E163+$J$12*Historique!F163+$J$21*Historique!G163)</f>
        <v>6090115.5386764277</v>
      </c>
      <c r="E163" s="20">
        <f t="shared" si="4"/>
        <v>0</v>
      </c>
      <c r="F163" s="20">
        <f t="shared" si="5"/>
        <v>0</v>
      </c>
    </row>
    <row r="164" spans="2:6" x14ac:dyDescent="0.2">
      <c r="B164" s="19">
        <f>Historique!B164</f>
        <v>44630</v>
      </c>
      <c r="C164" s="13">
        <f>RL_NAV*($I$10*Historique!D164+$I$11*Historique!E164+$I$12*Historique!F164+$I$21*Historique!G164)</f>
        <v>16506289.727815544</v>
      </c>
      <c r="D164" s="13">
        <f>RL_NAV*($J$10*Historique!D164+$J$11*Historique!E164+$J$12*Historique!F164+$J$21*Historique!G164)</f>
        <v>16262972.48018322</v>
      </c>
      <c r="E164" s="20">
        <f t="shared" si="4"/>
        <v>0</v>
      </c>
      <c r="F164" s="20">
        <f t="shared" si="5"/>
        <v>0</v>
      </c>
    </row>
    <row r="165" spans="2:6" x14ac:dyDescent="0.2">
      <c r="B165" s="19">
        <f>Historique!B165</f>
        <v>44631</v>
      </c>
      <c r="C165" s="13">
        <f>RL_NAV*($I$10*Historique!D165+$I$11*Historique!E165+$I$12*Historique!F165+$I$21*Historique!G165)</f>
        <v>-359417.36316084821</v>
      </c>
      <c r="D165" s="13">
        <f>RL_NAV*($J$10*Historique!D165+$J$11*Historique!E165+$J$12*Historique!F165+$J$21*Historique!G165)</f>
        <v>-272559.57454578334</v>
      </c>
      <c r="E165" s="20">
        <f t="shared" si="4"/>
        <v>0</v>
      </c>
      <c r="F165" s="20">
        <f t="shared" si="5"/>
        <v>0</v>
      </c>
    </row>
    <row r="166" spans="2:6" x14ac:dyDescent="0.2">
      <c r="B166" s="19">
        <f>Historique!B166</f>
        <v>44634</v>
      </c>
      <c r="C166" s="13">
        <f>RL_NAV*($I$10*Historique!D166+$I$11*Historique!E166+$I$12*Historique!F166+$I$21*Historique!G166)</f>
        <v>-4091913.5406361464</v>
      </c>
      <c r="D166" s="13">
        <f>RL_NAV*($J$10*Historique!D166+$J$11*Historique!E166+$J$12*Historique!F166+$J$21*Historique!G166)</f>
        <v>-3897504.9015460163</v>
      </c>
      <c r="E166" s="20">
        <f t="shared" si="4"/>
        <v>0</v>
      </c>
      <c r="F166" s="20">
        <f t="shared" si="5"/>
        <v>0</v>
      </c>
    </row>
    <row r="167" spans="2:6" x14ac:dyDescent="0.2">
      <c r="B167" s="19">
        <f>Historique!B167</f>
        <v>44635</v>
      </c>
      <c r="C167" s="13">
        <f>RL_NAV*($I$10*Historique!D167+$I$11*Historique!E167+$I$12*Historique!F167+$I$21*Historique!G167)</f>
        <v>2547415.0356226638</v>
      </c>
      <c r="D167" s="13">
        <f>RL_NAV*($J$10*Historique!D167+$J$11*Historique!E167+$J$12*Historique!F167+$J$21*Historique!G167)</f>
        <v>2394040.6292692833</v>
      </c>
      <c r="E167" s="20">
        <f t="shared" si="4"/>
        <v>0</v>
      </c>
      <c r="F167" s="20">
        <f t="shared" si="5"/>
        <v>0</v>
      </c>
    </row>
    <row r="168" spans="2:6" x14ac:dyDescent="0.2">
      <c r="B168" s="19">
        <f>Historique!B168</f>
        <v>44636</v>
      </c>
      <c r="C168" s="13">
        <f>RL_NAV*($I$10*Historique!D168+$I$11*Historique!E168+$I$12*Historique!F168+$I$21*Historique!G168)</f>
        <v>1944173.8117052836</v>
      </c>
      <c r="D168" s="13">
        <f>RL_NAV*($J$10*Historique!D168+$J$11*Historique!E168+$J$12*Historique!F168+$J$21*Historique!G168)</f>
        <v>1965269.8940290834</v>
      </c>
      <c r="E168" s="20">
        <f t="shared" si="4"/>
        <v>0</v>
      </c>
      <c r="F168" s="20">
        <f t="shared" si="5"/>
        <v>0</v>
      </c>
    </row>
    <row r="169" spans="2:6" x14ac:dyDescent="0.2">
      <c r="B169" s="19">
        <f>Historique!B169</f>
        <v>44637</v>
      </c>
      <c r="C169" s="13">
        <f>RL_NAV*($I$10*Historique!D169+$I$11*Historique!E169+$I$12*Historique!F169+$I$21*Historique!G169)</f>
        <v>-471987.69809621462</v>
      </c>
      <c r="D169" s="13">
        <f>RL_NAV*($J$10*Historique!D169+$J$11*Historique!E169+$J$12*Historique!F169+$J$21*Historique!G169)</f>
        <v>-398156.36206358462</v>
      </c>
      <c r="E169" s="20">
        <f t="shared" si="4"/>
        <v>0</v>
      </c>
      <c r="F169" s="20">
        <f t="shared" si="5"/>
        <v>0</v>
      </c>
    </row>
    <row r="170" spans="2:6" x14ac:dyDescent="0.2">
      <c r="B170" s="19">
        <f>Historique!B170</f>
        <v>44638</v>
      </c>
      <c r="C170" s="13">
        <f>RL_NAV*($I$10*Historique!D170+$I$11*Historique!E170+$I$12*Historique!F170+$I$21*Historique!G170)</f>
        <v>-10327195.191034894</v>
      </c>
      <c r="D170" s="13">
        <f>RL_NAV*($J$10*Historique!D170+$J$11*Historique!E170+$J$12*Historique!F170+$J$21*Historique!G170)</f>
        <v>-10090013.90305369</v>
      </c>
      <c r="E170" s="20">
        <f t="shared" si="4"/>
        <v>0</v>
      </c>
      <c r="F170" s="20">
        <f t="shared" si="5"/>
        <v>0</v>
      </c>
    </row>
    <row r="171" spans="2:6" x14ac:dyDescent="0.2">
      <c r="B171" s="19">
        <f>Historique!B171</f>
        <v>44641</v>
      </c>
      <c r="C171" s="13">
        <f>RL_NAV*($I$10*Historique!D171+$I$11*Historique!E171+$I$12*Historique!F171+$I$21*Historique!G171)</f>
        <v>2749383.0638620937</v>
      </c>
      <c r="D171" s="13">
        <f>RL_NAV*($J$10*Historique!D171+$J$11*Historique!E171+$J$12*Historique!F171+$J$21*Historique!G171)</f>
        <v>2770593.4955470595</v>
      </c>
      <c r="E171" s="20">
        <f t="shared" si="4"/>
        <v>0</v>
      </c>
      <c r="F171" s="20">
        <f t="shared" si="5"/>
        <v>0</v>
      </c>
    </row>
    <row r="172" spans="2:6" x14ac:dyDescent="0.2">
      <c r="B172" s="19">
        <f>Historique!B172</f>
        <v>44642</v>
      </c>
      <c r="C172" s="13">
        <f>RL_NAV*($I$10*Historique!D172+$I$11*Historique!E172+$I$12*Historique!F172+$I$21*Historique!G172)</f>
        <v>6170935.6326732626</v>
      </c>
      <c r="D172" s="13">
        <f>RL_NAV*($J$10*Historique!D172+$J$11*Historique!E172+$J$12*Historique!F172+$J$21*Historique!G172)</f>
        <v>6187438.6430886537</v>
      </c>
      <c r="E172" s="20">
        <f t="shared" si="4"/>
        <v>0</v>
      </c>
      <c r="F172" s="20">
        <f t="shared" si="5"/>
        <v>0</v>
      </c>
    </row>
    <row r="173" spans="2:6" x14ac:dyDescent="0.2">
      <c r="B173" s="19">
        <f>Historique!B173</f>
        <v>44643</v>
      </c>
      <c r="C173" s="13">
        <f>RL_NAV*($I$10*Historique!D173+$I$11*Historique!E173+$I$12*Historique!F173+$I$21*Historique!G173)</f>
        <v>-2592374.4247302059</v>
      </c>
      <c r="D173" s="13">
        <f>RL_NAV*($J$10*Historique!D173+$J$11*Historique!E173+$J$12*Historique!F173+$J$21*Historique!G173)</f>
        <v>-2559846.5636412785</v>
      </c>
      <c r="E173" s="20">
        <f t="shared" si="4"/>
        <v>0</v>
      </c>
      <c r="F173" s="20">
        <f t="shared" si="5"/>
        <v>0</v>
      </c>
    </row>
    <row r="174" spans="2:6" x14ac:dyDescent="0.2">
      <c r="B174" s="19">
        <f>Historique!B174</f>
        <v>44644</v>
      </c>
      <c r="C174" s="13">
        <f>RL_NAV*($I$10*Historique!D174+$I$11*Historique!E174+$I$12*Historique!F174+$I$21*Historique!G174)</f>
        <v>84546.408717313752</v>
      </c>
      <c r="D174" s="13">
        <f>RL_NAV*($J$10*Historique!D174+$J$11*Historique!E174+$J$12*Historique!F174+$J$21*Historique!G174)</f>
        <v>167303.33400079384</v>
      </c>
      <c r="E174" s="20">
        <f t="shared" si="4"/>
        <v>0</v>
      </c>
      <c r="F174" s="20">
        <f t="shared" si="5"/>
        <v>0</v>
      </c>
    </row>
    <row r="175" spans="2:6" x14ac:dyDescent="0.2">
      <c r="B175" s="19">
        <f>Historique!B175</f>
        <v>44645</v>
      </c>
      <c r="C175" s="13">
        <f>RL_NAV*($I$10*Historique!D175+$I$11*Historique!E175+$I$12*Historique!F175+$I$21*Historique!G175)</f>
        <v>12512315.797048807</v>
      </c>
      <c r="D175" s="13">
        <f>RL_NAV*($J$10*Historique!D175+$J$11*Historique!E175+$J$12*Historique!F175+$J$21*Historique!G175)</f>
        <v>12302138.657083519</v>
      </c>
      <c r="E175" s="20">
        <f t="shared" si="4"/>
        <v>0</v>
      </c>
      <c r="F175" s="20">
        <f t="shared" si="5"/>
        <v>0</v>
      </c>
    </row>
    <row r="176" spans="2:6" x14ac:dyDescent="0.2">
      <c r="B176" s="19">
        <f>Historique!B176</f>
        <v>44648</v>
      </c>
      <c r="C176" s="13">
        <f>RL_NAV*($I$10*Historique!D176+$I$11*Historique!E176+$I$12*Historique!F176+$I$21*Historique!G176)</f>
        <v>1722698.5967989403</v>
      </c>
      <c r="D176" s="13">
        <f>RL_NAV*($J$10*Historique!D176+$J$11*Historique!E176+$J$12*Historique!F176+$J$21*Historique!G176)</f>
        <v>1753798.6241987348</v>
      </c>
      <c r="E176" s="20">
        <f t="shared" si="4"/>
        <v>0</v>
      </c>
      <c r="F176" s="20">
        <f t="shared" si="5"/>
        <v>0</v>
      </c>
    </row>
    <row r="177" spans="2:6" x14ac:dyDescent="0.2">
      <c r="B177" s="19">
        <f>Historique!B177</f>
        <v>44649</v>
      </c>
      <c r="C177" s="13">
        <f>RL_NAV*($I$10*Historique!D177+$I$11*Historique!E177+$I$12*Historique!F177+$I$21*Historique!G177)</f>
        <v>3436430.4878778332</v>
      </c>
      <c r="D177" s="13">
        <f>RL_NAV*($J$10*Historique!D177+$J$11*Historique!E177+$J$12*Historique!F177+$J$21*Historique!G177)</f>
        <v>3429933.2843390005</v>
      </c>
      <c r="E177" s="20">
        <f t="shared" si="4"/>
        <v>0</v>
      </c>
      <c r="F177" s="20">
        <f t="shared" si="5"/>
        <v>0</v>
      </c>
    </row>
    <row r="178" spans="2:6" x14ac:dyDescent="0.2">
      <c r="B178" s="19">
        <f>Historique!B178</f>
        <v>44650</v>
      </c>
      <c r="C178" s="13">
        <f>RL_NAV*($I$10*Historique!D178+$I$11*Historique!E178+$I$12*Historique!F178+$I$21*Historique!G178)</f>
        <v>5766985.4844858358</v>
      </c>
      <c r="D178" s="13">
        <f>RL_NAV*($J$10*Historique!D178+$J$11*Historique!E178+$J$12*Historique!F178+$J$21*Historique!G178)</f>
        <v>5821880.5259088594</v>
      </c>
      <c r="E178" s="20">
        <f t="shared" si="4"/>
        <v>0</v>
      </c>
      <c r="F178" s="20">
        <f t="shared" si="5"/>
        <v>0</v>
      </c>
    </row>
    <row r="179" spans="2:6" x14ac:dyDescent="0.2">
      <c r="B179" s="19">
        <f>Historique!B179</f>
        <v>44651</v>
      </c>
      <c r="C179" s="13">
        <f>RL_NAV*($I$10*Historique!D179+$I$11*Historique!E179+$I$12*Historique!F179+$I$21*Historique!G179)</f>
        <v>-16812143.895606212</v>
      </c>
      <c r="D179" s="13">
        <f>RL_NAV*($J$10*Historique!D179+$J$11*Historique!E179+$J$12*Historique!F179+$J$21*Historique!G179)</f>
        <v>-16564138.545522396</v>
      </c>
      <c r="E179" s="20">
        <f t="shared" si="4"/>
        <v>0</v>
      </c>
      <c r="F179" s="20">
        <f t="shared" si="5"/>
        <v>0</v>
      </c>
    </row>
    <row r="180" spans="2:6" x14ac:dyDescent="0.2">
      <c r="B180" s="19">
        <f>Historique!B180</f>
        <v>44652</v>
      </c>
      <c r="C180" s="13">
        <f>RL_NAV*($I$10*Historique!D180+$I$11*Historique!E180+$I$12*Historique!F180+$I$21*Historique!G180)</f>
        <v>6874593.4115259834</v>
      </c>
      <c r="D180" s="13">
        <f>RL_NAV*($J$10*Historique!D180+$J$11*Historique!E180+$J$12*Historique!F180+$J$21*Historique!G180)</f>
        <v>6720138.9414931685</v>
      </c>
      <c r="E180" s="20">
        <f t="shared" si="4"/>
        <v>0</v>
      </c>
      <c r="F180" s="20">
        <f t="shared" si="5"/>
        <v>0</v>
      </c>
    </row>
    <row r="181" spans="2:6" x14ac:dyDescent="0.2">
      <c r="B181" s="19">
        <f>Historique!B181</f>
        <v>44655</v>
      </c>
      <c r="C181" s="13">
        <f>RL_NAV*($I$10*Historique!D181+$I$11*Historique!E181+$I$12*Historique!F181+$I$21*Historique!G181)</f>
        <v>-3882404.1977004046</v>
      </c>
      <c r="D181" s="13">
        <f>RL_NAV*($J$10*Historique!D181+$J$11*Historique!E181+$J$12*Historique!F181+$J$21*Historique!G181)</f>
        <v>-3897649.2592475559</v>
      </c>
      <c r="E181" s="20">
        <f t="shared" si="4"/>
        <v>0</v>
      </c>
      <c r="F181" s="20">
        <f t="shared" si="5"/>
        <v>0</v>
      </c>
    </row>
    <row r="182" spans="2:6" x14ac:dyDescent="0.2">
      <c r="B182" s="19">
        <f>Historique!B182</f>
        <v>44656</v>
      </c>
      <c r="C182" s="13">
        <f>RL_NAV*($I$10*Historique!D182+$I$11*Historique!E182+$I$12*Historique!F182+$I$21*Historique!G182)</f>
        <v>4191385.9418616947</v>
      </c>
      <c r="D182" s="13">
        <f>RL_NAV*($J$10*Historique!D182+$J$11*Historique!E182+$J$12*Historique!F182+$J$21*Historique!G182)</f>
        <v>4174052.6015466223</v>
      </c>
      <c r="E182" s="20">
        <f t="shared" si="4"/>
        <v>0</v>
      </c>
      <c r="F182" s="20">
        <f t="shared" si="5"/>
        <v>0</v>
      </c>
    </row>
    <row r="183" spans="2:6" x14ac:dyDescent="0.2">
      <c r="B183" s="19">
        <f>Historique!B183</f>
        <v>44657</v>
      </c>
      <c r="C183" s="13">
        <f>RL_NAV*($I$10*Historique!D183+$I$11*Historique!E183+$I$12*Historique!F183+$I$21*Historique!G183)</f>
        <v>7151367.8588149725</v>
      </c>
      <c r="D183" s="13">
        <f>RL_NAV*($J$10*Historique!D183+$J$11*Historique!E183+$J$12*Historique!F183+$J$21*Historique!G183)</f>
        <v>7073816.8520951122</v>
      </c>
      <c r="E183" s="20">
        <f t="shared" si="4"/>
        <v>0</v>
      </c>
      <c r="F183" s="20">
        <f t="shared" si="5"/>
        <v>0</v>
      </c>
    </row>
    <row r="184" spans="2:6" x14ac:dyDescent="0.2">
      <c r="B184" s="19">
        <f>Historique!B184</f>
        <v>44658</v>
      </c>
      <c r="C184" s="13">
        <f>RL_NAV*($I$10*Historique!D184+$I$11*Historique!E184+$I$12*Historique!F184+$I$21*Historique!G184)</f>
        <v>6585212.9195315493</v>
      </c>
      <c r="D184" s="13">
        <f>RL_NAV*($J$10*Historique!D184+$J$11*Historique!E184+$J$12*Historique!F184+$J$21*Historique!G184)</f>
        <v>6460715.0232496141</v>
      </c>
      <c r="E184" s="20">
        <f t="shared" si="4"/>
        <v>0</v>
      </c>
      <c r="F184" s="20">
        <f t="shared" si="5"/>
        <v>0</v>
      </c>
    </row>
    <row r="185" spans="2:6" x14ac:dyDescent="0.2">
      <c r="B185" s="19">
        <f>Historique!B185</f>
        <v>44659</v>
      </c>
      <c r="C185" s="13">
        <f>RL_NAV*($I$10*Historique!D185+$I$11*Historique!E185+$I$12*Historique!F185+$I$21*Historique!G185)</f>
        <v>-1726357.0234891381</v>
      </c>
      <c r="D185" s="13">
        <f>RL_NAV*($J$10*Historique!D185+$J$11*Historique!E185+$J$12*Historique!F185+$J$21*Historique!G185)</f>
        <v>-1648308.2985224051</v>
      </c>
      <c r="E185" s="20">
        <f t="shared" si="4"/>
        <v>0</v>
      </c>
      <c r="F185" s="20">
        <f t="shared" si="5"/>
        <v>0</v>
      </c>
    </row>
    <row r="186" spans="2:6" x14ac:dyDescent="0.2">
      <c r="B186" s="19">
        <f>Historique!B186</f>
        <v>44662</v>
      </c>
      <c r="C186" s="13">
        <f>RL_NAV*($I$10*Historique!D186+$I$11*Historique!E186+$I$12*Historique!F186+$I$21*Historique!G186)</f>
        <v>13486255.356815267</v>
      </c>
      <c r="D186" s="13">
        <f>RL_NAV*($J$10*Historique!D186+$J$11*Historique!E186+$J$12*Historique!F186+$J$21*Historique!G186)</f>
        <v>13323132.420737656</v>
      </c>
      <c r="E186" s="20">
        <f t="shared" si="4"/>
        <v>0</v>
      </c>
      <c r="F186" s="20">
        <f t="shared" si="5"/>
        <v>0</v>
      </c>
    </row>
    <row r="187" spans="2:6" x14ac:dyDescent="0.2">
      <c r="B187" s="19">
        <f>Historique!B187</f>
        <v>44663</v>
      </c>
      <c r="C187" s="13">
        <f>RL_NAV*($I$10*Historique!D187+$I$11*Historique!E187+$I$12*Historique!F187+$I$21*Historique!G187)</f>
        <v>-8870303.7779098693</v>
      </c>
      <c r="D187" s="13">
        <f>RL_NAV*($J$10*Historique!D187+$J$11*Historique!E187+$J$12*Historique!F187+$J$21*Historique!G187)</f>
        <v>-8709501.842397077</v>
      </c>
      <c r="E187" s="20">
        <f t="shared" si="4"/>
        <v>0</v>
      </c>
      <c r="F187" s="20">
        <f t="shared" si="5"/>
        <v>0</v>
      </c>
    </row>
    <row r="188" spans="2:6" x14ac:dyDescent="0.2">
      <c r="B188" s="19">
        <f>Historique!B188</f>
        <v>44664</v>
      </c>
      <c r="C188" s="13">
        <f>RL_NAV*($I$10*Historique!D188+$I$11*Historique!E188+$I$12*Historique!F188+$I$21*Historique!G188)</f>
        <v>3169195.3454677435</v>
      </c>
      <c r="D188" s="13">
        <f>RL_NAV*($J$10*Historique!D188+$J$11*Historique!E188+$J$12*Historique!F188+$J$21*Historique!G188)</f>
        <v>3058438.1303434875</v>
      </c>
      <c r="E188" s="20">
        <f t="shared" si="4"/>
        <v>0</v>
      </c>
      <c r="F188" s="20">
        <f t="shared" si="5"/>
        <v>0</v>
      </c>
    </row>
    <row r="189" spans="2:6" x14ac:dyDescent="0.2">
      <c r="B189" s="19">
        <f>Historique!B189</f>
        <v>44665</v>
      </c>
      <c r="C189" s="13">
        <f>RL_NAV*($I$10*Historique!D189+$I$11*Historique!E189+$I$12*Historique!F189+$I$21*Historique!G189)</f>
        <v>5502983.0679879878</v>
      </c>
      <c r="D189" s="13">
        <f>RL_NAV*($J$10*Historique!D189+$J$11*Historique!E189+$J$12*Historique!F189+$J$21*Historique!G189)</f>
        <v>5353977.1840059487</v>
      </c>
      <c r="E189" s="20">
        <f t="shared" si="4"/>
        <v>0</v>
      </c>
      <c r="F189" s="20">
        <f t="shared" si="5"/>
        <v>0</v>
      </c>
    </row>
    <row r="190" spans="2:6" x14ac:dyDescent="0.2">
      <c r="B190" s="19">
        <f>Historique!B190</f>
        <v>44670</v>
      </c>
      <c r="C190" s="13">
        <f>RL_NAV*($I$10*Historique!D190+$I$11*Historique!E190+$I$12*Historique!F190+$I$21*Historique!G190)</f>
        <v>4703797.554542264</v>
      </c>
      <c r="D190" s="13">
        <f>RL_NAV*($J$10*Historique!D190+$J$11*Historique!E190+$J$12*Historique!F190+$J$21*Historique!G190)</f>
        <v>4711735.7536455058</v>
      </c>
      <c r="E190" s="20">
        <f t="shared" si="4"/>
        <v>0</v>
      </c>
      <c r="F190" s="20">
        <f t="shared" si="5"/>
        <v>0</v>
      </c>
    </row>
    <row r="191" spans="2:6" x14ac:dyDescent="0.2">
      <c r="B191" s="19">
        <f>Historique!B191</f>
        <v>44671</v>
      </c>
      <c r="C191" s="13">
        <f>RL_NAV*($I$10*Historique!D191+$I$11*Historique!E191+$I$12*Historique!F191+$I$21*Historique!G191)</f>
        <v>-2033335.5901511675</v>
      </c>
      <c r="D191" s="13">
        <f>RL_NAV*($J$10*Historique!D191+$J$11*Historique!E191+$J$12*Historique!F191+$J$21*Historique!G191)</f>
        <v>-2070795.9742635463</v>
      </c>
      <c r="E191" s="20">
        <f t="shared" si="4"/>
        <v>0</v>
      </c>
      <c r="F191" s="20">
        <f t="shared" si="5"/>
        <v>0</v>
      </c>
    </row>
    <row r="192" spans="2:6" x14ac:dyDescent="0.2">
      <c r="B192" s="19">
        <f>Historique!B192</f>
        <v>44672</v>
      </c>
      <c r="C192" s="13">
        <f>RL_NAV*($I$10*Historique!D192+$I$11*Historique!E192+$I$12*Historique!F192+$I$21*Historique!G192)</f>
        <v>7140154.5499645816</v>
      </c>
      <c r="D192" s="13">
        <f>RL_NAV*($J$10*Historique!D192+$J$11*Historique!E192+$J$12*Historique!F192+$J$21*Historique!G192)</f>
        <v>7083806.7639371501</v>
      </c>
      <c r="E192" s="20">
        <f t="shared" si="4"/>
        <v>0</v>
      </c>
      <c r="F192" s="20">
        <f t="shared" si="5"/>
        <v>0</v>
      </c>
    </row>
    <row r="193" spans="2:6" x14ac:dyDescent="0.2">
      <c r="B193" s="19">
        <f>Historique!B193</f>
        <v>44673</v>
      </c>
      <c r="C193" s="13">
        <f>RL_NAV*($I$10*Historique!D193+$I$11*Historique!E193+$I$12*Historique!F193+$I$21*Historique!G193)</f>
        <v>13223045.74418693</v>
      </c>
      <c r="D193" s="13">
        <f>RL_NAV*($J$10*Historique!D193+$J$11*Historique!E193+$J$12*Historique!F193+$J$21*Historique!G193)</f>
        <v>13046526.336535104</v>
      </c>
      <c r="E193" s="20">
        <f t="shared" si="4"/>
        <v>0</v>
      </c>
      <c r="F193" s="20">
        <f t="shared" si="5"/>
        <v>0</v>
      </c>
    </row>
    <row r="194" spans="2:6" x14ac:dyDescent="0.2">
      <c r="B194" s="19">
        <f>Historique!B194</f>
        <v>44676</v>
      </c>
      <c r="C194" s="13">
        <f>RL_NAV*($I$10*Historique!D194+$I$11*Historique!E194+$I$12*Historique!F194+$I$21*Historique!G194)</f>
        <v>-1897065.6689071141</v>
      </c>
      <c r="D194" s="13">
        <f>RL_NAV*($J$10*Historique!D194+$J$11*Historique!E194+$J$12*Historique!F194+$J$21*Historique!G194)</f>
        <v>-2025756.7120784698</v>
      </c>
      <c r="E194" s="20">
        <f t="shared" si="4"/>
        <v>0</v>
      </c>
      <c r="F194" s="20">
        <f t="shared" si="5"/>
        <v>0</v>
      </c>
    </row>
    <row r="195" spans="2:6" x14ac:dyDescent="0.2">
      <c r="B195" s="19">
        <f>Historique!B195</f>
        <v>44677</v>
      </c>
      <c r="C195" s="13">
        <f>RL_NAV*($I$10*Historique!D195+$I$11*Historique!E195+$I$12*Historique!F195+$I$21*Historique!G195)</f>
        <v>1416424.2365318753</v>
      </c>
      <c r="D195" s="13">
        <f>RL_NAV*($J$10*Historique!D195+$J$11*Historique!E195+$J$12*Historique!F195+$J$21*Historique!G195)</f>
        <v>1335316.3284707365</v>
      </c>
      <c r="E195" s="20">
        <f t="shared" si="4"/>
        <v>0</v>
      </c>
      <c r="F195" s="20">
        <f t="shared" si="5"/>
        <v>0</v>
      </c>
    </row>
    <row r="196" spans="2:6" x14ac:dyDescent="0.2">
      <c r="B196" s="19">
        <f>Historique!B196</f>
        <v>44678</v>
      </c>
      <c r="C196" s="13">
        <f>RL_NAV*($I$10*Historique!D196+$I$11*Historique!E196+$I$12*Historique!F196+$I$21*Historique!G196)</f>
        <v>6616073.6247766176</v>
      </c>
      <c r="D196" s="13">
        <f>RL_NAV*($J$10*Historique!D196+$J$11*Historique!E196+$J$12*Historique!F196+$J$21*Historique!G196)</f>
        <v>6357622.2731850892</v>
      </c>
      <c r="E196" s="20">
        <f t="shared" si="4"/>
        <v>0</v>
      </c>
      <c r="F196" s="20">
        <f t="shared" si="5"/>
        <v>0</v>
      </c>
    </row>
    <row r="197" spans="2:6" x14ac:dyDescent="0.2">
      <c r="B197" s="19">
        <f>Historique!B197</f>
        <v>44679</v>
      </c>
      <c r="C197" s="13">
        <f>RL_NAV*($I$10*Historique!D197+$I$11*Historique!E197+$I$12*Historique!F197+$I$21*Historique!G197)</f>
        <v>11872344.714767175</v>
      </c>
      <c r="D197" s="13">
        <f>RL_NAV*($J$10*Historique!D197+$J$11*Historique!E197+$J$12*Historique!F197+$J$21*Historique!G197)</f>
        <v>11732463.646644562</v>
      </c>
      <c r="E197" s="20">
        <f t="shared" si="4"/>
        <v>0</v>
      </c>
      <c r="F197" s="20">
        <f t="shared" si="5"/>
        <v>0</v>
      </c>
    </row>
    <row r="198" spans="2:6" x14ac:dyDescent="0.2">
      <c r="B198" s="19">
        <f>Historique!B198</f>
        <v>44680</v>
      </c>
      <c r="C198" s="13">
        <f>RL_NAV*($I$10*Historique!D198+$I$11*Historique!E198+$I$12*Historique!F198+$I$21*Historique!G198)</f>
        <v>4453998.671114292</v>
      </c>
      <c r="D198" s="13">
        <f>RL_NAV*($J$10*Historique!D198+$J$11*Historique!E198+$J$12*Historique!F198+$J$21*Historique!G198)</f>
        <v>4407672.5983896898</v>
      </c>
      <c r="E198" s="20">
        <f t="shared" si="4"/>
        <v>0</v>
      </c>
      <c r="F198" s="20">
        <f t="shared" si="5"/>
        <v>0</v>
      </c>
    </row>
    <row r="199" spans="2:6" x14ac:dyDescent="0.2">
      <c r="B199" s="19">
        <f>Historique!B199</f>
        <v>44683</v>
      </c>
      <c r="C199" s="13">
        <f>RL_NAV*($I$10*Historique!D199+$I$11*Historique!E199+$I$12*Historique!F199+$I$21*Historique!G199)</f>
        <v>4627513.6403400227</v>
      </c>
      <c r="D199" s="13">
        <f>RL_NAV*($J$10*Historique!D199+$J$11*Historique!E199+$J$12*Historique!F199+$J$21*Historique!G199)</f>
        <v>4529590.8864898719</v>
      </c>
      <c r="E199" s="20">
        <f t="shared" ref="E199:E262" si="6">IF(C199&gt;$I$9,1,IF(C199=$I$9,($I$8-$I$18)/$I$19,0))/$I$8</f>
        <v>0</v>
      </c>
      <c r="F199" s="20">
        <f t="shared" ref="F199:F262" si="7">IF(D199&gt;$J$9,1,IF(D199=$J$9,($J$8-$J$18)/$J$19,0))/$J$8</f>
        <v>0</v>
      </c>
    </row>
    <row r="200" spans="2:6" x14ac:dyDescent="0.2">
      <c r="B200" s="19">
        <f>Historique!B200</f>
        <v>44684</v>
      </c>
      <c r="C200" s="13">
        <f>RL_NAV*($I$10*Historique!D200+$I$11*Historique!E200+$I$12*Historique!F200+$I$21*Historique!G200)</f>
        <v>-6302562.4707396086</v>
      </c>
      <c r="D200" s="13">
        <f>RL_NAV*($J$10*Historique!D200+$J$11*Historique!E200+$J$12*Historique!F200+$J$21*Historique!G200)</f>
        <v>-6180906.1075409222</v>
      </c>
      <c r="E200" s="20">
        <f t="shared" si="6"/>
        <v>0</v>
      </c>
      <c r="F200" s="20">
        <f t="shared" si="7"/>
        <v>0</v>
      </c>
    </row>
    <row r="201" spans="2:6" x14ac:dyDescent="0.2">
      <c r="B201" s="19">
        <f>Historique!B201</f>
        <v>44685</v>
      </c>
      <c r="C201" s="13">
        <f>RL_NAV*($I$10*Historique!D201+$I$11*Historique!E201+$I$12*Historique!F201+$I$21*Historique!G201)</f>
        <v>17710717.368947942</v>
      </c>
      <c r="D201" s="13">
        <f>RL_NAV*($J$10*Historique!D201+$J$11*Historique!E201+$J$12*Historique!F201+$J$21*Historique!G201)</f>
        <v>17383555.828065798</v>
      </c>
      <c r="E201" s="20">
        <f t="shared" si="6"/>
        <v>0</v>
      </c>
      <c r="F201" s="20">
        <f t="shared" si="7"/>
        <v>0</v>
      </c>
    </row>
    <row r="202" spans="2:6" x14ac:dyDescent="0.2">
      <c r="B202" s="19">
        <f>Historique!B202</f>
        <v>44686</v>
      </c>
      <c r="C202" s="13">
        <f>RL_NAV*($I$10*Historique!D202+$I$11*Historique!E202+$I$12*Historique!F202+$I$21*Historique!G202)</f>
        <v>537213.05956717848</v>
      </c>
      <c r="D202" s="13">
        <f>RL_NAV*($J$10*Historique!D202+$J$11*Historique!E202+$J$12*Historique!F202+$J$21*Historique!G202)</f>
        <v>495034.92388976517</v>
      </c>
      <c r="E202" s="20">
        <f t="shared" si="6"/>
        <v>0</v>
      </c>
      <c r="F202" s="20">
        <f t="shared" si="7"/>
        <v>0</v>
      </c>
    </row>
    <row r="203" spans="2:6" x14ac:dyDescent="0.2">
      <c r="B203" s="19">
        <f>Historique!B203</f>
        <v>44687</v>
      </c>
      <c r="C203" s="13">
        <f>RL_NAV*($I$10*Historique!D203+$I$11*Historique!E203+$I$12*Historique!F203+$I$21*Historique!G203)</f>
        <v>17666077.367213562</v>
      </c>
      <c r="D203" s="13">
        <f>RL_NAV*($J$10*Historique!D203+$J$11*Historique!E203+$J$12*Historique!F203+$J$21*Historique!G203)</f>
        <v>17359625.398889832</v>
      </c>
      <c r="E203" s="20">
        <f t="shared" si="6"/>
        <v>0</v>
      </c>
      <c r="F203" s="20">
        <f t="shared" si="7"/>
        <v>0</v>
      </c>
    </row>
    <row r="204" spans="2:6" x14ac:dyDescent="0.2">
      <c r="B204" s="19">
        <f>Historique!B204</f>
        <v>44690</v>
      </c>
      <c r="C204" s="13">
        <f>RL_NAV*($I$10*Historique!D204+$I$11*Historique!E204+$I$12*Historique!F204+$I$21*Historique!G204)</f>
        <v>16650014.513177633</v>
      </c>
      <c r="D204" s="13">
        <f>RL_NAV*($J$10*Historique!D204+$J$11*Historique!E204+$J$12*Historique!F204+$J$21*Historique!G204)</f>
        <v>16124139.616129192</v>
      </c>
      <c r="E204" s="20">
        <f t="shared" si="6"/>
        <v>0</v>
      </c>
      <c r="F204" s="20">
        <f t="shared" si="7"/>
        <v>0</v>
      </c>
    </row>
    <row r="205" spans="2:6" x14ac:dyDescent="0.2">
      <c r="B205" s="19">
        <f>Historique!B205</f>
        <v>44691</v>
      </c>
      <c r="C205" s="13">
        <f>RL_NAV*($I$10*Historique!D205+$I$11*Historique!E205+$I$12*Historique!F205+$I$21*Historique!G205)</f>
        <v>-7337001.161048823</v>
      </c>
      <c r="D205" s="13">
        <f>RL_NAV*($J$10*Historique!D205+$J$11*Historique!E205+$J$12*Historique!F205+$J$21*Historique!G205)</f>
        <v>-7314550.3896942483</v>
      </c>
      <c r="E205" s="20">
        <f t="shared" si="6"/>
        <v>0</v>
      </c>
      <c r="F205" s="20">
        <f t="shared" si="7"/>
        <v>0</v>
      </c>
    </row>
    <row r="206" spans="2:6" x14ac:dyDescent="0.2">
      <c r="B206" s="19">
        <f>Historique!B206</f>
        <v>44692</v>
      </c>
      <c r="C206" s="13">
        <f>RL_NAV*($I$10*Historique!D206+$I$11*Historique!E206+$I$12*Historique!F206+$I$21*Historique!G206)</f>
        <v>739610.56590967521</v>
      </c>
      <c r="D206" s="13">
        <f>RL_NAV*($J$10*Historique!D206+$J$11*Historique!E206+$J$12*Historique!F206+$J$21*Historique!G206)</f>
        <v>709410.71362381359</v>
      </c>
      <c r="E206" s="20">
        <f t="shared" si="6"/>
        <v>0</v>
      </c>
      <c r="F206" s="20">
        <f t="shared" si="7"/>
        <v>0</v>
      </c>
    </row>
    <row r="207" spans="2:6" x14ac:dyDescent="0.2">
      <c r="B207" s="19">
        <f>Historique!B207</f>
        <v>44693</v>
      </c>
      <c r="C207" s="13">
        <f>RL_NAV*($I$10*Historique!D207+$I$11*Historique!E207+$I$12*Historique!F207+$I$21*Historique!G207)</f>
        <v>-20731736.898256078</v>
      </c>
      <c r="D207" s="13">
        <f>RL_NAV*($J$10*Historique!D207+$J$11*Historique!E207+$J$12*Historique!F207+$J$21*Historique!G207)</f>
        <v>-20465188.428024273</v>
      </c>
      <c r="E207" s="20">
        <f t="shared" si="6"/>
        <v>0</v>
      </c>
      <c r="F207" s="20">
        <f t="shared" si="7"/>
        <v>0</v>
      </c>
    </row>
    <row r="208" spans="2:6" x14ac:dyDescent="0.2">
      <c r="B208" s="19">
        <f>Historique!B208</f>
        <v>44694</v>
      </c>
      <c r="C208" s="13">
        <f>RL_NAV*($I$10*Historique!D208+$I$11*Historique!E208+$I$12*Historique!F208+$I$21*Historique!G208)</f>
        <v>9902782.7695602607</v>
      </c>
      <c r="D208" s="13">
        <f>RL_NAV*($J$10*Historique!D208+$J$11*Historique!E208+$J$12*Historique!F208+$J$21*Historique!G208)</f>
        <v>9799052.8073052894</v>
      </c>
      <c r="E208" s="20">
        <f t="shared" si="6"/>
        <v>0</v>
      </c>
      <c r="F208" s="20">
        <f t="shared" si="7"/>
        <v>0</v>
      </c>
    </row>
    <row r="209" spans="2:6" x14ac:dyDescent="0.2">
      <c r="B209" s="19">
        <f>Historique!B209</f>
        <v>44697</v>
      </c>
      <c r="C209" s="13">
        <f>RL_NAV*($I$10*Historique!D209+$I$11*Historique!E209+$I$12*Historique!F209+$I$21*Historique!G209)</f>
        <v>-6512902.9366840674</v>
      </c>
      <c r="D209" s="13">
        <f>RL_NAV*($J$10*Historique!D209+$J$11*Historique!E209+$J$12*Historique!F209+$J$21*Historique!G209)</f>
        <v>-6350049.0954619944</v>
      </c>
      <c r="E209" s="20">
        <f t="shared" si="6"/>
        <v>0</v>
      </c>
      <c r="F209" s="20">
        <f t="shared" si="7"/>
        <v>0</v>
      </c>
    </row>
    <row r="210" spans="2:6" x14ac:dyDescent="0.2">
      <c r="B210" s="19">
        <f>Historique!B210</f>
        <v>44698</v>
      </c>
      <c r="C210" s="13">
        <f>RL_NAV*($I$10*Historique!D210+$I$11*Historique!E210+$I$12*Historique!F210+$I$21*Historique!G210)</f>
        <v>15718941.969714429</v>
      </c>
      <c r="D210" s="13">
        <f>RL_NAV*($J$10*Historique!D210+$J$11*Historique!E210+$J$12*Historique!F210+$J$21*Historique!G210)</f>
        <v>15573142.251769872</v>
      </c>
      <c r="E210" s="20">
        <f t="shared" si="6"/>
        <v>0</v>
      </c>
      <c r="F210" s="20">
        <f t="shared" si="7"/>
        <v>0</v>
      </c>
    </row>
    <row r="211" spans="2:6" x14ac:dyDescent="0.2">
      <c r="B211" s="19">
        <f>Historique!B211</f>
        <v>44699</v>
      </c>
      <c r="C211" s="13">
        <f>RL_NAV*($I$10*Historique!D211+$I$11*Historique!E211+$I$12*Historique!F211+$I$21*Historique!G211)</f>
        <v>-1410971.7266141258</v>
      </c>
      <c r="D211" s="13">
        <f>RL_NAV*($J$10*Historique!D211+$J$11*Historique!E211+$J$12*Historique!F211+$J$21*Historique!G211)</f>
        <v>-1291060.3904022851</v>
      </c>
      <c r="E211" s="20">
        <f t="shared" si="6"/>
        <v>0</v>
      </c>
      <c r="F211" s="20">
        <f t="shared" si="7"/>
        <v>0</v>
      </c>
    </row>
    <row r="212" spans="2:6" x14ac:dyDescent="0.2">
      <c r="B212" s="19">
        <f>Historique!B212</f>
        <v>44700</v>
      </c>
      <c r="C212" s="13">
        <f>RL_NAV*($I$10*Historique!D212+$I$11*Historique!E212+$I$12*Historique!F212+$I$21*Historique!G212)</f>
        <v>2477737.6698181499</v>
      </c>
      <c r="D212" s="13">
        <f>RL_NAV*($J$10*Historique!D212+$J$11*Historique!E212+$J$12*Historique!F212+$J$21*Historique!G212)</f>
        <v>2248200.5590113075</v>
      </c>
      <c r="E212" s="20">
        <f t="shared" si="6"/>
        <v>0</v>
      </c>
      <c r="F212" s="20">
        <f t="shared" si="7"/>
        <v>0</v>
      </c>
    </row>
    <row r="213" spans="2:6" x14ac:dyDescent="0.2">
      <c r="B213" s="19">
        <f>Historique!B213</f>
        <v>44701</v>
      </c>
      <c r="C213" s="13">
        <f>RL_NAV*($I$10*Historique!D213+$I$11*Historique!E213+$I$12*Historique!F213+$I$21*Historique!G213)</f>
        <v>-1156253.6679384366</v>
      </c>
      <c r="D213" s="13">
        <f>RL_NAV*($J$10*Historique!D213+$J$11*Historique!E213+$J$12*Historique!F213+$J$21*Historique!G213)</f>
        <v>-1131589.1841241971</v>
      </c>
      <c r="E213" s="20">
        <f t="shared" si="6"/>
        <v>0</v>
      </c>
      <c r="F213" s="20">
        <f t="shared" si="7"/>
        <v>0</v>
      </c>
    </row>
    <row r="214" spans="2:6" x14ac:dyDescent="0.2">
      <c r="B214" s="19">
        <f>Historique!B214</f>
        <v>44704</v>
      </c>
      <c r="C214" s="13">
        <f>RL_NAV*($I$10*Historique!D214+$I$11*Historique!E214+$I$12*Historique!F214+$I$21*Historique!G214)</f>
        <v>3355008.2071778402</v>
      </c>
      <c r="D214" s="13">
        <f>RL_NAV*($J$10*Historique!D214+$J$11*Historique!E214+$J$12*Historique!F214+$J$21*Historique!G214)</f>
        <v>3294043.2426012903</v>
      </c>
      <c r="E214" s="20">
        <f t="shared" si="6"/>
        <v>0</v>
      </c>
      <c r="F214" s="20">
        <f t="shared" si="7"/>
        <v>0</v>
      </c>
    </row>
    <row r="215" spans="2:6" x14ac:dyDescent="0.2">
      <c r="B215" s="19">
        <f>Historique!B215</f>
        <v>44705</v>
      </c>
      <c r="C215" s="13">
        <f>RL_NAV*($I$10*Historique!D215+$I$11*Historique!E215+$I$12*Historique!F215+$I$21*Historique!G215)</f>
        <v>8291452.7290943349</v>
      </c>
      <c r="D215" s="13">
        <f>RL_NAV*($J$10*Historique!D215+$J$11*Historique!E215+$J$12*Historique!F215+$J$21*Historique!G215)</f>
        <v>8126569.5893069124</v>
      </c>
      <c r="E215" s="20">
        <f t="shared" si="6"/>
        <v>0</v>
      </c>
      <c r="F215" s="20">
        <f t="shared" si="7"/>
        <v>0</v>
      </c>
    </row>
    <row r="216" spans="2:6" x14ac:dyDescent="0.2">
      <c r="B216" s="19">
        <f>Historique!B216</f>
        <v>44706</v>
      </c>
      <c r="C216" s="13">
        <f>RL_NAV*($I$10*Historique!D216+$I$11*Historique!E216+$I$12*Historique!F216+$I$21*Historique!G216)</f>
        <v>-8228355.5925472686</v>
      </c>
      <c r="D216" s="13">
        <f>RL_NAV*($J$10*Historique!D216+$J$11*Historique!E216+$J$12*Historique!F216+$J$21*Historique!G216)</f>
        <v>-8132149.8524729451</v>
      </c>
      <c r="E216" s="20">
        <f t="shared" si="6"/>
        <v>0</v>
      </c>
      <c r="F216" s="20">
        <f t="shared" si="7"/>
        <v>0</v>
      </c>
    </row>
    <row r="217" spans="2:6" x14ac:dyDescent="0.2">
      <c r="B217" s="19">
        <f>Historique!B217</f>
        <v>44707</v>
      </c>
      <c r="C217" s="13">
        <f>RL_NAV*($I$10*Historique!D217+$I$11*Historique!E217+$I$12*Historique!F217+$I$21*Historique!G217)</f>
        <v>3085827.536827534</v>
      </c>
      <c r="D217" s="13">
        <f>RL_NAV*($J$10*Historique!D217+$J$11*Historique!E217+$J$12*Historique!F217+$J$21*Historique!G217)</f>
        <v>2925158.3603603318</v>
      </c>
      <c r="E217" s="20">
        <f t="shared" si="6"/>
        <v>0</v>
      </c>
      <c r="F217" s="20">
        <f t="shared" si="7"/>
        <v>0</v>
      </c>
    </row>
    <row r="218" spans="2:6" x14ac:dyDescent="0.2">
      <c r="B218" s="19">
        <f>Historique!B218</f>
        <v>44708</v>
      </c>
      <c r="C218" s="13">
        <f>RL_NAV*($I$10*Historique!D218+$I$11*Historique!E218+$I$12*Historique!F218+$I$21*Historique!G218)</f>
        <v>-16241952.941388257</v>
      </c>
      <c r="D218" s="13">
        <f>RL_NAV*($J$10*Historique!D218+$J$11*Historique!E218+$J$12*Historique!F218+$J$21*Historique!G218)</f>
        <v>-15795041.525162688</v>
      </c>
      <c r="E218" s="20">
        <f t="shared" si="6"/>
        <v>0</v>
      </c>
      <c r="F218" s="20">
        <f t="shared" si="7"/>
        <v>0</v>
      </c>
    </row>
    <row r="219" spans="2:6" x14ac:dyDescent="0.2">
      <c r="B219" s="19">
        <f>Historique!B219</f>
        <v>44711</v>
      </c>
      <c r="C219" s="13">
        <f>RL_NAV*($I$10*Historique!D219+$I$11*Historique!E219+$I$12*Historique!F219+$I$21*Historique!G219)</f>
        <v>9181226.3643972911</v>
      </c>
      <c r="D219" s="13">
        <f>RL_NAV*($J$10*Historique!D219+$J$11*Historique!E219+$J$12*Historique!F219+$J$21*Historique!G219)</f>
        <v>9213015.3990444243</v>
      </c>
      <c r="E219" s="20">
        <f t="shared" si="6"/>
        <v>0</v>
      </c>
      <c r="F219" s="20">
        <f t="shared" si="7"/>
        <v>0</v>
      </c>
    </row>
    <row r="220" spans="2:6" x14ac:dyDescent="0.2">
      <c r="B220" s="19">
        <f>Historique!B220</f>
        <v>44712</v>
      </c>
      <c r="C220" s="13">
        <f>RL_NAV*($I$10*Historique!D220+$I$11*Historique!E220+$I$12*Historique!F220+$I$21*Historique!G220)</f>
        <v>9160115.4968142454</v>
      </c>
      <c r="D220" s="13">
        <f>RL_NAV*($J$10*Historique!D220+$J$11*Historique!E220+$J$12*Historique!F220+$J$21*Historique!G220)</f>
        <v>9068852.6452165004</v>
      </c>
      <c r="E220" s="20">
        <f t="shared" si="6"/>
        <v>0</v>
      </c>
      <c r="F220" s="20">
        <f t="shared" si="7"/>
        <v>0</v>
      </c>
    </row>
    <row r="221" spans="2:6" x14ac:dyDescent="0.2">
      <c r="B221" s="19">
        <f>Historique!B221</f>
        <v>44713</v>
      </c>
      <c r="C221" s="13">
        <f>RL_NAV*($I$10*Historique!D221+$I$11*Historique!E221+$I$12*Historique!F221+$I$21*Historique!G221)</f>
        <v>-1654662.1209948452</v>
      </c>
      <c r="D221" s="13">
        <f>RL_NAV*($J$10*Historique!D221+$J$11*Historique!E221+$J$12*Historique!F221+$J$21*Historique!G221)</f>
        <v>-1664032.1117945432</v>
      </c>
      <c r="E221" s="20">
        <f t="shared" si="6"/>
        <v>0</v>
      </c>
      <c r="F221" s="20">
        <f t="shared" si="7"/>
        <v>0</v>
      </c>
    </row>
    <row r="222" spans="2:6" x14ac:dyDescent="0.2">
      <c r="B222" s="19">
        <f>Historique!B222</f>
        <v>44714</v>
      </c>
      <c r="C222" s="13">
        <f>RL_NAV*($I$10*Historique!D222+$I$11*Historique!E222+$I$12*Historique!F222+$I$21*Historique!G222)</f>
        <v>10822136.131012069</v>
      </c>
      <c r="D222" s="13">
        <f>RL_NAV*($J$10*Historique!D222+$J$11*Historique!E222+$J$12*Historique!F222+$J$21*Historique!G222)</f>
        <v>10798778.450014507</v>
      </c>
      <c r="E222" s="20">
        <f t="shared" si="6"/>
        <v>0</v>
      </c>
      <c r="F222" s="20">
        <f t="shared" si="7"/>
        <v>0</v>
      </c>
    </row>
    <row r="223" spans="2:6" x14ac:dyDescent="0.2">
      <c r="B223" s="19">
        <f>Historique!B223</f>
        <v>44715</v>
      </c>
      <c r="C223" s="13">
        <f>RL_NAV*($I$10*Historique!D223+$I$11*Historique!E223+$I$12*Historique!F223+$I$21*Historique!G223)</f>
        <v>4207688.2406503288</v>
      </c>
      <c r="D223" s="13">
        <f>RL_NAV*($J$10*Historique!D223+$J$11*Historique!E223+$J$12*Historique!F223+$J$21*Historique!G223)</f>
        <v>4158023.0348850852</v>
      </c>
      <c r="E223" s="20">
        <f t="shared" si="6"/>
        <v>0</v>
      </c>
      <c r="F223" s="20">
        <f t="shared" si="7"/>
        <v>0</v>
      </c>
    </row>
    <row r="224" spans="2:6" x14ac:dyDescent="0.2">
      <c r="B224" s="19">
        <f>Historique!B224</f>
        <v>44718</v>
      </c>
      <c r="C224" s="13">
        <f>RL_NAV*($I$10*Historique!D224+$I$11*Historique!E224+$I$12*Historique!F224+$I$21*Historique!G224)</f>
        <v>567702.91966388468</v>
      </c>
      <c r="D224" s="13">
        <f>RL_NAV*($J$10*Historique!D224+$J$11*Historique!E224+$J$12*Historique!F224+$J$21*Historique!G224)</f>
        <v>609538.91006161063</v>
      </c>
      <c r="E224" s="20">
        <f t="shared" si="6"/>
        <v>0</v>
      </c>
      <c r="F224" s="20">
        <f t="shared" si="7"/>
        <v>0</v>
      </c>
    </row>
    <row r="225" spans="2:6" x14ac:dyDescent="0.2">
      <c r="B225" s="19">
        <f>Historique!B225</f>
        <v>44719</v>
      </c>
      <c r="C225" s="13">
        <f>RL_NAV*($I$10*Historique!D225+$I$11*Historique!E225+$I$12*Historique!F225+$I$21*Historique!G225)</f>
        <v>1868290.2553461022</v>
      </c>
      <c r="D225" s="13">
        <f>RL_NAV*($J$10*Historique!D225+$J$11*Historique!E225+$J$12*Historique!F225+$J$21*Historique!G225)</f>
        <v>1799357.3754369516</v>
      </c>
      <c r="E225" s="20">
        <f t="shared" si="6"/>
        <v>0</v>
      </c>
      <c r="F225" s="20">
        <f t="shared" si="7"/>
        <v>0</v>
      </c>
    </row>
    <row r="226" spans="2:6" x14ac:dyDescent="0.2">
      <c r="B226" s="19">
        <f>Historique!B226</f>
        <v>44720</v>
      </c>
      <c r="C226" s="13">
        <f>RL_NAV*($I$10*Historique!D226+$I$11*Historique!E226+$I$12*Historique!F226+$I$21*Historique!G226)</f>
        <v>7849373.4863894517</v>
      </c>
      <c r="D226" s="13">
        <f>RL_NAV*($J$10*Historique!D226+$J$11*Historique!E226+$J$12*Historique!F226+$J$21*Historique!G226)</f>
        <v>7792144.5534775406</v>
      </c>
      <c r="E226" s="20">
        <f t="shared" si="6"/>
        <v>0</v>
      </c>
      <c r="F226" s="20">
        <f t="shared" si="7"/>
        <v>0</v>
      </c>
    </row>
    <row r="227" spans="2:6" x14ac:dyDescent="0.2">
      <c r="B227" s="19">
        <f>Historique!B227</f>
        <v>44721</v>
      </c>
      <c r="C227" s="13">
        <f>RL_NAV*($I$10*Historique!D227+$I$11*Historique!E227+$I$12*Historique!F227+$I$21*Historique!G227)</f>
        <v>15421602.419315472</v>
      </c>
      <c r="D227" s="13">
        <f>RL_NAV*($J$10*Historique!D227+$J$11*Historique!E227+$J$12*Historique!F227+$J$21*Historique!G227)</f>
        <v>15204254.842980476</v>
      </c>
      <c r="E227" s="20">
        <f t="shared" si="6"/>
        <v>0</v>
      </c>
      <c r="F227" s="20">
        <f t="shared" si="7"/>
        <v>0</v>
      </c>
    </row>
    <row r="228" spans="2:6" x14ac:dyDescent="0.2">
      <c r="B228" s="19">
        <f>Historique!B228</f>
        <v>44722</v>
      </c>
      <c r="C228" s="13">
        <f>RL_NAV*($I$10*Historique!D228+$I$11*Historique!E228+$I$12*Historique!F228+$I$21*Historique!G228)</f>
        <v>22404741.029512178</v>
      </c>
      <c r="D228" s="13">
        <f>RL_NAV*($J$10*Historique!D228+$J$11*Historique!E228+$J$12*Historique!F228+$J$21*Historique!G228)</f>
        <v>21959030.581096787</v>
      </c>
      <c r="E228" s="20">
        <f t="shared" si="6"/>
        <v>0.1</v>
      </c>
      <c r="F228" s="20">
        <f t="shared" si="7"/>
        <v>0.1</v>
      </c>
    </row>
    <row r="229" spans="2:6" x14ac:dyDescent="0.2">
      <c r="B229" s="19">
        <f>Historique!B229</f>
        <v>44725</v>
      </c>
      <c r="C229" s="13">
        <f>RL_NAV*($I$10*Historique!D229+$I$11*Historique!E229+$I$12*Historique!F229+$I$21*Historique!G229)</f>
        <v>43347238.934216179</v>
      </c>
      <c r="D229" s="13">
        <f>RL_NAV*($J$10*Historique!D229+$J$11*Historique!E229+$J$12*Historique!F229+$J$21*Historique!G229)</f>
        <v>42477228.410992458</v>
      </c>
      <c r="E229" s="20">
        <f t="shared" si="6"/>
        <v>0.1</v>
      </c>
      <c r="F229" s="20">
        <f t="shared" si="7"/>
        <v>0.1</v>
      </c>
    </row>
    <row r="230" spans="2:6" x14ac:dyDescent="0.2">
      <c r="B230" s="19">
        <f>Historique!B230</f>
        <v>44726</v>
      </c>
      <c r="C230" s="13">
        <f>RL_NAV*($I$10*Historique!D230+$I$11*Historique!E230+$I$12*Historique!F230+$I$21*Historique!G230)</f>
        <v>25956965.350750599</v>
      </c>
      <c r="D230" s="13">
        <f>RL_NAV*($J$10*Historique!D230+$J$11*Historique!E230+$J$12*Historique!F230+$J$21*Historique!G230)</f>
        <v>25404624.641478248</v>
      </c>
      <c r="E230" s="20">
        <f t="shared" si="6"/>
        <v>0.1</v>
      </c>
      <c r="F230" s="20">
        <f t="shared" si="7"/>
        <v>0.1</v>
      </c>
    </row>
    <row r="231" spans="2:6" x14ac:dyDescent="0.2">
      <c r="B231" s="19">
        <f>Historique!B231</f>
        <v>44727</v>
      </c>
      <c r="C231" s="13">
        <f>RL_NAV*($I$10*Historique!D231+$I$11*Historique!E231+$I$12*Historique!F231+$I$21*Historique!G231)</f>
        <v>-5135121.4434567671</v>
      </c>
      <c r="D231" s="13">
        <f>RL_NAV*($J$10*Historique!D231+$J$11*Historique!E231+$J$12*Historique!F231+$J$21*Historique!G231)</f>
        <v>-5073865.830197962</v>
      </c>
      <c r="E231" s="20">
        <f t="shared" si="6"/>
        <v>0</v>
      </c>
      <c r="F231" s="20">
        <f t="shared" si="7"/>
        <v>0</v>
      </c>
    </row>
    <row r="232" spans="2:6" x14ac:dyDescent="0.2">
      <c r="B232" s="19">
        <f>Historique!B232</f>
        <v>44728</v>
      </c>
      <c r="C232" s="13">
        <f>RL_NAV*($I$10*Historique!D232+$I$11*Historique!E232+$I$12*Historique!F232+$I$21*Historique!G232)</f>
        <v>22765952.500039909</v>
      </c>
      <c r="D232" s="13">
        <f>RL_NAV*($J$10*Historique!D232+$J$11*Historique!E232+$J$12*Historique!F232+$J$21*Historique!G232)</f>
        <v>22375547.607968342</v>
      </c>
      <c r="E232" s="20">
        <f t="shared" si="6"/>
        <v>0.1</v>
      </c>
      <c r="F232" s="20">
        <f t="shared" si="7"/>
        <v>0.1</v>
      </c>
    </row>
    <row r="233" spans="2:6" x14ac:dyDescent="0.2">
      <c r="B233" s="19">
        <f>Historique!B233</f>
        <v>44729</v>
      </c>
      <c r="C233" s="13">
        <f>RL_NAV*($I$10*Historique!D233+$I$11*Historique!E233+$I$12*Historique!F233+$I$21*Historique!G233)</f>
        <v>2445042.9942345386</v>
      </c>
      <c r="D233" s="13">
        <f>RL_NAV*($J$10*Historique!D233+$J$11*Historique!E233+$J$12*Historique!F233+$J$21*Historique!G233)</f>
        <v>2154195.3108980996</v>
      </c>
      <c r="E233" s="20">
        <f t="shared" si="6"/>
        <v>0</v>
      </c>
      <c r="F233" s="20">
        <f t="shared" si="7"/>
        <v>0</v>
      </c>
    </row>
    <row r="234" spans="2:6" x14ac:dyDescent="0.2">
      <c r="B234" s="19">
        <f>Historique!B234</f>
        <v>44732</v>
      </c>
      <c r="C234" s="13">
        <f>RL_NAV*($I$10*Historique!D234+$I$11*Historique!E234+$I$12*Historique!F234+$I$21*Historique!G234)</f>
        <v>1304161.1690707384</v>
      </c>
      <c r="D234" s="13">
        <f>RL_NAV*($J$10*Historique!D234+$J$11*Historique!E234+$J$12*Historique!F234+$J$21*Historique!G234)</f>
        <v>1277644.6961979838</v>
      </c>
      <c r="E234" s="20">
        <f t="shared" si="6"/>
        <v>0</v>
      </c>
      <c r="F234" s="20">
        <f t="shared" si="7"/>
        <v>0</v>
      </c>
    </row>
    <row r="235" spans="2:6" x14ac:dyDescent="0.2">
      <c r="B235" s="19">
        <f>Historique!B235</f>
        <v>44733</v>
      </c>
      <c r="C235" s="13">
        <f>RL_NAV*($I$10*Historique!D235+$I$11*Historique!E235+$I$12*Historique!F235+$I$21*Historique!G235)</f>
        <v>-2146050.6628488479</v>
      </c>
      <c r="D235" s="13">
        <f>RL_NAV*($J$10*Historique!D235+$J$11*Historique!E235+$J$12*Historique!F235+$J$21*Historique!G235)</f>
        <v>-2061065.9195491069</v>
      </c>
      <c r="E235" s="20">
        <f t="shared" si="6"/>
        <v>0</v>
      </c>
      <c r="F235" s="20">
        <f t="shared" si="7"/>
        <v>0</v>
      </c>
    </row>
    <row r="236" spans="2:6" x14ac:dyDescent="0.2">
      <c r="B236" s="19">
        <f>Historique!B236</f>
        <v>44734</v>
      </c>
      <c r="C236" s="13">
        <f>RL_NAV*($I$10*Historique!D236+$I$11*Historique!E236+$I$12*Historique!F236+$I$21*Historique!G236)</f>
        <v>-18127776.167204045</v>
      </c>
      <c r="D236" s="13">
        <f>RL_NAV*($J$10*Historique!D236+$J$11*Historique!E236+$J$12*Historique!F236+$J$21*Historique!G236)</f>
        <v>-17878060.667725526</v>
      </c>
      <c r="E236" s="20">
        <f t="shared" si="6"/>
        <v>0</v>
      </c>
      <c r="F236" s="20">
        <f t="shared" si="7"/>
        <v>0</v>
      </c>
    </row>
    <row r="237" spans="2:6" x14ac:dyDescent="0.2">
      <c r="B237" s="19">
        <f>Historique!B237</f>
        <v>44735</v>
      </c>
      <c r="C237" s="13">
        <f>RL_NAV*($I$10*Historique!D237+$I$11*Historique!E237+$I$12*Historique!F237+$I$21*Historique!G237)</f>
        <v>-13406287.832008164</v>
      </c>
      <c r="D237" s="13">
        <f>RL_NAV*($J$10*Historique!D237+$J$11*Historique!E237+$J$12*Historique!F237+$J$21*Historique!G237)</f>
        <v>-13544818.396488762</v>
      </c>
      <c r="E237" s="20">
        <f t="shared" si="6"/>
        <v>0</v>
      </c>
      <c r="F237" s="20">
        <f t="shared" si="7"/>
        <v>0</v>
      </c>
    </row>
    <row r="238" spans="2:6" x14ac:dyDescent="0.2">
      <c r="B238" s="19">
        <f>Historique!B238</f>
        <v>44736</v>
      </c>
      <c r="C238" s="13">
        <f>RL_NAV*($I$10*Historique!D238+$I$11*Historique!E238+$I$12*Historique!F238+$I$21*Historique!G238)</f>
        <v>7896522.5129178604</v>
      </c>
      <c r="D238" s="13">
        <f>RL_NAV*($J$10*Historique!D238+$J$11*Historique!E238+$J$12*Historique!F238+$J$21*Historique!G238)</f>
        <v>7837522.8796658833</v>
      </c>
      <c r="E238" s="20">
        <f t="shared" si="6"/>
        <v>0</v>
      </c>
      <c r="F238" s="20">
        <f t="shared" si="7"/>
        <v>0</v>
      </c>
    </row>
    <row r="239" spans="2:6" x14ac:dyDescent="0.2">
      <c r="B239" s="19">
        <f>Historique!B239</f>
        <v>44739</v>
      </c>
      <c r="C239" s="13">
        <f>RL_NAV*($I$10*Historique!D239+$I$11*Historique!E239+$I$12*Historique!F239+$I$21*Historique!G239)</f>
        <v>3354018.0959797059</v>
      </c>
      <c r="D239" s="13">
        <f>RL_NAV*($J$10*Historique!D239+$J$11*Historique!E239+$J$12*Historique!F239+$J$21*Historique!G239)</f>
        <v>3325565.4708686187</v>
      </c>
      <c r="E239" s="20">
        <f t="shared" si="6"/>
        <v>0</v>
      </c>
      <c r="F239" s="20">
        <f t="shared" si="7"/>
        <v>0</v>
      </c>
    </row>
    <row r="240" spans="2:6" x14ac:dyDescent="0.2">
      <c r="B240" s="19">
        <f>Historique!B240</f>
        <v>44740</v>
      </c>
      <c r="C240" s="13">
        <f>RL_NAV*($I$10*Historique!D240+$I$11*Historique!E240+$I$12*Historique!F240+$I$21*Historique!G240)</f>
        <v>14565545.112986634</v>
      </c>
      <c r="D240" s="13">
        <f>RL_NAV*($J$10*Historique!D240+$J$11*Historique!E240+$J$12*Historique!F240+$J$21*Historique!G240)</f>
        <v>14376797.972801667</v>
      </c>
      <c r="E240" s="20">
        <f t="shared" si="6"/>
        <v>0</v>
      </c>
      <c r="F240" s="20">
        <f t="shared" si="7"/>
        <v>0</v>
      </c>
    </row>
    <row r="241" spans="2:6" x14ac:dyDescent="0.2">
      <c r="B241" s="19">
        <f>Historique!B241</f>
        <v>44741</v>
      </c>
      <c r="C241" s="13">
        <f>RL_NAV*($I$10*Historique!D241+$I$11*Historique!E241+$I$12*Historique!F241+$I$21*Historique!G241)</f>
        <v>2200037.9529075208</v>
      </c>
      <c r="D241" s="13">
        <f>RL_NAV*($J$10*Historique!D241+$J$11*Historique!E241+$J$12*Historique!F241+$J$21*Historique!G241)</f>
        <v>2014778.8796492999</v>
      </c>
      <c r="E241" s="20">
        <f t="shared" si="6"/>
        <v>0</v>
      </c>
      <c r="F241" s="20">
        <f t="shared" si="7"/>
        <v>0</v>
      </c>
    </row>
    <row r="242" spans="2:6" x14ac:dyDescent="0.2">
      <c r="B242" s="19">
        <f>Historique!B242</f>
        <v>44742</v>
      </c>
      <c r="C242" s="13">
        <f>RL_NAV*($I$10*Historique!D242+$I$11*Historique!E242+$I$12*Historique!F242+$I$21*Historique!G242)</f>
        <v>-914964.39031155489</v>
      </c>
      <c r="D242" s="13">
        <f>RL_NAV*($J$10*Historique!D242+$J$11*Historique!E242+$J$12*Historique!F242+$J$21*Historique!G242)</f>
        <v>-1326204.3015794323</v>
      </c>
      <c r="E242" s="20">
        <f t="shared" si="6"/>
        <v>0</v>
      </c>
      <c r="F242" s="20">
        <f t="shared" si="7"/>
        <v>0</v>
      </c>
    </row>
    <row r="243" spans="2:6" x14ac:dyDescent="0.2">
      <c r="B243" s="19">
        <f>Historique!B243</f>
        <v>44743</v>
      </c>
      <c r="C243" s="13">
        <f>RL_NAV*($I$10*Historique!D243+$I$11*Historique!E243+$I$12*Historique!F243+$I$21*Historique!G243)</f>
        <v>-22602296.480509199</v>
      </c>
      <c r="D243" s="13">
        <f>RL_NAV*($J$10*Historique!D243+$J$11*Historique!E243+$J$12*Historique!F243+$J$21*Historique!G243)</f>
        <v>-22280823.686672375</v>
      </c>
      <c r="E243" s="20">
        <f t="shared" si="6"/>
        <v>0</v>
      </c>
      <c r="F243" s="20">
        <f t="shared" si="7"/>
        <v>0</v>
      </c>
    </row>
    <row r="244" spans="2:6" x14ac:dyDescent="0.2">
      <c r="B244" s="19">
        <f>Historique!B244</f>
        <v>44746</v>
      </c>
      <c r="C244" s="13">
        <f>RL_NAV*($I$10*Historique!D244+$I$11*Historique!E244+$I$12*Historique!F244+$I$21*Historique!G244)</f>
        <v>16768352.373339895</v>
      </c>
      <c r="D244" s="13">
        <f>RL_NAV*($J$10*Historique!D244+$J$11*Historique!E244+$J$12*Historique!F244+$J$21*Historique!G244)</f>
        <v>16481781.891826602</v>
      </c>
      <c r="E244" s="20">
        <f t="shared" si="6"/>
        <v>0</v>
      </c>
      <c r="F244" s="20">
        <f t="shared" si="7"/>
        <v>0</v>
      </c>
    </row>
    <row r="245" spans="2:6" x14ac:dyDescent="0.2">
      <c r="B245" s="19">
        <f>Historique!B245</f>
        <v>44747</v>
      </c>
      <c r="C245" s="13">
        <f>RL_NAV*($I$10*Historique!D245+$I$11*Historique!E245+$I$12*Historique!F245+$I$21*Historique!G245)</f>
        <v>-12316933.609689342</v>
      </c>
      <c r="D245" s="13">
        <f>RL_NAV*($J$10*Historique!D245+$J$11*Historique!E245+$J$12*Historique!F245+$J$21*Historique!G245)</f>
        <v>-12261903.480063383</v>
      </c>
      <c r="E245" s="20">
        <f t="shared" si="6"/>
        <v>0</v>
      </c>
      <c r="F245" s="20">
        <f t="shared" si="7"/>
        <v>0</v>
      </c>
    </row>
    <row r="246" spans="2:6" x14ac:dyDescent="0.2">
      <c r="B246" s="19">
        <f>Historique!B246</f>
        <v>44748</v>
      </c>
      <c r="C246" s="13">
        <f>RL_NAV*($I$10*Historique!D246+$I$11*Historique!E246+$I$12*Historique!F246+$I$21*Historique!G246)</f>
        <v>-15461467.814319989</v>
      </c>
      <c r="D246" s="13">
        <f>RL_NAV*($J$10*Historique!D246+$J$11*Historique!E246+$J$12*Historique!F246+$J$21*Historique!G246)</f>
        <v>-15246096.989787987</v>
      </c>
      <c r="E246" s="20">
        <f t="shared" si="6"/>
        <v>0</v>
      </c>
      <c r="F246" s="20">
        <f t="shared" si="7"/>
        <v>0</v>
      </c>
    </row>
    <row r="247" spans="2:6" x14ac:dyDescent="0.2">
      <c r="B247" s="19">
        <f>Historique!B247</f>
        <v>44749</v>
      </c>
      <c r="C247" s="13">
        <f>RL_NAV*($I$10*Historique!D247+$I$11*Historique!E247+$I$12*Historique!F247+$I$21*Historique!G247)</f>
        <v>10151598.476630719</v>
      </c>
      <c r="D247" s="13">
        <f>RL_NAV*($J$10*Historique!D247+$J$11*Historique!E247+$J$12*Historique!F247+$J$21*Historique!G247)</f>
        <v>10142929.075052992</v>
      </c>
      <c r="E247" s="20">
        <f t="shared" si="6"/>
        <v>0</v>
      </c>
      <c r="F247" s="20">
        <f t="shared" si="7"/>
        <v>0</v>
      </c>
    </row>
    <row r="248" spans="2:6" x14ac:dyDescent="0.2">
      <c r="B248" s="19">
        <f>Historique!B248</f>
        <v>44750</v>
      </c>
      <c r="C248" s="13">
        <f>RL_NAV*($I$10*Historique!D248+$I$11*Historique!E248+$I$12*Historique!F248+$I$21*Historique!G248)</f>
        <v>-472258.60903348692</v>
      </c>
      <c r="D248" s="13">
        <f>RL_NAV*($J$10*Historique!D248+$J$11*Historique!E248+$J$12*Historique!F248+$J$21*Historique!G248)</f>
        <v>-444705.02274865232</v>
      </c>
      <c r="E248" s="20">
        <f t="shared" si="6"/>
        <v>0</v>
      </c>
      <c r="F248" s="20">
        <f t="shared" si="7"/>
        <v>0</v>
      </c>
    </row>
    <row r="249" spans="2:6" x14ac:dyDescent="0.2">
      <c r="B249" s="19">
        <f>Historique!B249</f>
        <v>44753</v>
      </c>
      <c r="C249" s="13">
        <f>RL_NAV*($I$10*Historique!D249+$I$11*Historique!E249+$I$12*Historique!F249+$I$21*Historique!G249)</f>
        <v>-14688065.092655886</v>
      </c>
      <c r="D249" s="13">
        <f>RL_NAV*($J$10*Historique!D249+$J$11*Historique!E249+$J$12*Historique!F249+$J$21*Historique!G249)</f>
        <v>-14442859.356939971</v>
      </c>
      <c r="E249" s="20">
        <f t="shared" si="6"/>
        <v>0</v>
      </c>
      <c r="F249" s="20">
        <f t="shared" si="7"/>
        <v>0</v>
      </c>
    </row>
    <row r="250" spans="2:6" x14ac:dyDescent="0.2">
      <c r="B250" s="19">
        <f>Historique!B250</f>
        <v>44754</v>
      </c>
      <c r="C250" s="13">
        <f>RL_NAV*($I$10*Historique!D250+$I$11*Historique!E250+$I$12*Historique!F250+$I$21*Historique!G250)</f>
        <v>-6168660.4218069511</v>
      </c>
      <c r="D250" s="13">
        <f>RL_NAV*($J$10*Historique!D250+$J$11*Historique!E250+$J$12*Historique!F250+$J$21*Historique!G250)</f>
        <v>-6214697.7185930749</v>
      </c>
      <c r="E250" s="20">
        <f t="shared" si="6"/>
        <v>0</v>
      </c>
      <c r="F250" s="20">
        <f t="shared" si="7"/>
        <v>0</v>
      </c>
    </row>
    <row r="251" spans="2:6" x14ac:dyDescent="0.2">
      <c r="B251" s="19">
        <f>Historique!B251</f>
        <v>44755</v>
      </c>
      <c r="C251" s="13">
        <f>RL_NAV*($I$10*Historique!D251+$I$11*Historique!E251+$I$12*Historique!F251+$I$21*Historique!G251)</f>
        <v>-7982022.9805571334</v>
      </c>
      <c r="D251" s="13">
        <f>RL_NAV*($J$10*Historique!D251+$J$11*Historique!E251+$J$12*Historique!F251+$J$21*Historique!G251)</f>
        <v>-7598861.4005148681</v>
      </c>
      <c r="E251" s="20">
        <f t="shared" si="6"/>
        <v>0</v>
      </c>
      <c r="F251" s="20">
        <f t="shared" si="7"/>
        <v>0</v>
      </c>
    </row>
    <row r="252" spans="2:6" x14ac:dyDescent="0.2">
      <c r="B252" s="19">
        <f>Historique!B252</f>
        <v>44756</v>
      </c>
      <c r="C252" s="13">
        <f>RL_NAV*($I$10*Historique!D252+$I$11*Historique!E252+$I$12*Historique!F252+$I$21*Historique!G252)</f>
        <v>4620209.821670169</v>
      </c>
      <c r="D252" s="13">
        <f>RL_NAV*($J$10*Historique!D252+$J$11*Historique!E252+$J$12*Historique!F252+$J$21*Historique!G252)</f>
        <v>4645631.4022216871</v>
      </c>
      <c r="E252" s="20">
        <f t="shared" si="6"/>
        <v>0</v>
      </c>
      <c r="F252" s="20">
        <f t="shared" si="7"/>
        <v>0</v>
      </c>
    </row>
    <row r="253" spans="2:6" x14ac:dyDescent="0.2">
      <c r="B253" s="19">
        <f>Historique!B253</f>
        <v>44757</v>
      </c>
      <c r="C253" s="13">
        <f>RL_NAV*($I$10*Historique!D253+$I$11*Historique!E253+$I$12*Historique!F253+$I$21*Historique!G253)</f>
        <v>7377227.9615147235</v>
      </c>
      <c r="D253" s="13">
        <f>RL_NAV*($J$10*Historique!D253+$J$11*Historique!E253+$J$12*Historique!F253+$J$21*Historique!G253)</f>
        <v>7070055.9710039105</v>
      </c>
      <c r="E253" s="20">
        <f t="shared" si="6"/>
        <v>0</v>
      </c>
      <c r="F253" s="20">
        <f t="shared" si="7"/>
        <v>0</v>
      </c>
    </row>
    <row r="254" spans="2:6" x14ac:dyDescent="0.2">
      <c r="B254" s="19">
        <f>Historique!B254</f>
        <v>44760</v>
      </c>
      <c r="C254" s="13">
        <f>RL_NAV*($I$10*Historique!D254+$I$11*Historique!E254+$I$12*Historique!F254+$I$21*Historique!G254)</f>
        <v>-5343826.9581476552</v>
      </c>
      <c r="D254" s="13">
        <f>RL_NAV*($J$10*Historique!D254+$J$11*Historique!E254+$J$12*Historique!F254+$J$21*Historique!G254)</f>
        <v>-5074504.0029895939</v>
      </c>
      <c r="E254" s="20">
        <f t="shared" si="6"/>
        <v>0</v>
      </c>
      <c r="F254" s="20">
        <f t="shared" si="7"/>
        <v>0</v>
      </c>
    </row>
    <row r="255" spans="2:6" x14ac:dyDescent="0.2">
      <c r="B255" s="19">
        <f>Historique!B255</f>
        <v>44761</v>
      </c>
      <c r="C255" s="13">
        <f>RL_NAV*($I$10*Historique!D255+$I$11*Historique!E255+$I$12*Historique!F255+$I$21*Historique!G255)</f>
        <v>1958606.9731507681</v>
      </c>
      <c r="D255" s="13">
        <f>RL_NAV*($J$10*Historique!D255+$J$11*Historique!E255+$J$12*Historique!F255+$J$21*Historique!G255)</f>
        <v>2033895.9219876719</v>
      </c>
      <c r="E255" s="20">
        <f t="shared" si="6"/>
        <v>0</v>
      </c>
      <c r="F255" s="20">
        <f t="shared" si="7"/>
        <v>0</v>
      </c>
    </row>
    <row r="256" spans="2:6" x14ac:dyDescent="0.2">
      <c r="B256" s="19">
        <f>Historique!B256</f>
        <v>44762</v>
      </c>
      <c r="C256" s="13">
        <f>RL_NAV*($I$10*Historique!D256+$I$11*Historique!E256+$I$12*Historique!F256+$I$21*Historique!G256)</f>
        <v>-14193585.614658587</v>
      </c>
      <c r="D256" s="13">
        <f>RL_NAV*($J$10*Historique!D256+$J$11*Historique!E256+$J$12*Historique!F256+$J$21*Historique!G256)</f>
        <v>-13835594.064636903</v>
      </c>
      <c r="E256" s="20">
        <f t="shared" si="6"/>
        <v>0</v>
      </c>
      <c r="F256" s="20">
        <f t="shared" si="7"/>
        <v>0</v>
      </c>
    </row>
    <row r="257" spans="2:6" x14ac:dyDescent="0.2">
      <c r="B257" s="19">
        <f>Historique!B257</f>
        <v>44763</v>
      </c>
      <c r="C257" s="13">
        <f>RL_NAV*($I$10*Historique!D257+$I$11*Historique!E257+$I$12*Historique!F257+$I$21*Historique!G257)</f>
        <v>-6193141.2443571594</v>
      </c>
      <c r="D257" s="13">
        <f>RL_NAV*($J$10*Historique!D257+$J$11*Historique!E257+$J$12*Historique!F257+$J$21*Historique!G257)</f>
        <v>-5938142.3315126998</v>
      </c>
      <c r="E257" s="20">
        <f t="shared" si="6"/>
        <v>0</v>
      </c>
      <c r="F257" s="20">
        <f t="shared" si="7"/>
        <v>0</v>
      </c>
    </row>
    <row r="258" spans="2:6" x14ac:dyDescent="0.2">
      <c r="B258" s="19">
        <f>Historique!B258</f>
        <v>44764</v>
      </c>
      <c r="C258" s="13">
        <f>RL_NAV*($I$10*Historique!D258+$I$11*Historique!E258+$I$12*Historique!F258+$I$21*Historique!G258)</f>
        <v>-26289305.386781398</v>
      </c>
      <c r="D258" s="13">
        <f>RL_NAV*($J$10*Historique!D258+$J$11*Historique!E258+$J$12*Historique!F258+$J$21*Historique!G258)</f>
        <v>-26031585.74315973</v>
      </c>
      <c r="E258" s="20">
        <f t="shared" si="6"/>
        <v>0</v>
      </c>
      <c r="F258" s="20">
        <f t="shared" si="7"/>
        <v>0</v>
      </c>
    </row>
    <row r="259" spans="2:6" x14ac:dyDescent="0.2">
      <c r="B259" s="19">
        <f>Historique!B259</f>
        <v>44767</v>
      </c>
      <c r="C259" s="13">
        <f>RL_NAV*($I$10*Historique!D259+$I$11*Historique!E259+$I$12*Historique!F259+$I$21*Historique!G259)</f>
        <v>-14002293.1966759</v>
      </c>
      <c r="D259" s="13">
        <f>RL_NAV*($J$10*Historique!D259+$J$11*Historique!E259+$J$12*Historique!F259+$J$21*Historique!G259)</f>
        <v>-13583951.842548272</v>
      </c>
      <c r="E259" s="20">
        <f t="shared" si="6"/>
        <v>0</v>
      </c>
      <c r="F259" s="20">
        <f t="shared" si="7"/>
        <v>0</v>
      </c>
    </row>
    <row r="260" spans="2:6" x14ac:dyDescent="0.2">
      <c r="B260" s="19">
        <f>Historique!B260</f>
        <v>44768</v>
      </c>
      <c r="C260" s="13">
        <f>RL_NAV*($I$10*Historique!D260+$I$11*Historique!E260+$I$12*Historique!F260+$I$21*Historique!G260)</f>
        <v>-21468205.621134754</v>
      </c>
      <c r="D260" s="13">
        <f>RL_NAV*($J$10*Historique!D260+$J$11*Historique!E260+$J$12*Historique!F260+$J$21*Historique!G260)</f>
        <v>-21159194.007265761</v>
      </c>
      <c r="E260" s="20">
        <f t="shared" si="6"/>
        <v>0</v>
      </c>
      <c r="F260" s="20">
        <f t="shared" si="7"/>
        <v>0</v>
      </c>
    </row>
    <row r="261" spans="2:6" x14ac:dyDescent="0.2">
      <c r="B261" s="19">
        <f>Historique!B261</f>
        <v>44769</v>
      </c>
      <c r="C261" s="13">
        <f>RL_NAV*($I$10*Historique!D261+$I$11*Historique!E261+$I$12*Historique!F261+$I$21*Historique!G261)</f>
        <v>12351740.347027672</v>
      </c>
      <c r="D261" s="13">
        <f>RL_NAV*($J$10*Historique!D261+$J$11*Historique!E261+$J$12*Historique!F261+$J$21*Historique!G261)</f>
        <v>12078742.609724361</v>
      </c>
      <c r="E261" s="20">
        <f t="shared" si="6"/>
        <v>0</v>
      </c>
      <c r="F261" s="20">
        <f t="shared" si="7"/>
        <v>0</v>
      </c>
    </row>
    <row r="262" spans="2:6" x14ac:dyDescent="0.2">
      <c r="B262" s="19">
        <f>Historique!B262</f>
        <v>44770</v>
      </c>
      <c r="C262" s="13">
        <f>RL_NAV*($I$10*Historique!D262+$I$11*Historique!E262+$I$12*Historique!F262+$I$21*Historique!G262)</f>
        <v>-27898854.875139762</v>
      </c>
      <c r="D262" s="13">
        <f>RL_NAV*($J$10*Historique!D262+$J$11*Historique!E262+$J$12*Historique!F262+$J$21*Historique!G262)</f>
        <v>-27449505.231546305</v>
      </c>
      <c r="E262" s="20">
        <f t="shared" si="6"/>
        <v>0</v>
      </c>
      <c r="F262" s="20">
        <f t="shared" si="7"/>
        <v>0</v>
      </c>
    </row>
    <row r="263" spans="2:6" x14ac:dyDescent="0.2">
      <c r="B263" s="19">
        <f>Historique!B263</f>
        <v>44771</v>
      </c>
      <c r="C263" s="13">
        <f>RL_NAV*($I$10*Historique!D263+$I$11*Historique!E263+$I$12*Historique!F263+$I$21*Historique!G263)</f>
        <v>-1211195.3897902905</v>
      </c>
      <c r="D263" s="13">
        <f>RL_NAV*($J$10*Historique!D263+$J$11*Historique!E263+$J$12*Historique!F263+$J$21*Historique!G263)</f>
        <v>-1096447.4859957173</v>
      </c>
      <c r="E263" s="20">
        <f t="shared" ref="E263:E326" si="8">IF(C263&gt;$I$9,1,IF(C263=$I$9,($I$8-$I$18)/$I$19,0))/$I$8</f>
        <v>0</v>
      </c>
      <c r="F263" s="20">
        <f t="shared" ref="F263:F326" si="9">IF(D263&gt;$J$9,1,IF(D263=$J$9,($J$8-$J$18)/$J$19,0))/$J$8</f>
        <v>0</v>
      </c>
    </row>
    <row r="264" spans="2:6" x14ac:dyDescent="0.2">
      <c r="B264" s="19">
        <f>Historique!B264</f>
        <v>44774</v>
      </c>
      <c r="C264" s="13">
        <f>RL_NAV*($I$10*Historique!D264+$I$11*Historique!E264+$I$12*Historique!F264+$I$21*Historique!G264)</f>
        <v>-13584307.203260476</v>
      </c>
      <c r="D264" s="13">
        <f>RL_NAV*($J$10*Historique!D264+$J$11*Historique!E264+$J$12*Historique!F264+$J$21*Historique!G264)</f>
        <v>-13342624.765458524</v>
      </c>
      <c r="E264" s="20">
        <f t="shared" si="8"/>
        <v>0</v>
      </c>
      <c r="F264" s="20">
        <f t="shared" si="9"/>
        <v>0</v>
      </c>
    </row>
    <row r="265" spans="2:6" x14ac:dyDescent="0.2">
      <c r="B265" s="19">
        <f>Historique!B265</f>
        <v>44775</v>
      </c>
      <c r="C265" s="13">
        <f>RL_NAV*($I$10*Historique!D265+$I$11*Historique!E265+$I$12*Historique!F265+$I$21*Historique!G265)</f>
        <v>1836131.3018857485</v>
      </c>
      <c r="D265" s="13">
        <f>RL_NAV*($J$10*Historique!D265+$J$11*Historique!E265+$J$12*Historique!F265+$J$21*Historique!G265)</f>
        <v>1776038.2762416601</v>
      </c>
      <c r="E265" s="20">
        <f t="shared" si="8"/>
        <v>0</v>
      </c>
      <c r="F265" s="20">
        <f t="shared" si="9"/>
        <v>0</v>
      </c>
    </row>
    <row r="266" spans="2:6" x14ac:dyDescent="0.2">
      <c r="B266" s="19">
        <f>Historique!B266</f>
        <v>44776</v>
      </c>
      <c r="C266" s="13">
        <f>RL_NAV*($I$10*Historique!D266+$I$11*Historique!E266+$I$12*Historique!F266+$I$21*Historique!G266)</f>
        <v>14643577.377219068</v>
      </c>
      <c r="D266" s="13">
        <f>RL_NAV*($J$10*Historique!D266+$J$11*Historique!E266+$J$12*Historique!F266+$J$21*Historique!G266)</f>
        <v>14495236.630206179</v>
      </c>
      <c r="E266" s="20">
        <f t="shared" si="8"/>
        <v>0</v>
      </c>
      <c r="F266" s="20">
        <f t="shared" si="9"/>
        <v>0</v>
      </c>
    </row>
    <row r="267" spans="2:6" x14ac:dyDescent="0.2">
      <c r="B267" s="19">
        <f>Historique!B267</f>
        <v>44777</v>
      </c>
      <c r="C267" s="13">
        <f>RL_NAV*($I$10*Historique!D267+$I$11*Historique!E267+$I$12*Historique!F267+$I$21*Historique!G267)</f>
        <v>-14333523.120226048</v>
      </c>
      <c r="D267" s="13">
        <f>RL_NAV*($J$10*Historique!D267+$J$11*Historique!E267+$J$12*Historique!F267+$J$21*Historique!G267)</f>
        <v>-14054994.667903986</v>
      </c>
      <c r="E267" s="20">
        <f t="shared" si="8"/>
        <v>0</v>
      </c>
      <c r="F267" s="20">
        <f t="shared" si="9"/>
        <v>0</v>
      </c>
    </row>
    <row r="268" spans="2:6" x14ac:dyDescent="0.2">
      <c r="B268" s="19">
        <f>Historique!B268</f>
        <v>44778</v>
      </c>
      <c r="C268" s="13">
        <f>RL_NAV*($I$10*Historique!D268+$I$11*Historique!E268+$I$12*Historique!F268+$I$21*Historique!G268)</f>
        <v>15022905.099674799</v>
      </c>
      <c r="D268" s="13">
        <f>RL_NAV*($J$10*Historique!D268+$J$11*Historique!E268+$J$12*Historique!F268+$J$21*Historique!G268)</f>
        <v>14845547.94810199</v>
      </c>
      <c r="E268" s="20">
        <f t="shared" si="8"/>
        <v>0</v>
      </c>
      <c r="F268" s="20">
        <f t="shared" si="9"/>
        <v>0</v>
      </c>
    </row>
    <row r="269" spans="2:6" x14ac:dyDescent="0.2">
      <c r="B269" s="19">
        <f>Historique!B269</f>
        <v>44781</v>
      </c>
      <c r="C269" s="13">
        <f>RL_NAV*($I$10*Historique!D269+$I$11*Historique!E269+$I$12*Historique!F269+$I$21*Historique!G269)</f>
        <v>-2589362.3000444761</v>
      </c>
      <c r="D269" s="13">
        <f>RL_NAV*($J$10*Historique!D269+$J$11*Historique!E269+$J$12*Historique!F269+$J$21*Historique!G269)</f>
        <v>-2591601.2394718481</v>
      </c>
      <c r="E269" s="20">
        <f t="shared" si="8"/>
        <v>0</v>
      </c>
      <c r="F269" s="20">
        <f t="shared" si="9"/>
        <v>0</v>
      </c>
    </row>
    <row r="270" spans="2:6" x14ac:dyDescent="0.2">
      <c r="B270" s="19">
        <f>Historique!B270</f>
        <v>44782</v>
      </c>
      <c r="C270" s="13">
        <f>RL_NAV*($I$10*Historique!D270+$I$11*Historique!E270+$I$12*Historique!F270+$I$21*Historique!G270)</f>
        <v>1254272.9530489016</v>
      </c>
      <c r="D270" s="13">
        <f>RL_NAV*($J$10*Historique!D270+$J$11*Historique!E270+$J$12*Historique!F270+$J$21*Historique!G270)</f>
        <v>1356885.9043661626</v>
      </c>
      <c r="E270" s="20">
        <f t="shared" si="8"/>
        <v>0</v>
      </c>
      <c r="F270" s="20">
        <f t="shared" si="9"/>
        <v>0</v>
      </c>
    </row>
    <row r="271" spans="2:6" x14ac:dyDescent="0.2">
      <c r="B271" s="19">
        <f>Historique!B271</f>
        <v>44783</v>
      </c>
      <c r="C271" s="13">
        <f>RL_NAV*($I$10*Historique!D271+$I$11*Historique!E271+$I$12*Historique!F271+$I$21*Historique!G271)</f>
        <v>-2503507.9742342723</v>
      </c>
      <c r="D271" s="13">
        <f>RL_NAV*($J$10*Historique!D271+$J$11*Historique!E271+$J$12*Historique!F271+$J$21*Historique!G271)</f>
        <v>-2563482.4738318957</v>
      </c>
      <c r="E271" s="20">
        <f t="shared" si="8"/>
        <v>0</v>
      </c>
      <c r="F271" s="20">
        <f t="shared" si="9"/>
        <v>0</v>
      </c>
    </row>
    <row r="272" spans="2:6" x14ac:dyDescent="0.2">
      <c r="B272" s="19">
        <f>Historique!B272</f>
        <v>44784</v>
      </c>
      <c r="C272" s="13">
        <f>RL_NAV*($I$10*Historique!D272+$I$11*Historique!E272+$I$12*Historique!F272+$I$21*Historique!G272)</f>
        <v>-1704009.6677857512</v>
      </c>
      <c r="D272" s="13">
        <f>RL_NAV*($J$10*Historique!D272+$J$11*Historique!E272+$J$12*Historique!F272+$J$21*Historique!G272)</f>
        <v>-1589324.3256533982</v>
      </c>
      <c r="E272" s="20">
        <f t="shared" si="8"/>
        <v>0</v>
      </c>
      <c r="F272" s="20">
        <f t="shared" si="9"/>
        <v>0</v>
      </c>
    </row>
    <row r="273" spans="2:6" x14ac:dyDescent="0.2">
      <c r="B273" s="19">
        <f>Historique!B273</f>
        <v>44785</v>
      </c>
      <c r="C273" s="13">
        <f>RL_NAV*($I$10*Historique!D273+$I$11*Historique!E273+$I$12*Historique!F273+$I$21*Historique!G273)</f>
        <v>29358.620150893632</v>
      </c>
      <c r="D273" s="13">
        <f>RL_NAV*($J$10*Historique!D273+$J$11*Historique!E273+$J$12*Historique!F273+$J$21*Historique!G273)</f>
        <v>68296.644514666928</v>
      </c>
      <c r="E273" s="20">
        <f t="shared" si="8"/>
        <v>0</v>
      </c>
      <c r="F273" s="20">
        <f t="shared" si="9"/>
        <v>0</v>
      </c>
    </row>
    <row r="274" spans="2:6" x14ac:dyDescent="0.2">
      <c r="B274" s="19">
        <f>Historique!B274</f>
        <v>44788</v>
      </c>
      <c r="C274" s="13">
        <f>RL_NAV*($I$10*Historique!D274+$I$11*Historique!E274+$I$12*Historique!F274+$I$21*Historique!G274)</f>
        <v>126300.70714440028</v>
      </c>
      <c r="D274" s="13">
        <f>RL_NAV*($J$10*Historique!D274+$J$11*Historique!E274+$J$12*Historique!F274+$J$21*Historique!G274)</f>
        <v>121742.79206949564</v>
      </c>
      <c r="E274" s="20">
        <f t="shared" si="8"/>
        <v>0</v>
      </c>
      <c r="F274" s="20">
        <f t="shared" si="9"/>
        <v>0</v>
      </c>
    </row>
    <row r="275" spans="2:6" x14ac:dyDescent="0.2">
      <c r="B275" s="19">
        <f>Historique!B275</f>
        <v>44789</v>
      </c>
      <c r="C275" s="13">
        <f>RL_NAV*($I$10*Historique!D275+$I$11*Historique!E275+$I$12*Historique!F275+$I$21*Historique!G275)</f>
        <v>57494.18506480191</v>
      </c>
      <c r="D275" s="13">
        <f>RL_NAV*($J$10*Historique!D275+$J$11*Historique!E275+$J$12*Historique!F275+$J$21*Historique!G275)</f>
        <v>112865.49327263529</v>
      </c>
      <c r="E275" s="20">
        <f t="shared" si="8"/>
        <v>0</v>
      </c>
      <c r="F275" s="20">
        <f t="shared" si="9"/>
        <v>0</v>
      </c>
    </row>
    <row r="276" spans="2:6" x14ac:dyDescent="0.2">
      <c r="B276" s="19">
        <f>Historique!B276</f>
        <v>44790</v>
      </c>
      <c r="C276" s="13">
        <f>RL_NAV*($I$10*Historique!D276+$I$11*Historique!E276+$I$12*Historique!F276+$I$21*Historique!G276)</f>
        <v>16394936.797756348</v>
      </c>
      <c r="D276" s="13">
        <f>RL_NAV*($J$10*Historique!D276+$J$11*Historique!E276+$J$12*Historique!F276+$J$21*Historique!G276)</f>
        <v>16217909.287128299</v>
      </c>
      <c r="E276" s="20">
        <f t="shared" si="8"/>
        <v>0</v>
      </c>
      <c r="F276" s="20">
        <f t="shared" si="9"/>
        <v>0</v>
      </c>
    </row>
    <row r="277" spans="2:6" x14ac:dyDescent="0.2">
      <c r="B277" s="19">
        <f>Historique!B277</f>
        <v>44791</v>
      </c>
      <c r="C277" s="13">
        <f>RL_NAV*($I$10*Historique!D277+$I$11*Historique!E277+$I$12*Historique!F277+$I$21*Historique!G277)</f>
        <v>13038612.472432604</v>
      </c>
      <c r="D277" s="13">
        <f>RL_NAV*($J$10*Historique!D277+$J$11*Historique!E277+$J$12*Historique!F277+$J$21*Historique!G277)</f>
        <v>12753374.131545901</v>
      </c>
      <c r="E277" s="20">
        <f t="shared" si="8"/>
        <v>0</v>
      </c>
      <c r="F277" s="20">
        <f t="shared" si="9"/>
        <v>0</v>
      </c>
    </row>
    <row r="278" spans="2:6" x14ac:dyDescent="0.2">
      <c r="B278" s="19">
        <f>Historique!B278</f>
        <v>44792</v>
      </c>
      <c r="C278" s="13">
        <f>RL_NAV*($I$10*Historique!D278+$I$11*Historique!E278+$I$12*Historique!F278+$I$21*Historique!G278)</f>
        <v>17255965.217250615</v>
      </c>
      <c r="D278" s="13">
        <f>RL_NAV*($J$10*Historique!D278+$J$11*Historique!E278+$J$12*Historique!F278+$J$21*Historique!G278)</f>
        <v>16974692.790233124</v>
      </c>
      <c r="E278" s="20">
        <f t="shared" si="8"/>
        <v>0</v>
      </c>
      <c r="F278" s="20">
        <f t="shared" si="9"/>
        <v>0</v>
      </c>
    </row>
    <row r="279" spans="2:6" x14ac:dyDescent="0.2">
      <c r="B279" s="19">
        <f>Historique!B279</f>
        <v>44795</v>
      </c>
      <c r="C279" s="13">
        <f>RL_NAV*($I$10*Historique!D279+$I$11*Historique!E279+$I$12*Historique!F279+$I$21*Historique!G279)</f>
        <v>15320897.319998518</v>
      </c>
      <c r="D279" s="13">
        <f>RL_NAV*($J$10*Historique!D279+$J$11*Historique!E279+$J$12*Historique!F279+$J$21*Historique!G279)</f>
        <v>15041891.712502999</v>
      </c>
      <c r="E279" s="20">
        <f t="shared" si="8"/>
        <v>0</v>
      </c>
      <c r="F279" s="20">
        <f t="shared" si="9"/>
        <v>0</v>
      </c>
    </row>
    <row r="280" spans="2:6" x14ac:dyDescent="0.2">
      <c r="B280" s="19">
        <f>Historique!B280</f>
        <v>44796</v>
      </c>
      <c r="C280" s="13">
        <f>RL_NAV*($I$10*Historique!D280+$I$11*Historique!E280+$I$12*Historique!F280+$I$21*Historique!G280)</f>
        <v>20982291.93790577</v>
      </c>
      <c r="D280" s="13">
        <f>RL_NAV*($J$10*Historique!D280+$J$11*Historique!E280+$J$12*Historique!F280+$J$21*Historique!G280)</f>
        <v>20535073.5328479</v>
      </c>
      <c r="E280" s="20">
        <f t="shared" si="8"/>
        <v>0</v>
      </c>
      <c r="F280" s="20">
        <f t="shared" si="9"/>
        <v>0</v>
      </c>
    </row>
    <row r="281" spans="2:6" x14ac:dyDescent="0.2">
      <c r="B281" s="19">
        <f>Historique!B281</f>
        <v>44797</v>
      </c>
      <c r="C281" s="13">
        <f>RL_NAV*($I$10*Historique!D281+$I$11*Historique!E281+$I$12*Historique!F281+$I$21*Historique!G281)</f>
        <v>8238434.6877667569</v>
      </c>
      <c r="D281" s="13">
        <f>RL_NAV*($J$10*Historique!D281+$J$11*Historique!E281+$J$12*Historique!F281+$J$21*Historique!G281)</f>
        <v>8070549.7439746549</v>
      </c>
      <c r="E281" s="20">
        <f t="shared" si="8"/>
        <v>0</v>
      </c>
      <c r="F281" s="20">
        <f t="shared" si="9"/>
        <v>0</v>
      </c>
    </row>
    <row r="282" spans="2:6" x14ac:dyDescent="0.2">
      <c r="B282" s="19">
        <f>Historique!B282</f>
        <v>44798</v>
      </c>
      <c r="C282" s="13">
        <f>RL_NAV*($I$10*Historique!D282+$I$11*Historique!E282+$I$12*Historique!F282+$I$21*Historique!G282)</f>
        <v>-15298353.656124812</v>
      </c>
      <c r="D282" s="13">
        <f>RL_NAV*($J$10*Historique!D282+$J$11*Historique!E282+$J$12*Historique!F282+$J$21*Historique!G282)</f>
        <v>-15009872.901924854</v>
      </c>
      <c r="E282" s="20">
        <f t="shared" si="8"/>
        <v>0</v>
      </c>
      <c r="F282" s="20">
        <f t="shared" si="9"/>
        <v>0</v>
      </c>
    </row>
    <row r="283" spans="2:6" x14ac:dyDescent="0.2">
      <c r="B283" s="19">
        <f>Historique!B283</f>
        <v>44799</v>
      </c>
      <c r="C283" s="13">
        <f>RL_NAV*($I$10*Historique!D283+$I$11*Historique!E283+$I$12*Historique!F283+$I$21*Historique!G283)</f>
        <v>7542135.5899537019</v>
      </c>
      <c r="D283" s="13">
        <f>RL_NAV*($J$10*Historique!D283+$J$11*Historique!E283+$J$12*Historique!F283+$J$21*Historique!G283)</f>
        <v>7523449.5970972478</v>
      </c>
      <c r="E283" s="20">
        <f t="shared" si="8"/>
        <v>0</v>
      </c>
      <c r="F283" s="20">
        <f t="shared" si="9"/>
        <v>0</v>
      </c>
    </row>
    <row r="284" spans="2:6" x14ac:dyDescent="0.2">
      <c r="B284" s="19">
        <f>Historique!B284</f>
        <v>44802</v>
      </c>
      <c r="C284" s="13">
        <f>RL_NAV*($I$10*Historique!D284+$I$11*Historique!E284+$I$12*Historique!F284+$I$21*Historique!G284)</f>
        <v>11329255.571437746</v>
      </c>
      <c r="D284" s="13">
        <f>RL_NAV*($J$10*Historique!D284+$J$11*Historique!E284+$J$12*Historique!F284+$J$21*Historique!G284)</f>
        <v>11232122.740932776</v>
      </c>
      <c r="E284" s="20">
        <f t="shared" si="8"/>
        <v>0</v>
      </c>
      <c r="F284" s="20">
        <f t="shared" si="9"/>
        <v>0</v>
      </c>
    </row>
    <row r="285" spans="2:6" x14ac:dyDescent="0.2">
      <c r="B285" s="19">
        <f>Historique!B285</f>
        <v>44803</v>
      </c>
      <c r="C285" s="13">
        <f>RL_NAV*($I$10*Historique!D285+$I$11*Historique!E285+$I$12*Historique!F285+$I$21*Historique!G285)</f>
        <v>4912206.7622562544</v>
      </c>
      <c r="D285" s="13">
        <f>RL_NAV*($J$10*Historique!D285+$J$11*Historique!E285+$J$12*Historique!F285+$J$21*Historique!G285)</f>
        <v>4797240.367596304</v>
      </c>
      <c r="E285" s="20">
        <f t="shared" si="8"/>
        <v>0</v>
      </c>
      <c r="F285" s="20">
        <f t="shared" si="9"/>
        <v>0</v>
      </c>
    </row>
    <row r="286" spans="2:6" x14ac:dyDescent="0.2">
      <c r="B286" s="19">
        <f>Historique!B286</f>
        <v>44804</v>
      </c>
      <c r="C286" s="13">
        <f>RL_NAV*($I$10*Historique!D286+$I$11*Historique!E286+$I$12*Historique!F286+$I$21*Historique!G286)</f>
        <v>17094206.476800095</v>
      </c>
      <c r="D286" s="13">
        <f>RL_NAV*($J$10*Historique!D286+$J$11*Historique!E286+$J$12*Historique!F286+$J$21*Historique!G286)</f>
        <v>16777676.352180406</v>
      </c>
      <c r="E286" s="20">
        <f t="shared" si="8"/>
        <v>0</v>
      </c>
      <c r="F286" s="20">
        <f t="shared" si="9"/>
        <v>0</v>
      </c>
    </row>
    <row r="287" spans="2:6" x14ac:dyDescent="0.2">
      <c r="B287" s="19">
        <f>Historique!B287</f>
        <v>44805</v>
      </c>
      <c r="C287" s="13">
        <f>RL_NAV*($I$10*Historique!D287+$I$11*Historique!E287+$I$12*Historique!F287+$I$21*Historique!G287)</f>
        <v>11650360.290145464</v>
      </c>
      <c r="D287" s="13">
        <f>RL_NAV*($J$10*Historique!D287+$J$11*Historique!E287+$J$12*Historique!F287+$J$21*Historique!G287)</f>
        <v>11353263.113063809</v>
      </c>
      <c r="E287" s="20">
        <f t="shared" si="8"/>
        <v>0</v>
      </c>
      <c r="F287" s="20">
        <f t="shared" si="9"/>
        <v>0</v>
      </c>
    </row>
    <row r="288" spans="2:6" x14ac:dyDescent="0.2">
      <c r="B288" s="19">
        <f>Historique!B288</f>
        <v>44806</v>
      </c>
      <c r="C288" s="13">
        <f>RL_NAV*($I$10*Historique!D288+$I$11*Historique!E288+$I$12*Historique!F288+$I$21*Historique!G288)</f>
        <v>-6756479.7850383241</v>
      </c>
      <c r="D288" s="13">
        <f>RL_NAV*($J$10*Historique!D288+$J$11*Historique!E288+$J$12*Historique!F288+$J$21*Historique!G288)</f>
        <v>-6778549.2804123098</v>
      </c>
      <c r="E288" s="20">
        <f t="shared" si="8"/>
        <v>0</v>
      </c>
      <c r="F288" s="20">
        <f t="shared" si="9"/>
        <v>0</v>
      </c>
    </row>
    <row r="289" spans="2:6" x14ac:dyDescent="0.2">
      <c r="B289" s="19">
        <f>Historique!B289</f>
        <v>44809</v>
      </c>
      <c r="C289" s="13">
        <f>RL_NAV*($I$10*Historique!D289+$I$11*Historique!E289+$I$12*Historique!F289+$I$21*Historique!G289)</f>
        <v>9730083.0753180385</v>
      </c>
      <c r="D289" s="13">
        <f>RL_NAV*($J$10*Historique!D289+$J$11*Historique!E289+$J$12*Historique!F289+$J$21*Historique!G289)</f>
        <v>9603697.1503751129</v>
      </c>
      <c r="E289" s="20">
        <f t="shared" si="8"/>
        <v>0</v>
      </c>
      <c r="F289" s="20">
        <f t="shared" si="9"/>
        <v>0</v>
      </c>
    </row>
    <row r="290" spans="2:6" x14ac:dyDescent="0.2">
      <c r="B290" s="19">
        <f>Historique!B290</f>
        <v>44810</v>
      </c>
      <c r="C290" s="13">
        <f>RL_NAV*($I$10*Historique!D290+$I$11*Historique!E290+$I$12*Historique!F290+$I$21*Historique!G290)</f>
        <v>4337303.5302250581</v>
      </c>
      <c r="D290" s="13">
        <f>RL_NAV*($J$10*Historique!D290+$J$11*Historique!E290+$J$12*Historique!F290+$J$21*Historique!G290)</f>
        <v>4187721.6432866631</v>
      </c>
      <c r="E290" s="20">
        <f t="shared" si="8"/>
        <v>0</v>
      </c>
      <c r="F290" s="20">
        <f t="shared" si="9"/>
        <v>0</v>
      </c>
    </row>
    <row r="291" spans="2:6" x14ac:dyDescent="0.2">
      <c r="B291" s="19">
        <f>Historique!B291</f>
        <v>44811</v>
      </c>
      <c r="C291" s="13">
        <f>RL_NAV*($I$10*Historique!D291+$I$11*Historique!E291+$I$12*Historique!F291+$I$21*Historique!G291)</f>
        <v>-5503652.9308555778</v>
      </c>
      <c r="D291" s="13">
        <f>RL_NAV*($J$10*Historique!D291+$J$11*Historique!E291+$J$12*Historique!F291+$J$21*Historique!G291)</f>
        <v>-5409749.6159294629</v>
      </c>
      <c r="E291" s="20">
        <f t="shared" si="8"/>
        <v>0</v>
      </c>
      <c r="F291" s="20">
        <f t="shared" si="9"/>
        <v>0</v>
      </c>
    </row>
    <row r="292" spans="2:6" x14ac:dyDescent="0.2">
      <c r="B292" s="19">
        <f>Historique!B292</f>
        <v>44812</v>
      </c>
      <c r="C292" s="13">
        <f>RL_NAV*($I$10*Historique!D292+$I$11*Historique!E292+$I$12*Historique!F292+$I$21*Historique!G292)</f>
        <v>4310231.1640051445</v>
      </c>
      <c r="D292" s="13">
        <f>RL_NAV*($J$10*Historique!D292+$J$11*Historique!E292+$J$12*Historique!F292+$J$21*Historique!G292)</f>
        <v>4347112.0592722362</v>
      </c>
      <c r="E292" s="20">
        <f t="shared" si="8"/>
        <v>0</v>
      </c>
      <c r="F292" s="20">
        <f t="shared" si="9"/>
        <v>0</v>
      </c>
    </row>
    <row r="293" spans="2:6" x14ac:dyDescent="0.2">
      <c r="B293" s="19">
        <f>Historique!B293</f>
        <v>44813</v>
      </c>
      <c r="C293" s="13">
        <f>RL_NAV*($I$10*Historique!D293+$I$11*Historique!E293+$I$12*Historique!F293+$I$21*Historique!G293)</f>
        <v>-588973.68873997941</v>
      </c>
      <c r="D293" s="13">
        <f>RL_NAV*($J$10*Historique!D293+$J$11*Historique!E293+$J$12*Historique!F293+$J$21*Historique!G293)</f>
        <v>-341637.13912313263</v>
      </c>
      <c r="E293" s="20">
        <f t="shared" si="8"/>
        <v>0</v>
      </c>
      <c r="F293" s="20">
        <f t="shared" si="9"/>
        <v>0</v>
      </c>
    </row>
    <row r="294" spans="2:6" x14ac:dyDescent="0.2">
      <c r="B294" s="19">
        <f>Historique!B294</f>
        <v>44816</v>
      </c>
      <c r="C294" s="13">
        <f>RL_NAV*($I$10*Historique!D294+$I$11*Historique!E294+$I$12*Historique!F294+$I$21*Historique!G294)</f>
        <v>-13280275.607814033</v>
      </c>
      <c r="D294" s="13">
        <f>RL_NAV*($J$10*Historique!D294+$J$11*Historique!E294+$J$12*Historique!F294+$J$21*Historique!G294)</f>
        <v>-12974783.474409483</v>
      </c>
      <c r="E294" s="20">
        <f t="shared" si="8"/>
        <v>0</v>
      </c>
      <c r="F294" s="20">
        <f t="shared" si="9"/>
        <v>0</v>
      </c>
    </row>
    <row r="295" spans="2:6" x14ac:dyDescent="0.2">
      <c r="B295" s="19">
        <f>Historique!B295</f>
        <v>44817</v>
      </c>
      <c r="C295" s="13">
        <f>RL_NAV*($I$10*Historique!D295+$I$11*Historique!E295+$I$12*Historique!F295+$I$21*Historique!G295)</f>
        <v>7947331.7590547493</v>
      </c>
      <c r="D295" s="13">
        <f>RL_NAV*($J$10*Historique!D295+$J$11*Historique!E295+$J$12*Historique!F295+$J$21*Historique!G295)</f>
        <v>7920736.4946230678</v>
      </c>
      <c r="E295" s="20">
        <f t="shared" si="8"/>
        <v>0</v>
      </c>
      <c r="F295" s="20">
        <f t="shared" si="9"/>
        <v>0</v>
      </c>
    </row>
    <row r="296" spans="2:6" x14ac:dyDescent="0.2">
      <c r="B296" s="19">
        <f>Historique!B296</f>
        <v>44818</v>
      </c>
      <c r="C296" s="13">
        <f>RL_NAV*($I$10*Historique!D296+$I$11*Historique!E296+$I$12*Historique!F296+$I$21*Historique!G296)</f>
        <v>13986919.445448821</v>
      </c>
      <c r="D296" s="13">
        <f>RL_NAV*($J$10*Historique!D296+$J$11*Historique!E296+$J$12*Historique!F296+$J$21*Historique!G296)</f>
        <v>13674269.808514711</v>
      </c>
      <c r="E296" s="20">
        <f t="shared" si="8"/>
        <v>0</v>
      </c>
      <c r="F296" s="20">
        <f t="shared" si="9"/>
        <v>0</v>
      </c>
    </row>
    <row r="297" spans="2:6" x14ac:dyDescent="0.2">
      <c r="B297" s="19">
        <f>Historique!B297</f>
        <v>44819</v>
      </c>
      <c r="C297" s="13">
        <f>RL_NAV*($I$10*Historique!D297+$I$11*Historique!E297+$I$12*Historique!F297+$I$21*Historique!G297)</f>
        <v>1074025.5358215503</v>
      </c>
      <c r="D297" s="13">
        <f>RL_NAV*($J$10*Historique!D297+$J$11*Historique!E297+$J$12*Historique!F297+$J$21*Historique!G297)</f>
        <v>1098034.2863161401</v>
      </c>
      <c r="E297" s="20">
        <f t="shared" si="8"/>
        <v>0</v>
      </c>
      <c r="F297" s="20">
        <f t="shared" si="9"/>
        <v>0</v>
      </c>
    </row>
    <row r="298" spans="2:6" x14ac:dyDescent="0.2">
      <c r="B298" s="19">
        <f>Historique!B298</f>
        <v>44820</v>
      </c>
      <c r="C298" s="13">
        <f>RL_NAV*($I$10*Historique!D298+$I$11*Historique!E298+$I$12*Historique!F298+$I$21*Historique!G298)</f>
        <v>14681120.062650634</v>
      </c>
      <c r="D298" s="13">
        <f>RL_NAV*($J$10*Historique!D298+$J$11*Historique!E298+$J$12*Historique!F298+$J$21*Historique!G298)</f>
        <v>14465569.414545247</v>
      </c>
      <c r="E298" s="20">
        <f t="shared" si="8"/>
        <v>0</v>
      </c>
      <c r="F298" s="20">
        <f t="shared" si="9"/>
        <v>0</v>
      </c>
    </row>
    <row r="299" spans="2:6" x14ac:dyDescent="0.2">
      <c r="B299" s="19">
        <f>Historique!B299</f>
        <v>44823</v>
      </c>
      <c r="C299" s="13">
        <f>RL_NAV*($I$10*Historique!D299+$I$11*Historique!E299+$I$12*Historique!F299+$I$21*Historique!G299)</f>
        <v>651976.70073706505</v>
      </c>
      <c r="D299" s="13">
        <f>RL_NAV*($J$10*Historique!D299+$J$11*Historique!E299+$J$12*Historique!F299+$J$21*Historique!G299)</f>
        <v>620962.46746722097</v>
      </c>
      <c r="E299" s="20">
        <f t="shared" si="8"/>
        <v>0</v>
      </c>
      <c r="F299" s="20">
        <f t="shared" si="9"/>
        <v>0</v>
      </c>
    </row>
    <row r="300" spans="2:6" x14ac:dyDescent="0.2">
      <c r="B300" s="19">
        <f>Historique!B300</f>
        <v>44824</v>
      </c>
      <c r="C300" s="13">
        <f>RL_NAV*($I$10*Historique!D300+$I$11*Historique!E300+$I$12*Historique!F300+$I$21*Historique!G300)</f>
        <v>13589443.3653483</v>
      </c>
      <c r="D300" s="13">
        <f>RL_NAV*($J$10*Historique!D300+$J$11*Historique!E300+$J$12*Historique!F300+$J$21*Historique!G300)</f>
        <v>13501191.479510035</v>
      </c>
      <c r="E300" s="20">
        <f t="shared" si="8"/>
        <v>0</v>
      </c>
      <c r="F300" s="20">
        <f t="shared" si="9"/>
        <v>0</v>
      </c>
    </row>
    <row r="301" spans="2:6" x14ac:dyDescent="0.2">
      <c r="B301" s="19">
        <f>Historique!B301</f>
        <v>44825</v>
      </c>
      <c r="C301" s="13">
        <f>RL_NAV*($I$10*Historique!D301+$I$11*Historique!E301+$I$12*Historique!F301+$I$21*Historique!G301)</f>
        <v>5781678.9771912154</v>
      </c>
      <c r="D301" s="13">
        <f>RL_NAV*($J$10*Historique!D301+$J$11*Historique!E301+$J$12*Historique!F301+$J$21*Historique!G301)</f>
        <v>5585980.1007113522</v>
      </c>
      <c r="E301" s="20">
        <f t="shared" si="8"/>
        <v>0</v>
      </c>
      <c r="F301" s="20">
        <f t="shared" si="9"/>
        <v>0</v>
      </c>
    </row>
    <row r="302" spans="2:6" x14ac:dyDescent="0.2">
      <c r="B302" s="19">
        <f>Historique!B302</f>
        <v>44826</v>
      </c>
      <c r="C302" s="13">
        <f>RL_NAV*($I$10*Historique!D302+$I$11*Historique!E302+$I$12*Historique!F302+$I$21*Historique!G302)</f>
        <v>16996102.945332959</v>
      </c>
      <c r="D302" s="13">
        <f>RL_NAV*($J$10*Historique!D302+$J$11*Historique!E302+$J$12*Historique!F302+$J$21*Historique!G302)</f>
        <v>16745007.804775996</v>
      </c>
      <c r="E302" s="20">
        <f t="shared" si="8"/>
        <v>0</v>
      </c>
      <c r="F302" s="20">
        <f t="shared" si="9"/>
        <v>0</v>
      </c>
    </row>
    <row r="303" spans="2:6" x14ac:dyDescent="0.2">
      <c r="B303" s="19">
        <f>Historique!B303</f>
        <v>44827</v>
      </c>
      <c r="C303" s="13">
        <f>RL_NAV*($I$10*Historique!D303+$I$11*Historique!E303+$I$12*Historique!F303+$I$21*Historique!G303)</f>
        <v>8794220.1921867877</v>
      </c>
      <c r="D303" s="13">
        <f>RL_NAV*($J$10*Historique!D303+$J$11*Historique!E303+$J$12*Historique!F303+$J$21*Historique!G303)</f>
        <v>8669106.6029122099</v>
      </c>
      <c r="E303" s="20">
        <f t="shared" si="8"/>
        <v>0</v>
      </c>
      <c r="F303" s="20">
        <f t="shared" si="9"/>
        <v>0</v>
      </c>
    </row>
    <row r="304" spans="2:6" x14ac:dyDescent="0.2">
      <c r="B304" s="19">
        <f>Historique!B304</f>
        <v>44830</v>
      </c>
      <c r="C304" s="13">
        <f>RL_NAV*($I$10*Historique!D304+$I$11*Historique!E304+$I$12*Historique!F304+$I$21*Historique!G304)</f>
        <v>13688258.771231882</v>
      </c>
      <c r="D304" s="13">
        <f>RL_NAV*($J$10*Historique!D304+$J$11*Historique!E304+$J$12*Historique!F304+$J$21*Historique!G304)</f>
        <v>13447371.143384619</v>
      </c>
      <c r="E304" s="20">
        <f t="shared" si="8"/>
        <v>0</v>
      </c>
      <c r="F304" s="20">
        <f t="shared" si="9"/>
        <v>0</v>
      </c>
    </row>
    <row r="305" spans="2:6" x14ac:dyDescent="0.2">
      <c r="B305" s="19">
        <f>Historique!B305</f>
        <v>44831</v>
      </c>
      <c r="C305" s="13">
        <f>RL_NAV*($I$10*Historique!D305+$I$11*Historique!E305+$I$12*Historique!F305+$I$21*Historique!G305)</f>
        <v>7646648.5415504267</v>
      </c>
      <c r="D305" s="13">
        <f>RL_NAV*($J$10*Historique!D305+$J$11*Historique!E305+$J$12*Historique!F305+$J$21*Historique!G305)</f>
        <v>7519621.9858073983</v>
      </c>
      <c r="E305" s="20">
        <f t="shared" si="8"/>
        <v>0</v>
      </c>
      <c r="F305" s="20">
        <f t="shared" si="9"/>
        <v>0</v>
      </c>
    </row>
    <row r="306" spans="2:6" x14ac:dyDescent="0.2">
      <c r="B306" s="19">
        <f>Historique!B306</f>
        <v>44832</v>
      </c>
      <c r="C306" s="13">
        <f>RL_NAV*($I$10*Historique!D306+$I$11*Historique!E306+$I$12*Historique!F306+$I$21*Historique!G306)</f>
        <v>-4388042.131123092</v>
      </c>
      <c r="D306" s="13">
        <f>RL_NAV*($J$10*Historique!D306+$J$11*Historique!E306+$J$12*Historique!F306+$J$21*Historique!G306)</f>
        <v>-4390943.9910259116</v>
      </c>
      <c r="E306" s="20">
        <f t="shared" si="8"/>
        <v>0</v>
      </c>
      <c r="F306" s="20">
        <f t="shared" si="9"/>
        <v>0</v>
      </c>
    </row>
    <row r="307" spans="2:6" x14ac:dyDescent="0.2">
      <c r="B307" s="19">
        <f>Historique!B307</f>
        <v>44833</v>
      </c>
      <c r="C307" s="13">
        <f>RL_NAV*($I$10*Historique!D307+$I$11*Historique!E307+$I$12*Historique!F307+$I$21*Historique!G307)</f>
        <v>26384485.46037297</v>
      </c>
      <c r="D307" s="13">
        <f>RL_NAV*($J$10*Historique!D307+$J$11*Historique!E307+$J$12*Historique!F307+$J$21*Historique!G307)</f>
        <v>25758090.228407912</v>
      </c>
      <c r="E307" s="20">
        <f t="shared" si="8"/>
        <v>0.1</v>
      </c>
      <c r="F307" s="20">
        <f t="shared" si="9"/>
        <v>0.1</v>
      </c>
    </row>
    <row r="308" spans="2:6" x14ac:dyDescent="0.2">
      <c r="B308" s="19">
        <f>Historique!B308</f>
        <v>44834</v>
      </c>
      <c r="C308" s="13">
        <f>RL_NAV*($I$10*Historique!D308+$I$11*Historique!E308+$I$12*Historique!F308+$I$21*Historique!G308)</f>
        <v>-13112547.466678884</v>
      </c>
      <c r="D308" s="13">
        <f>RL_NAV*($J$10*Historique!D308+$J$11*Historique!E308+$J$12*Historique!F308+$J$21*Historique!G308)</f>
        <v>-13013671.316623969</v>
      </c>
      <c r="E308" s="20">
        <f t="shared" si="8"/>
        <v>0</v>
      </c>
      <c r="F308" s="20">
        <f t="shared" si="9"/>
        <v>0</v>
      </c>
    </row>
    <row r="309" spans="2:6" x14ac:dyDescent="0.2">
      <c r="B309" s="19">
        <f>Historique!B309</f>
        <v>44837</v>
      </c>
      <c r="C309" s="13">
        <f>RL_NAV*($I$10*Historique!D309+$I$11*Historique!E309+$I$12*Historique!F309+$I$21*Historique!G309)</f>
        <v>-16714540.8590586</v>
      </c>
      <c r="D309" s="13">
        <f>RL_NAV*($J$10*Historique!D309+$J$11*Historique!E309+$J$12*Historique!F309+$J$21*Historique!G309)</f>
        <v>-16450965.068628207</v>
      </c>
      <c r="E309" s="20">
        <f t="shared" si="8"/>
        <v>0</v>
      </c>
      <c r="F309" s="20">
        <f t="shared" si="9"/>
        <v>0</v>
      </c>
    </row>
    <row r="310" spans="2:6" x14ac:dyDescent="0.2">
      <c r="B310" s="19">
        <f>Historique!B310</f>
        <v>44838</v>
      </c>
      <c r="C310" s="13">
        <f>RL_NAV*($I$10*Historique!D310+$I$11*Historique!E310+$I$12*Historique!F310+$I$21*Historique!G310)</f>
        <v>-9909070.2986410055</v>
      </c>
      <c r="D310" s="13">
        <f>RL_NAV*($J$10*Historique!D310+$J$11*Historique!E310+$J$12*Historique!F310+$J$21*Historique!G310)</f>
        <v>-9867069.0355226099</v>
      </c>
      <c r="E310" s="20">
        <f t="shared" si="8"/>
        <v>0</v>
      </c>
      <c r="F310" s="20">
        <f t="shared" si="9"/>
        <v>0</v>
      </c>
    </row>
    <row r="311" spans="2:6" x14ac:dyDescent="0.2">
      <c r="B311" s="19">
        <f>Historique!B311</f>
        <v>44839</v>
      </c>
      <c r="C311" s="13">
        <f>RL_NAV*($I$10*Historique!D311+$I$11*Historique!E311+$I$12*Historique!F311+$I$21*Historique!G311)</f>
        <v>-8485637.9301455356</v>
      </c>
      <c r="D311" s="13">
        <f>RL_NAV*($J$10*Historique!D311+$J$11*Historique!E311+$J$12*Historique!F311+$J$21*Historique!G311)</f>
        <v>-8096064.3498573983</v>
      </c>
      <c r="E311" s="20">
        <f t="shared" si="8"/>
        <v>0</v>
      </c>
      <c r="F311" s="20">
        <f t="shared" si="9"/>
        <v>0</v>
      </c>
    </row>
    <row r="312" spans="2:6" x14ac:dyDescent="0.2">
      <c r="B312" s="19">
        <f>Historique!B312</f>
        <v>44840</v>
      </c>
      <c r="C312" s="13">
        <f>RL_NAV*($I$10*Historique!D312+$I$11*Historique!E312+$I$12*Historique!F312+$I$21*Historique!G312)</f>
        <v>20339894.765845917</v>
      </c>
      <c r="D312" s="13">
        <f>RL_NAV*($J$10*Historique!D312+$J$11*Historique!E312+$J$12*Historique!F312+$J$21*Historique!G312)</f>
        <v>19965789.189633664</v>
      </c>
      <c r="E312" s="20">
        <f t="shared" si="8"/>
        <v>0</v>
      </c>
      <c r="F312" s="20">
        <f t="shared" si="9"/>
        <v>0</v>
      </c>
    </row>
    <row r="313" spans="2:6" x14ac:dyDescent="0.2">
      <c r="B313" s="19">
        <f>Historique!B313</f>
        <v>44841</v>
      </c>
      <c r="C313" s="13">
        <f>RL_NAV*($I$10*Historique!D313+$I$11*Historique!E313+$I$12*Historique!F313+$I$21*Historique!G313)</f>
        <v>15628531.590436954</v>
      </c>
      <c r="D313" s="13">
        <f>RL_NAV*($J$10*Historique!D313+$J$11*Historique!E313+$J$12*Historique!F313+$J$21*Historique!G313)</f>
        <v>15398353.606204087</v>
      </c>
      <c r="E313" s="20">
        <f t="shared" si="8"/>
        <v>0</v>
      </c>
      <c r="F313" s="20">
        <f t="shared" si="9"/>
        <v>0</v>
      </c>
    </row>
    <row r="314" spans="2:6" x14ac:dyDescent="0.2">
      <c r="B314" s="19">
        <f>Historique!B314</f>
        <v>44844</v>
      </c>
      <c r="C314" s="13">
        <f>RL_NAV*($I$10*Historique!D314+$I$11*Historique!E314+$I$12*Historique!F314+$I$21*Historique!G314)</f>
        <v>5127021.6526051452</v>
      </c>
      <c r="D314" s="13">
        <f>RL_NAV*($J$10*Historique!D314+$J$11*Historique!E314+$J$12*Historique!F314+$J$21*Historique!G314)</f>
        <v>4965290.2605536263</v>
      </c>
      <c r="E314" s="20">
        <f t="shared" si="8"/>
        <v>0</v>
      </c>
      <c r="F314" s="20">
        <f t="shared" si="9"/>
        <v>0</v>
      </c>
    </row>
    <row r="315" spans="2:6" x14ac:dyDescent="0.2">
      <c r="B315" s="19">
        <f>Historique!B315</f>
        <v>44845</v>
      </c>
      <c r="C315" s="13">
        <f>RL_NAV*($I$10*Historique!D315+$I$11*Historique!E315+$I$12*Historique!F315+$I$21*Historique!G315)</f>
        <v>14239323.66709478</v>
      </c>
      <c r="D315" s="13">
        <f>RL_NAV*($J$10*Historique!D315+$J$11*Historique!E315+$J$12*Historique!F315+$J$21*Historique!G315)</f>
        <v>14032362.150339918</v>
      </c>
      <c r="E315" s="20">
        <f t="shared" si="8"/>
        <v>0</v>
      </c>
      <c r="F315" s="20">
        <f t="shared" si="9"/>
        <v>0</v>
      </c>
    </row>
    <row r="316" spans="2:6" x14ac:dyDescent="0.2">
      <c r="B316" s="19">
        <f>Historique!B316</f>
        <v>44846</v>
      </c>
      <c r="C316" s="13">
        <f>RL_NAV*($I$10*Historique!D316+$I$11*Historique!E316+$I$12*Historique!F316+$I$21*Historique!G316)</f>
        <v>1823853.9870389313</v>
      </c>
      <c r="D316" s="13">
        <f>RL_NAV*($J$10*Historique!D316+$J$11*Historique!E316+$J$12*Historique!F316+$J$21*Historique!G316)</f>
        <v>1728797.4070592921</v>
      </c>
      <c r="E316" s="20">
        <f t="shared" si="8"/>
        <v>0</v>
      </c>
      <c r="F316" s="20">
        <f t="shared" si="9"/>
        <v>0</v>
      </c>
    </row>
    <row r="317" spans="2:6" x14ac:dyDescent="0.2">
      <c r="B317" s="19">
        <f>Historique!B317</f>
        <v>44847</v>
      </c>
      <c r="C317" s="13">
        <f>RL_NAV*($I$10*Historique!D317+$I$11*Historique!E317+$I$12*Historique!F317+$I$21*Historique!G317)</f>
        <v>4404888.233969532</v>
      </c>
      <c r="D317" s="13">
        <f>RL_NAV*($J$10*Historique!D317+$J$11*Historique!E317+$J$12*Historique!F317+$J$21*Historique!G317)</f>
        <v>4331780.8685821397</v>
      </c>
      <c r="E317" s="20">
        <f t="shared" si="8"/>
        <v>0</v>
      </c>
      <c r="F317" s="20">
        <f t="shared" si="9"/>
        <v>0</v>
      </c>
    </row>
    <row r="318" spans="2:6" x14ac:dyDescent="0.2">
      <c r="B318" s="19">
        <f>Historique!B318</f>
        <v>44848</v>
      </c>
      <c r="C318" s="13">
        <f>RL_NAV*($I$10*Historique!D318+$I$11*Historique!E318+$I$12*Historique!F318+$I$21*Historique!G318)</f>
        <v>-1771434.2996750853</v>
      </c>
      <c r="D318" s="13">
        <f>RL_NAV*($J$10*Historique!D318+$J$11*Historique!E318+$J$12*Historique!F318+$J$21*Historique!G318)</f>
        <v>-1845184.7902650016</v>
      </c>
      <c r="E318" s="20">
        <f t="shared" si="8"/>
        <v>0</v>
      </c>
      <c r="F318" s="20">
        <f t="shared" si="9"/>
        <v>0</v>
      </c>
    </row>
    <row r="319" spans="2:6" x14ac:dyDescent="0.2">
      <c r="B319" s="19">
        <f>Historique!B319</f>
        <v>44851</v>
      </c>
      <c r="C319" s="13">
        <f>RL_NAV*($I$10*Historique!D319+$I$11*Historique!E319+$I$12*Historique!F319+$I$21*Historique!G319)</f>
        <v>-584250.97333328263</v>
      </c>
      <c r="D319" s="13">
        <f>RL_NAV*($J$10*Historique!D319+$J$11*Historique!E319+$J$12*Historique!F319+$J$21*Historique!G319)</f>
        <v>-564270.01378672244</v>
      </c>
      <c r="E319" s="20">
        <f t="shared" si="8"/>
        <v>0</v>
      </c>
      <c r="F319" s="20">
        <f t="shared" si="9"/>
        <v>0</v>
      </c>
    </row>
    <row r="320" spans="2:6" x14ac:dyDescent="0.2">
      <c r="B320" s="19">
        <f>Historique!B320</f>
        <v>44852</v>
      </c>
      <c r="C320" s="13">
        <f>RL_NAV*($I$10*Historique!D320+$I$11*Historique!E320+$I$12*Historique!F320+$I$21*Historique!G320)</f>
        <v>-13391056.451375343</v>
      </c>
      <c r="D320" s="13">
        <f>RL_NAV*($J$10*Historique!D320+$J$11*Historique!E320+$J$12*Historique!F320+$J$21*Historique!G320)</f>
        <v>-12967300.472921191</v>
      </c>
      <c r="E320" s="20">
        <f t="shared" si="8"/>
        <v>0</v>
      </c>
      <c r="F320" s="20">
        <f t="shared" si="9"/>
        <v>0</v>
      </c>
    </row>
    <row r="321" spans="2:6" x14ac:dyDescent="0.2">
      <c r="B321" s="19">
        <f>Historique!B321</f>
        <v>44853</v>
      </c>
      <c r="C321" s="13">
        <f>RL_NAV*($I$10*Historique!D321+$I$11*Historique!E321+$I$12*Historique!F321+$I$21*Historique!G321)</f>
        <v>14078204.558629641</v>
      </c>
      <c r="D321" s="13">
        <f>RL_NAV*($J$10*Historique!D321+$J$11*Historique!E321+$J$12*Historique!F321+$J$21*Historique!G321)</f>
        <v>13947321.228161788</v>
      </c>
      <c r="E321" s="20">
        <f t="shared" si="8"/>
        <v>0</v>
      </c>
      <c r="F321" s="20">
        <f t="shared" si="9"/>
        <v>0</v>
      </c>
    </row>
    <row r="322" spans="2:6" x14ac:dyDescent="0.2">
      <c r="B322" s="19">
        <f>Historique!B322</f>
        <v>44854</v>
      </c>
      <c r="C322" s="13">
        <f>RL_NAV*($I$10*Historique!D322+$I$11*Historique!E322+$I$12*Historique!F322+$I$21*Historique!G322)</f>
        <v>8559606.1361529306</v>
      </c>
      <c r="D322" s="13">
        <f>RL_NAV*($J$10*Historique!D322+$J$11*Historique!E322+$J$12*Historique!F322+$J$21*Historique!G322)</f>
        <v>8424123.9445099887</v>
      </c>
      <c r="E322" s="20">
        <f t="shared" si="8"/>
        <v>0</v>
      </c>
      <c r="F322" s="20">
        <f t="shared" si="9"/>
        <v>0</v>
      </c>
    </row>
    <row r="323" spans="2:6" x14ac:dyDescent="0.2">
      <c r="B323" s="19">
        <f>Historique!B323</f>
        <v>44855</v>
      </c>
      <c r="C323" s="13">
        <f>RL_NAV*($I$10*Historique!D323+$I$11*Historique!E323+$I$12*Historique!F323+$I$21*Historique!G323)</f>
        <v>3861201.5920539764</v>
      </c>
      <c r="D323" s="13">
        <f>RL_NAV*($J$10*Historique!D323+$J$11*Historique!E323+$J$12*Historique!F323+$J$21*Historique!G323)</f>
        <v>3730966.6249286435</v>
      </c>
      <c r="E323" s="20">
        <f t="shared" si="8"/>
        <v>0</v>
      </c>
      <c r="F323" s="20">
        <f t="shared" si="9"/>
        <v>0</v>
      </c>
    </row>
    <row r="324" spans="2:6" x14ac:dyDescent="0.2">
      <c r="B324" s="19">
        <f>Historique!B324</f>
        <v>44858</v>
      </c>
      <c r="C324" s="13">
        <f>RL_NAV*($I$10*Historique!D324+$I$11*Historique!E324+$I$12*Historique!F324+$I$21*Historique!G324)</f>
        <v>-21167942.994261339</v>
      </c>
      <c r="D324" s="13">
        <f>RL_NAV*($J$10*Historique!D324+$J$11*Historique!E324+$J$12*Historique!F324+$J$21*Historique!G324)</f>
        <v>-20775451.406834926</v>
      </c>
      <c r="E324" s="20">
        <f t="shared" si="8"/>
        <v>0</v>
      </c>
      <c r="F324" s="20">
        <f t="shared" si="9"/>
        <v>0</v>
      </c>
    </row>
    <row r="325" spans="2:6" x14ac:dyDescent="0.2">
      <c r="B325" s="19">
        <f>Historique!B325</f>
        <v>44859</v>
      </c>
      <c r="C325" s="13">
        <f>RL_NAV*($I$10*Historique!D325+$I$11*Historique!E325+$I$12*Historique!F325+$I$21*Historique!G325)</f>
        <v>-1401466.0056420392</v>
      </c>
      <c r="D325" s="13">
        <f>RL_NAV*($J$10*Historique!D325+$J$11*Historique!E325+$J$12*Historique!F325+$J$21*Historique!G325)</f>
        <v>-1502750.0394804128</v>
      </c>
      <c r="E325" s="20">
        <f t="shared" si="8"/>
        <v>0</v>
      </c>
      <c r="F325" s="20">
        <f t="shared" si="9"/>
        <v>0</v>
      </c>
    </row>
    <row r="326" spans="2:6" x14ac:dyDescent="0.2">
      <c r="B326" s="19">
        <f>Historique!B326</f>
        <v>44860</v>
      </c>
      <c r="C326" s="13">
        <f>RL_NAV*($I$10*Historique!D326+$I$11*Historique!E326+$I$12*Historique!F326+$I$21*Historique!G326)</f>
        <v>-689318.52838121995</v>
      </c>
      <c r="D326" s="13">
        <f>RL_NAV*($J$10*Historique!D326+$J$11*Historique!E326+$J$12*Historique!F326+$J$21*Historique!G326)</f>
        <v>-702765.78365162527</v>
      </c>
      <c r="E326" s="20">
        <f t="shared" si="8"/>
        <v>0</v>
      </c>
      <c r="F326" s="20">
        <f t="shared" si="9"/>
        <v>0</v>
      </c>
    </row>
    <row r="327" spans="2:6" x14ac:dyDescent="0.2">
      <c r="B327" s="19">
        <f>Historique!B327</f>
        <v>44861</v>
      </c>
      <c r="C327" s="13">
        <f>RL_NAV*($I$10*Historique!D327+$I$11*Historique!E327+$I$12*Historique!F327+$I$21*Historique!G327)</f>
        <v>-22385453.228853643</v>
      </c>
      <c r="D327" s="13">
        <f>RL_NAV*($J$10*Historique!D327+$J$11*Historique!E327+$J$12*Historique!F327+$J$21*Historique!G327)</f>
        <v>-21979424.33572305</v>
      </c>
      <c r="E327" s="20">
        <f t="shared" ref="E327:E390" si="10">IF(C327&gt;$I$9,1,IF(C327=$I$9,($I$8-$I$18)/$I$19,0))/$I$8</f>
        <v>0</v>
      </c>
      <c r="F327" s="20">
        <f t="shared" ref="F327:F390" si="11">IF(D327&gt;$J$9,1,IF(D327=$J$9,($J$8-$J$18)/$J$19,0))/$J$8</f>
        <v>0</v>
      </c>
    </row>
    <row r="328" spans="2:6" x14ac:dyDescent="0.2">
      <c r="B328" s="19">
        <f>Historique!B328</f>
        <v>44862</v>
      </c>
      <c r="C328" s="13">
        <f>RL_NAV*($I$10*Historique!D328+$I$11*Historique!E328+$I$12*Historique!F328+$I$21*Historique!G328)</f>
        <v>-2028586.1762238175</v>
      </c>
      <c r="D328" s="13">
        <f>RL_NAV*($J$10*Historique!D328+$J$11*Historique!E328+$J$12*Historique!F328+$J$21*Historique!G328)</f>
        <v>-1933724.7641157445</v>
      </c>
      <c r="E328" s="20">
        <f t="shared" si="10"/>
        <v>0</v>
      </c>
      <c r="F328" s="20">
        <f t="shared" si="11"/>
        <v>0</v>
      </c>
    </row>
    <row r="329" spans="2:6" x14ac:dyDescent="0.2">
      <c r="B329" s="19">
        <f>Historique!B329</f>
        <v>44865</v>
      </c>
      <c r="C329" s="13">
        <f>RL_NAV*($I$10*Historique!D329+$I$11*Historique!E329+$I$12*Historique!F329+$I$21*Historique!G329)</f>
        <v>4424413.5663742991</v>
      </c>
      <c r="D329" s="13">
        <f>RL_NAV*($J$10*Historique!D329+$J$11*Historique!E329+$J$12*Historique!F329+$J$21*Historique!G329)</f>
        <v>4423495.907341118</v>
      </c>
      <c r="E329" s="20">
        <f t="shared" si="10"/>
        <v>0</v>
      </c>
      <c r="F329" s="20">
        <f t="shared" si="11"/>
        <v>0</v>
      </c>
    </row>
    <row r="330" spans="2:6" x14ac:dyDescent="0.2">
      <c r="B330" s="19">
        <f>Historique!B330</f>
        <v>44866</v>
      </c>
      <c r="C330" s="13">
        <f>RL_NAV*($I$10*Historique!D330+$I$11*Historique!E330+$I$12*Historique!F330+$I$21*Historique!G330)</f>
        <v>-4283716.4495016132</v>
      </c>
      <c r="D330" s="13">
        <f>RL_NAV*($J$10*Historique!D330+$J$11*Historique!E330+$J$12*Historique!F330+$J$21*Historique!G330)</f>
        <v>-4214299.8591918396</v>
      </c>
      <c r="E330" s="20">
        <f t="shared" si="10"/>
        <v>0</v>
      </c>
      <c r="F330" s="20">
        <f t="shared" si="11"/>
        <v>0</v>
      </c>
    </row>
    <row r="331" spans="2:6" x14ac:dyDescent="0.2">
      <c r="B331" s="19">
        <f>Historique!B331</f>
        <v>44867</v>
      </c>
      <c r="C331" s="13">
        <f>RL_NAV*($I$10*Historique!D331+$I$11*Historique!E331+$I$12*Historique!F331+$I$21*Historique!G331)</f>
        <v>-10910763.238717785</v>
      </c>
      <c r="D331" s="13">
        <f>RL_NAV*($J$10*Historique!D331+$J$11*Historique!E331+$J$12*Historique!F331+$J$21*Historique!G331)</f>
        <v>-10595348.4926809</v>
      </c>
      <c r="E331" s="20">
        <f t="shared" si="10"/>
        <v>0</v>
      </c>
      <c r="F331" s="20">
        <f t="shared" si="11"/>
        <v>0</v>
      </c>
    </row>
    <row r="332" spans="2:6" x14ac:dyDescent="0.2">
      <c r="B332" s="19">
        <f>Historique!B332</f>
        <v>44868</v>
      </c>
      <c r="C332" s="13">
        <f>RL_NAV*($I$10*Historique!D332+$I$11*Historique!E332+$I$12*Historique!F332+$I$21*Historique!G332)</f>
        <v>16355264.542538816</v>
      </c>
      <c r="D332" s="13">
        <f>RL_NAV*($J$10*Historique!D332+$J$11*Historique!E332+$J$12*Historique!F332+$J$21*Historique!G332)</f>
        <v>16108972.0154167</v>
      </c>
      <c r="E332" s="20">
        <f t="shared" si="10"/>
        <v>0</v>
      </c>
      <c r="F332" s="20">
        <f t="shared" si="11"/>
        <v>0</v>
      </c>
    </row>
    <row r="333" spans="2:6" x14ac:dyDescent="0.2">
      <c r="B333" s="19">
        <f>Historique!B333</f>
        <v>44869</v>
      </c>
      <c r="C333" s="13">
        <f>RL_NAV*($I$10*Historique!D333+$I$11*Historique!E333+$I$12*Historique!F333+$I$21*Historique!G333)</f>
        <v>3533832.4607630144</v>
      </c>
      <c r="D333" s="13">
        <f>RL_NAV*($J$10*Historique!D333+$J$11*Historique!E333+$J$12*Historique!F333+$J$21*Historique!G333)</f>
        <v>3528110.6210697424</v>
      </c>
      <c r="E333" s="20">
        <f t="shared" si="10"/>
        <v>0</v>
      </c>
      <c r="F333" s="20">
        <f t="shared" si="11"/>
        <v>0</v>
      </c>
    </row>
    <row r="334" spans="2:6" x14ac:dyDescent="0.2">
      <c r="B334" s="19">
        <f>Historique!B334</f>
        <v>44872</v>
      </c>
      <c r="C334" s="13">
        <f>RL_NAV*($I$10*Historique!D334+$I$11*Historique!E334+$I$12*Historique!F334+$I$21*Historique!G334)</f>
        <v>-1906707.0487125507</v>
      </c>
      <c r="D334" s="13">
        <f>RL_NAV*($J$10*Historique!D334+$J$11*Historique!E334+$J$12*Historique!F334+$J$21*Historique!G334)</f>
        <v>-1741857.5250424503</v>
      </c>
      <c r="E334" s="20">
        <f t="shared" si="10"/>
        <v>0</v>
      </c>
      <c r="F334" s="20">
        <f t="shared" si="11"/>
        <v>0</v>
      </c>
    </row>
    <row r="335" spans="2:6" x14ac:dyDescent="0.2">
      <c r="B335" s="19">
        <f>Historique!B335</f>
        <v>44873</v>
      </c>
      <c r="C335" s="13">
        <f>RL_NAV*($I$10*Historique!D335+$I$11*Historique!E335+$I$12*Historique!F335+$I$21*Historique!G335)</f>
        <v>-8515637.313508898</v>
      </c>
      <c r="D335" s="13">
        <f>RL_NAV*($J$10*Historique!D335+$J$11*Historique!E335+$J$12*Historique!F335+$J$21*Historique!G335)</f>
        <v>-8261398.3722755834</v>
      </c>
      <c r="E335" s="20">
        <f t="shared" si="10"/>
        <v>0</v>
      </c>
      <c r="F335" s="20">
        <f t="shared" si="11"/>
        <v>0</v>
      </c>
    </row>
    <row r="336" spans="2:6" x14ac:dyDescent="0.2">
      <c r="B336" s="19">
        <f>Historique!B336</f>
        <v>44874</v>
      </c>
      <c r="C336" s="13">
        <f>RL_NAV*($I$10*Historique!D336+$I$11*Historique!E336+$I$12*Historique!F336+$I$21*Historique!G336)</f>
        <v>-4705072.9013820654</v>
      </c>
      <c r="D336" s="13">
        <f>RL_NAV*($J$10*Historique!D336+$J$11*Historique!E336+$J$12*Historique!F336+$J$21*Historique!G336)</f>
        <v>-4579769.1771199349</v>
      </c>
      <c r="E336" s="20">
        <f t="shared" si="10"/>
        <v>0</v>
      </c>
      <c r="F336" s="20">
        <f t="shared" si="11"/>
        <v>0</v>
      </c>
    </row>
    <row r="337" spans="2:6" x14ac:dyDescent="0.2">
      <c r="B337" s="19">
        <f>Historique!B337</f>
        <v>44875</v>
      </c>
      <c r="C337" s="13">
        <f>RL_NAV*($I$10*Historique!D337+$I$11*Historique!E337+$I$12*Historique!F337+$I$21*Historique!G337)</f>
        <v>-23375168.123727616</v>
      </c>
      <c r="D337" s="13">
        <f>RL_NAV*($J$10*Historique!D337+$J$11*Historique!E337+$J$12*Historique!F337+$J$21*Historique!G337)</f>
        <v>-23024810.496993501</v>
      </c>
      <c r="E337" s="20">
        <f t="shared" si="10"/>
        <v>0</v>
      </c>
      <c r="F337" s="20">
        <f t="shared" si="11"/>
        <v>0</v>
      </c>
    </row>
    <row r="338" spans="2:6" x14ac:dyDescent="0.2">
      <c r="B338" s="19">
        <f>Historique!B338</f>
        <v>44876</v>
      </c>
      <c r="C338" s="13">
        <f>RL_NAV*($I$10*Historique!D338+$I$11*Historique!E338+$I$12*Historique!F338+$I$21*Historique!G338)</f>
        <v>-8812394.9249795899</v>
      </c>
      <c r="D338" s="13">
        <f>RL_NAV*($J$10*Historique!D338+$J$11*Historique!E338+$J$12*Historique!F338+$J$21*Historique!G338)</f>
        <v>-8488041.8668051232</v>
      </c>
      <c r="E338" s="20">
        <f t="shared" si="10"/>
        <v>0</v>
      </c>
      <c r="F338" s="20">
        <f t="shared" si="11"/>
        <v>0</v>
      </c>
    </row>
    <row r="339" spans="2:6" x14ac:dyDescent="0.2">
      <c r="B339" s="19">
        <f>Historique!B339</f>
        <v>44879</v>
      </c>
      <c r="C339" s="13">
        <f>RL_NAV*($I$10*Historique!D339+$I$11*Historique!E339+$I$12*Historique!F339+$I$21*Historique!G339)</f>
        <v>-18190060.05391255</v>
      </c>
      <c r="D339" s="13">
        <f>RL_NAV*($J$10*Historique!D339+$J$11*Historique!E339+$J$12*Historique!F339+$J$21*Historique!G339)</f>
        <v>-17765568.172785588</v>
      </c>
      <c r="E339" s="20">
        <f t="shared" si="10"/>
        <v>0</v>
      </c>
      <c r="F339" s="20">
        <f t="shared" si="11"/>
        <v>0</v>
      </c>
    </row>
    <row r="340" spans="2:6" x14ac:dyDescent="0.2">
      <c r="B340" s="19">
        <f>Historique!B340</f>
        <v>44880</v>
      </c>
      <c r="C340" s="13">
        <f>RL_NAV*($I$10*Historique!D340+$I$11*Historique!E340+$I$12*Historique!F340+$I$21*Historique!G340)</f>
        <v>-191516.32411853579</v>
      </c>
      <c r="D340" s="13">
        <f>RL_NAV*($J$10*Historique!D340+$J$11*Historique!E340+$J$12*Historique!F340+$J$21*Historique!G340)</f>
        <v>-167067.86203197823</v>
      </c>
      <c r="E340" s="20">
        <f t="shared" si="10"/>
        <v>0</v>
      </c>
      <c r="F340" s="20">
        <f t="shared" si="11"/>
        <v>0</v>
      </c>
    </row>
    <row r="341" spans="2:6" x14ac:dyDescent="0.2">
      <c r="B341" s="19">
        <f>Historique!B341</f>
        <v>44881</v>
      </c>
      <c r="C341" s="13">
        <f>RL_NAV*($I$10*Historique!D341+$I$11*Historique!E341+$I$12*Historique!F341+$I$21*Historique!G341)</f>
        <v>-11790063.586074453</v>
      </c>
      <c r="D341" s="13">
        <f>RL_NAV*($J$10*Historique!D341+$J$11*Historique!E341+$J$12*Historique!F341+$J$21*Historique!G341)</f>
        <v>-11541993.282303069</v>
      </c>
      <c r="E341" s="20">
        <f t="shared" si="10"/>
        <v>0</v>
      </c>
      <c r="F341" s="20">
        <f t="shared" si="11"/>
        <v>0</v>
      </c>
    </row>
    <row r="342" spans="2:6" x14ac:dyDescent="0.2">
      <c r="B342" s="19">
        <f>Historique!B342</f>
        <v>44882</v>
      </c>
      <c r="C342" s="13">
        <f>RL_NAV*($I$10*Historique!D342+$I$11*Historique!E342+$I$12*Historique!F342+$I$21*Historique!G342)</f>
        <v>9144690.8972418122</v>
      </c>
      <c r="D342" s="13">
        <f>RL_NAV*($J$10*Historique!D342+$J$11*Historique!E342+$J$12*Historique!F342+$J$21*Historique!G342)</f>
        <v>8890398.4466172922</v>
      </c>
      <c r="E342" s="20">
        <f t="shared" si="10"/>
        <v>0</v>
      </c>
      <c r="F342" s="20">
        <f t="shared" si="11"/>
        <v>0</v>
      </c>
    </row>
    <row r="343" spans="2:6" x14ac:dyDescent="0.2">
      <c r="B343" s="19">
        <f>Historique!B343</f>
        <v>44883</v>
      </c>
      <c r="C343" s="13">
        <f>RL_NAV*($I$10*Historique!D343+$I$11*Historique!E343+$I$12*Historique!F343+$I$21*Historique!G343)</f>
        <v>-11135169.660295935</v>
      </c>
      <c r="D343" s="13">
        <f>RL_NAV*($J$10*Historique!D343+$J$11*Historique!E343+$J$12*Historique!F343+$J$21*Historique!G343)</f>
        <v>-10888527.225534199</v>
      </c>
      <c r="E343" s="20">
        <f t="shared" si="10"/>
        <v>0</v>
      </c>
      <c r="F343" s="20">
        <f t="shared" si="11"/>
        <v>0</v>
      </c>
    </row>
    <row r="344" spans="2:6" x14ac:dyDescent="0.2">
      <c r="B344" s="19">
        <f>Historique!B344</f>
        <v>44886</v>
      </c>
      <c r="C344" s="13">
        <f>RL_NAV*($I$10*Historique!D344+$I$11*Historique!E344+$I$12*Historique!F344+$I$21*Historique!G344)</f>
        <v>-2816062.4021395557</v>
      </c>
      <c r="D344" s="13">
        <f>RL_NAV*($J$10*Historique!D344+$J$11*Historique!E344+$J$12*Historique!F344+$J$21*Historique!G344)</f>
        <v>-2786219.4674016242</v>
      </c>
      <c r="E344" s="20">
        <f t="shared" si="10"/>
        <v>0</v>
      </c>
      <c r="F344" s="20">
        <f t="shared" si="11"/>
        <v>0</v>
      </c>
    </row>
    <row r="345" spans="2:6" x14ac:dyDescent="0.2">
      <c r="B345" s="19">
        <f>Historique!B345</f>
        <v>44887</v>
      </c>
      <c r="C345" s="13">
        <f>RL_NAV*($I$10*Historique!D345+$I$11*Historique!E345+$I$12*Historique!F345+$I$21*Historique!G345)</f>
        <v>3614323.4942665128</v>
      </c>
      <c r="D345" s="13">
        <f>RL_NAV*($J$10*Historique!D345+$J$11*Historique!E345+$J$12*Historique!F345+$J$21*Historique!G345)</f>
        <v>3586188.6208433639</v>
      </c>
      <c r="E345" s="20">
        <f t="shared" si="10"/>
        <v>0</v>
      </c>
      <c r="F345" s="20">
        <f t="shared" si="11"/>
        <v>0</v>
      </c>
    </row>
    <row r="346" spans="2:6" x14ac:dyDescent="0.2">
      <c r="B346" s="19">
        <f>Historique!B346</f>
        <v>44888</v>
      </c>
      <c r="C346" s="13">
        <f>RL_NAV*($I$10*Historique!D346+$I$11*Historique!E346+$I$12*Historique!F346+$I$21*Historique!G346)</f>
        <v>-6235763.990692988</v>
      </c>
      <c r="D346" s="13">
        <f>RL_NAV*($J$10*Historique!D346+$J$11*Historique!E346+$J$12*Historique!F346+$J$21*Historique!G346)</f>
        <v>-6059601.2872762447</v>
      </c>
      <c r="E346" s="20">
        <f t="shared" si="10"/>
        <v>0</v>
      </c>
      <c r="F346" s="20">
        <f t="shared" si="11"/>
        <v>0</v>
      </c>
    </row>
    <row r="347" spans="2:6" x14ac:dyDescent="0.2">
      <c r="B347" s="19">
        <f>Historique!B347</f>
        <v>44889</v>
      </c>
      <c r="C347" s="13">
        <f>RL_NAV*($I$10*Historique!D347+$I$11*Historique!E347+$I$12*Historique!F347+$I$21*Historique!G347)</f>
        <v>-10660958.746889867</v>
      </c>
      <c r="D347" s="13">
        <f>RL_NAV*($J$10*Historique!D347+$J$11*Historique!E347+$J$12*Historique!F347+$J$21*Historique!G347)</f>
        <v>-10526145.689581139</v>
      </c>
      <c r="E347" s="20">
        <f t="shared" si="10"/>
        <v>0</v>
      </c>
      <c r="F347" s="20">
        <f t="shared" si="11"/>
        <v>0</v>
      </c>
    </row>
    <row r="348" spans="2:6" x14ac:dyDescent="0.2">
      <c r="B348" s="19">
        <f>Historique!B348</f>
        <v>44890</v>
      </c>
      <c r="C348" s="13">
        <f>RL_NAV*($I$10*Historique!D348+$I$11*Historique!E348+$I$12*Historique!F348+$I$21*Historique!G348)</f>
        <v>5255124.6073517688</v>
      </c>
      <c r="D348" s="13">
        <f>RL_NAV*($J$10*Historique!D348+$J$11*Historique!E348+$J$12*Historique!F348+$J$21*Historique!G348)</f>
        <v>5289503.0843248367</v>
      </c>
      <c r="E348" s="20">
        <f t="shared" si="10"/>
        <v>0</v>
      </c>
      <c r="F348" s="20">
        <f t="shared" si="11"/>
        <v>0</v>
      </c>
    </row>
    <row r="349" spans="2:6" x14ac:dyDescent="0.2">
      <c r="B349" s="19">
        <f>Historique!B349</f>
        <v>44893</v>
      </c>
      <c r="C349" s="13">
        <f>RL_NAV*($I$10*Historique!D349+$I$11*Historique!E349+$I$12*Historique!F349+$I$21*Historique!G349)</f>
        <v>5122459.4216707833</v>
      </c>
      <c r="D349" s="13">
        <f>RL_NAV*($J$10*Historique!D349+$J$11*Historique!E349+$J$12*Historique!F349+$J$21*Historique!G349)</f>
        <v>5001588.0095404591</v>
      </c>
      <c r="E349" s="20">
        <f t="shared" si="10"/>
        <v>0</v>
      </c>
      <c r="F349" s="20">
        <f t="shared" si="11"/>
        <v>0</v>
      </c>
    </row>
    <row r="350" spans="2:6" x14ac:dyDescent="0.2">
      <c r="B350" s="19">
        <f>Historique!B350</f>
        <v>44894</v>
      </c>
      <c r="C350" s="13">
        <f>RL_NAV*($I$10*Historique!D350+$I$11*Historique!E350+$I$12*Historique!F350+$I$21*Historique!G350)</f>
        <v>-9923735.5463606939</v>
      </c>
      <c r="D350" s="13">
        <f>RL_NAV*($J$10*Historique!D350+$J$11*Historique!E350+$J$12*Historique!F350+$J$21*Historique!G350)</f>
        <v>-9780576.293493934</v>
      </c>
      <c r="E350" s="20">
        <f t="shared" si="10"/>
        <v>0</v>
      </c>
      <c r="F350" s="20">
        <f t="shared" si="11"/>
        <v>0</v>
      </c>
    </row>
    <row r="351" spans="2:6" x14ac:dyDescent="0.2">
      <c r="B351" s="19">
        <f>Historique!B351</f>
        <v>44895</v>
      </c>
      <c r="C351" s="13">
        <f>RL_NAV*($I$10*Historique!D351+$I$11*Historique!E351+$I$12*Historique!F351+$I$21*Historique!G351)</f>
        <v>2566768.1808106243</v>
      </c>
      <c r="D351" s="13">
        <f>RL_NAV*($J$10*Historique!D351+$J$11*Historique!E351+$J$12*Historique!F351+$J$21*Historique!G351)</f>
        <v>2559490.9533743695</v>
      </c>
      <c r="E351" s="20">
        <f t="shared" si="10"/>
        <v>0</v>
      </c>
      <c r="F351" s="20">
        <f t="shared" si="11"/>
        <v>0</v>
      </c>
    </row>
    <row r="352" spans="2:6" x14ac:dyDescent="0.2">
      <c r="B352" s="19">
        <f>Historique!B352</f>
        <v>44896</v>
      </c>
      <c r="C352" s="13">
        <f>RL_NAV*($I$10*Historique!D352+$I$11*Historique!E352+$I$12*Historique!F352+$I$21*Historique!G352)</f>
        <v>-16844733.243942197</v>
      </c>
      <c r="D352" s="13">
        <f>RL_NAV*($J$10*Historique!D352+$J$11*Historique!E352+$J$12*Historique!F352+$J$21*Historique!G352)</f>
        <v>-16629764.464576758</v>
      </c>
      <c r="E352" s="20">
        <f t="shared" si="10"/>
        <v>0</v>
      </c>
      <c r="F352" s="20">
        <f t="shared" si="11"/>
        <v>0</v>
      </c>
    </row>
    <row r="353" spans="2:6" x14ac:dyDescent="0.2">
      <c r="B353" s="19">
        <f>Historique!B353</f>
        <v>44897</v>
      </c>
      <c r="C353" s="13">
        <f>RL_NAV*($I$10*Historique!D353+$I$11*Historique!E353+$I$12*Historique!F353+$I$21*Historique!G353)</f>
        <v>2282597.0967447949</v>
      </c>
      <c r="D353" s="13">
        <f>RL_NAV*($J$10*Historique!D353+$J$11*Historique!E353+$J$12*Historique!F353+$J$21*Historique!G353)</f>
        <v>2286720.1743202051</v>
      </c>
      <c r="E353" s="20">
        <f t="shared" si="10"/>
        <v>0</v>
      </c>
      <c r="F353" s="20">
        <f t="shared" si="11"/>
        <v>0</v>
      </c>
    </row>
    <row r="354" spans="2:6" x14ac:dyDescent="0.2">
      <c r="B354" s="19">
        <f>Historique!B354</f>
        <v>44900</v>
      </c>
      <c r="C354" s="13">
        <f>RL_NAV*($I$10*Historique!D354+$I$11*Historique!E354+$I$12*Historique!F354+$I$21*Historique!G354)</f>
        <v>1023689.5419205108</v>
      </c>
      <c r="D354" s="13">
        <f>RL_NAV*($J$10*Historique!D354+$J$11*Historique!E354+$J$12*Historique!F354+$J$21*Historique!G354)</f>
        <v>1044233.5848800193</v>
      </c>
      <c r="E354" s="20">
        <f t="shared" si="10"/>
        <v>0</v>
      </c>
      <c r="F354" s="20">
        <f t="shared" si="11"/>
        <v>0</v>
      </c>
    </row>
    <row r="355" spans="2:6" x14ac:dyDescent="0.2">
      <c r="B355" s="19">
        <f>Historique!B355</f>
        <v>44901</v>
      </c>
      <c r="C355" s="13">
        <f>RL_NAV*($I$10*Historique!D355+$I$11*Historique!E355+$I$12*Historique!F355+$I$21*Historique!G355)</f>
        <v>-10241516.556355501</v>
      </c>
      <c r="D355" s="13">
        <f>RL_NAV*($J$10*Historique!D355+$J$11*Historique!E355+$J$12*Historique!F355+$J$21*Historique!G355)</f>
        <v>-10072169.171075681</v>
      </c>
      <c r="E355" s="20">
        <f t="shared" si="10"/>
        <v>0</v>
      </c>
      <c r="F355" s="20">
        <f t="shared" si="11"/>
        <v>0</v>
      </c>
    </row>
    <row r="356" spans="2:6" x14ac:dyDescent="0.2">
      <c r="B356" s="19">
        <f>Historique!B356</f>
        <v>44902</v>
      </c>
      <c r="C356" s="13">
        <f>RL_NAV*($I$10*Historique!D356+$I$11*Historique!E356+$I$12*Historique!F356+$I$21*Historique!G356)</f>
        <v>1662735.320986026</v>
      </c>
      <c r="D356" s="13">
        <f>RL_NAV*($J$10*Historique!D356+$J$11*Historique!E356+$J$12*Historique!F356+$J$21*Historique!G356)</f>
        <v>1557503.4066770494</v>
      </c>
      <c r="E356" s="20">
        <f t="shared" si="10"/>
        <v>0</v>
      </c>
      <c r="F356" s="20">
        <f t="shared" si="11"/>
        <v>0</v>
      </c>
    </row>
    <row r="357" spans="2:6" x14ac:dyDescent="0.2">
      <c r="B357" s="19">
        <f>Historique!B357</f>
        <v>44903</v>
      </c>
      <c r="C357" s="13">
        <f>RL_NAV*($I$10*Historique!D357+$I$11*Historique!E357+$I$12*Historique!F357+$I$21*Historique!G357)</f>
        <v>4952178.7305302415</v>
      </c>
      <c r="D357" s="13">
        <f>RL_NAV*($J$10*Historique!D357+$J$11*Historique!E357+$J$12*Historique!F357+$J$21*Historique!G357)</f>
        <v>4866350.0970477723</v>
      </c>
      <c r="E357" s="20">
        <f t="shared" si="10"/>
        <v>0</v>
      </c>
      <c r="F357" s="20">
        <f t="shared" si="11"/>
        <v>0</v>
      </c>
    </row>
    <row r="358" spans="2:6" x14ac:dyDescent="0.2">
      <c r="B358" s="19">
        <f>Historique!B358</f>
        <v>44904</v>
      </c>
      <c r="C358" s="13">
        <f>RL_NAV*($I$10*Historique!D358+$I$11*Historique!E358+$I$12*Historique!F358+$I$21*Historique!G358)</f>
        <v>12567475.604557779</v>
      </c>
      <c r="D358" s="13">
        <f>RL_NAV*($J$10*Historique!D358+$J$11*Historique!E358+$J$12*Historique!F358+$J$21*Historique!G358)</f>
        <v>12419567.856230909</v>
      </c>
      <c r="E358" s="20">
        <f t="shared" si="10"/>
        <v>0</v>
      </c>
      <c r="F358" s="20">
        <f t="shared" si="11"/>
        <v>0</v>
      </c>
    </row>
    <row r="359" spans="2:6" x14ac:dyDescent="0.2">
      <c r="B359" s="19">
        <f>Historique!B359</f>
        <v>44907</v>
      </c>
      <c r="C359" s="13">
        <f>RL_NAV*($I$10*Historique!D359+$I$11*Historique!E359+$I$12*Historique!F359+$I$21*Historique!G359)</f>
        <v>1617182.2665025447</v>
      </c>
      <c r="D359" s="13">
        <f>RL_NAV*($J$10*Historique!D359+$J$11*Historique!E359+$J$12*Historique!F359+$J$21*Historique!G359)</f>
        <v>1571016.1526990377</v>
      </c>
      <c r="E359" s="20">
        <f t="shared" si="10"/>
        <v>0</v>
      </c>
      <c r="F359" s="20">
        <f t="shared" si="11"/>
        <v>0</v>
      </c>
    </row>
    <row r="360" spans="2:6" x14ac:dyDescent="0.2">
      <c r="B360" s="19">
        <f>Historique!B360</f>
        <v>44908</v>
      </c>
      <c r="C360" s="13">
        <f>RL_NAV*($I$10*Historique!D360+$I$11*Historique!E360+$I$12*Historique!F360+$I$21*Historique!G360)</f>
        <v>-12029223.184167007</v>
      </c>
      <c r="D360" s="13">
        <f>RL_NAV*($J$10*Historique!D360+$J$11*Historique!E360+$J$12*Historique!F360+$J$21*Historique!G360)</f>
        <v>-11792896.580285961</v>
      </c>
      <c r="E360" s="20">
        <f t="shared" si="10"/>
        <v>0</v>
      </c>
      <c r="F360" s="20">
        <f t="shared" si="11"/>
        <v>0</v>
      </c>
    </row>
    <row r="361" spans="2:6" x14ac:dyDescent="0.2">
      <c r="B361" s="19">
        <f>Historique!B361</f>
        <v>44909</v>
      </c>
      <c r="C361" s="13">
        <f>RL_NAV*($I$10*Historique!D361+$I$11*Historique!E361+$I$12*Historique!F361+$I$21*Historique!G361)</f>
        <v>-4414783.7537201503</v>
      </c>
      <c r="D361" s="13">
        <f>RL_NAV*($J$10*Historique!D361+$J$11*Historique!E361+$J$12*Historique!F361+$J$21*Historique!G361)</f>
        <v>-4228376.455955917</v>
      </c>
      <c r="E361" s="20">
        <f t="shared" si="10"/>
        <v>0</v>
      </c>
      <c r="F361" s="20">
        <f t="shared" si="11"/>
        <v>0</v>
      </c>
    </row>
    <row r="362" spans="2:6" x14ac:dyDescent="0.2">
      <c r="B362" s="19">
        <f>Historique!B362</f>
        <v>44910</v>
      </c>
      <c r="C362" s="13">
        <f>RL_NAV*($I$10*Historique!D362+$I$11*Historique!E362+$I$12*Historique!F362+$I$21*Historique!G362)</f>
        <v>14095991.374150816</v>
      </c>
      <c r="D362" s="13">
        <f>RL_NAV*($J$10*Historique!D362+$J$11*Historique!E362+$J$12*Historique!F362+$J$21*Historique!G362)</f>
        <v>13860883.050869266</v>
      </c>
      <c r="E362" s="20">
        <f t="shared" si="10"/>
        <v>0</v>
      </c>
      <c r="F362" s="20">
        <f t="shared" si="11"/>
        <v>0</v>
      </c>
    </row>
    <row r="363" spans="2:6" x14ac:dyDescent="0.2">
      <c r="B363" s="19">
        <f>Historique!B363</f>
        <v>44911</v>
      </c>
      <c r="C363" s="13">
        <f>RL_NAV*($I$10*Historique!D363+$I$11*Historique!E363+$I$12*Historique!F363+$I$21*Historique!G363)</f>
        <v>19693809.390610639</v>
      </c>
      <c r="D363" s="13">
        <f>RL_NAV*($J$10*Historique!D363+$J$11*Historique!E363+$J$12*Historique!F363+$J$21*Historique!G363)</f>
        <v>19602196.531874463</v>
      </c>
      <c r="E363" s="20">
        <f t="shared" si="10"/>
        <v>0</v>
      </c>
      <c r="F363" s="20">
        <f t="shared" si="11"/>
        <v>0</v>
      </c>
    </row>
    <row r="364" spans="2:6" x14ac:dyDescent="0.2">
      <c r="B364" s="19">
        <f>Historique!B364</f>
        <v>44914</v>
      </c>
      <c r="C364" s="13">
        <f>RL_NAV*($I$10*Historique!D364+$I$11*Historique!E364+$I$12*Historique!F364+$I$21*Historique!G364)</f>
        <v>8288706.9527097512</v>
      </c>
      <c r="D364" s="13">
        <f>RL_NAV*($J$10*Historique!D364+$J$11*Historique!E364+$J$12*Historique!F364+$J$21*Historique!G364)</f>
        <v>8038703.3291705539</v>
      </c>
      <c r="E364" s="20">
        <f t="shared" si="10"/>
        <v>0</v>
      </c>
      <c r="F364" s="20">
        <f t="shared" si="11"/>
        <v>0</v>
      </c>
    </row>
    <row r="365" spans="2:6" x14ac:dyDescent="0.2">
      <c r="B365" s="19">
        <f>Historique!B365</f>
        <v>44915</v>
      </c>
      <c r="C365" s="13">
        <f>RL_NAV*($I$10*Historique!D365+$I$11*Historique!E365+$I$12*Historique!F365+$I$21*Historique!G365)</f>
        <v>5562996.0366111519</v>
      </c>
      <c r="D365" s="13">
        <f>RL_NAV*($J$10*Historique!D365+$J$11*Historique!E365+$J$12*Historique!F365+$J$21*Historique!G365)</f>
        <v>5559552.8862787196</v>
      </c>
      <c r="E365" s="20">
        <f t="shared" si="10"/>
        <v>0</v>
      </c>
      <c r="F365" s="20">
        <f t="shared" si="11"/>
        <v>0</v>
      </c>
    </row>
    <row r="366" spans="2:6" x14ac:dyDescent="0.2">
      <c r="B366" s="19">
        <f>Historique!B366</f>
        <v>44916</v>
      </c>
      <c r="C366" s="13">
        <f>RL_NAV*($I$10*Historique!D366+$I$11*Historique!E366+$I$12*Historique!F366+$I$21*Historique!G366)</f>
        <v>3415275.1594421379</v>
      </c>
      <c r="D366" s="13">
        <f>RL_NAV*($J$10*Historique!D366+$J$11*Historique!E366+$J$12*Historique!F366+$J$21*Historique!G366)</f>
        <v>3332498.3936198247</v>
      </c>
      <c r="E366" s="20">
        <f t="shared" si="10"/>
        <v>0</v>
      </c>
      <c r="F366" s="20">
        <f t="shared" si="11"/>
        <v>0</v>
      </c>
    </row>
    <row r="367" spans="2:6" x14ac:dyDescent="0.2">
      <c r="B367" s="19">
        <f>Historique!B367</f>
        <v>44917</v>
      </c>
      <c r="C367" s="13">
        <f>RL_NAV*($I$10*Historique!D367+$I$11*Historique!E367+$I$12*Historique!F367+$I$21*Historique!G367)</f>
        <v>5236461.100963953</v>
      </c>
      <c r="D367" s="13">
        <f>RL_NAV*($J$10*Historique!D367+$J$11*Historique!E367+$J$12*Historique!F367+$J$21*Historique!G367)</f>
        <v>5238276.8792113056</v>
      </c>
      <c r="E367" s="20">
        <f t="shared" si="10"/>
        <v>0</v>
      </c>
      <c r="F367" s="20">
        <f t="shared" si="11"/>
        <v>0</v>
      </c>
    </row>
    <row r="368" spans="2:6" x14ac:dyDescent="0.2">
      <c r="B368" s="19">
        <f>Historique!B368</f>
        <v>44918</v>
      </c>
      <c r="C368" s="13">
        <f>RL_NAV*($I$10*Historique!D368+$I$11*Historique!E368+$I$12*Historique!F368+$I$21*Historique!G368)</f>
        <v>2675172.3908496001</v>
      </c>
      <c r="D368" s="13">
        <f>RL_NAV*($J$10*Historique!D368+$J$11*Historique!E368+$J$12*Historique!F368+$J$21*Historique!G368)</f>
        <v>2679394.5534338709</v>
      </c>
      <c r="E368" s="20">
        <f t="shared" si="10"/>
        <v>0</v>
      </c>
      <c r="F368" s="20">
        <f t="shared" si="11"/>
        <v>0</v>
      </c>
    </row>
    <row r="369" spans="2:6" x14ac:dyDescent="0.2">
      <c r="B369" s="19">
        <f>Historique!B369</f>
        <v>44922</v>
      </c>
      <c r="C369" s="13">
        <f>RL_NAV*($I$10*Historique!D369+$I$11*Historique!E369+$I$12*Historique!F369+$I$21*Historique!G369)</f>
        <v>-8282472.7632317292</v>
      </c>
      <c r="D369" s="13">
        <f>RL_NAV*($J$10*Historique!D369+$J$11*Historique!E369+$J$12*Historique!F369+$J$21*Historique!G369)</f>
        <v>-8040710.5077950964</v>
      </c>
      <c r="E369" s="20">
        <f t="shared" si="10"/>
        <v>0</v>
      </c>
      <c r="F369" s="20">
        <f t="shared" si="11"/>
        <v>0</v>
      </c>
    </row>
    <row r="370" spans="2:6" x14ac:dyDescent="0.2">
      <c r="B370" s="19">
        <f>Historique!B370</f>
        <v>44923</v>
      </c>
      <c r="C370" s="13">
        <f>RL_NAV*($I$10*Historique!D370+$I$11*Historique!E370+$I$12*Historique!F370+$I$21*Historique!G370)</f>
        <v>7312357.5843174271</v>
      </c>
      <c r="D370" s="13">
        <f>RL_NAV*($J$10*Historique!D370+$J$11*Historique!E370+$J$12*Historique!F370+$J$21*Historique!G370)</f>
        <v>7117649.7785437312</v>
      </c>
      <c r="E370" s="20">
        <f t="shared" si="10"/>
        <v>0</v>
      </c>
      <c r="F370" s="20">
        <f t="shared" si="11"/>
        <v>0</v>
      </c>
    </row>
    <row r="371" spans="2:6" x14ac:dyDescent="0.2">
      <c r="B371" s="19">
        <f>Historique!B371</f>
        <v>44924</v>
      </c>
      <c r="C371" s="13">
        <f>RL_NAV*($I$10*Historique!D371+$I$11*Historique!E371+$I$12*Historique!F371+$I$21*Historique!G371)</f>
        <v>3043749.2559348</v>
      </c>
      <c r="D371" s="13">
        <f>RL_NAV*($J$10*Historique!D371+$J$11*Historique!E371+$J$12*Historique!F371+$J$21*Historique!G371)</f>
        <v>2954823.5403809668</v>
      </c>
      <c r="E371" s="20">
        <f t="shared" si="10"/>
        <v>0</v>
      </c>
      <c r="F371" s="20">
        <f t="shared" si="11"/>
        <v>0</v>
      </c>
    </row>
    <row r="372" spans="2:6" x14ac:dyDescent="0.2">
      <c r="B372" s="19">
        <f>Historique!B372</f>
        <v>44925</v>
      </c>
      <c r="C372" s="13">
        <f>RL_NAV*($I$10*Historique!D372+$I$11*Historique!E372+$I$12*Historique!F372+$I$21*Historique!G372)</f>
        <v>-5310875.9961377429</v>
      </c>
      <c r="D372" s="13">
        <f>RL_NAV*($J$10*Historique!D372+$J$11*Historique!E372+$J$12*Historique!F372+$J$21*Historique!G372)</f>
        <v>-5105115.6261700494</v>
      </c>
      <c r="E372" s="20">
        <f t="shared" si="10"/>
        <v>0</v>
      </c>
      <c r="F372" s="20">
        <f t="shared" si="11"/>
        <v>0</v>
      </c>
    </row>
    <row r="373" spans="2:6" x14ac:dyDescent="0.2">
      <c r="B373" s="19">
        <f>Historique!B373</f>
        <v>44928</v>
      </c>
      <c r="C373" s="13">
        <f>RL_NAV*($I$10*Historique!D373+$I$11*Historique!E373+$I$12*Historique!F373+$I$21*Historique!G373)</f>
        <v>4567374.5419584829</v>
      </c>
      <c r="D373" s="13">
        <f>RL_NAV*($J$10*Historique!D373+$J$11*Historique!E373+$J$12*Historique!F373+$J$21*Historique!G373)</f>
        <v>4448623.3217068734</v>
      </c>
      <c r="E373" s="20">
        <f t="shared" si="10"/>
        <v>0</v>
      </c>
      <c r="F373" s="20">
        <f t="shared" si="11"/>
        <v>0</v>
      </c>
    </row>
    <row r="374" spans="2:6" x14ac:dyDescent="0.2">
      <c r="B374" s="19">
        <f>Historique!B374</f>
        <v>44929</v>
      </c>
      <c r="C374" s="13">
        <f>RL_NAV*($I$10*Historique!D374+$I$11*Historique!E374+$I$12*Historique!F374+$I$21*Historique!G374)</f>
        <v>4239758.9265766144</v>
      </c>
      <c r="D374" s="13">
        <f>RL_NAV*($J$10*Historique!D374+$J$11*Historique!E374+$J$12*Historique!F374+$J$21*Historique!G374)</f>
        <v>4022277.9888817458</v>
      </c>
      <c r="E374" s="20">
        <f t="shared" si="10"/>
        <v>0</v>
      </c>
      <c r="F374" s="20">
        <f t="shared" si="11"/>
        <v>0</v>
      </c>
    </row>
    <row r="375" spans="2:6" x14ac:dyDescent="0.2">
      <c r="B375" s="19">
        <f>Historique!B375</f>
        <v>44930</v>
      </c>
      <c r="C375" s="13">
        <f>RL_NAV*($I$10*Historique!D375+$I$11*Historique!E375+$I$12*Historique!F375+$I$21*Historique!G375)</f>
        <v>-21503249.530983176</v>
      </c>
      <c r="D375" s="13">
        <f>RL_NAV*($J$10*Historique!D375+$J$11*Historique!E375+$J$12*Historique!F375+$J$21*Historique!G375)</f>
        <v>-21083814.37217192</v>
      </c>
      <c r="E375" s="20">
        <f t="shared" si="10"/>
        <v>0</v>
      </c>
      <c r="F375" s="20">
        <f t="shared" si="11"/>
        <v>0</v>
      </c>
    </row>
    <row r="376" spans="2:6" x14ac:dyDescent="0.2">
      <c r="B376" s="19">
        <f>Historique!B376</f>
        <v>44931</v>
      </c>
      <c r="C376" s="13">
        <f>RL_NAV*($I$10*Historique!D376+$I$11*Historique!E376+$I$12*Historique!F376+$I$21*Historique!G376)</f>
        <v>3599344.0648506652</v>
      </c>
      <c r="D376" s="13">
        <f>RL_NAV*($J$10*Historique!D376+$J$11*Historique!E376+$J$12*Historique!F376+$J$21*Historique!G376)</f>
        <v>3630051.4926008228</v>
      </c>
      <c r="E376" s="20">
        <f t="shared" si="10"/>
        <v>0</v>
      </c>
      <c r="F376" s="20">
        <f t="shared" si="11"/>
        <v>0</v>
      </c>
    </row>
    <row r="377" spans="2:6" x14ac:dyDescent="0.2">
      <c r="B377" s="19">
        <f>Historique!B377</f>
        <v>44932</v>
      </c>
      <c r="C377" s="13">
        <f>RL_NAV*($I$10*Historique!D377+$I$11*Historique!E377+$I$12*Historique!F377+$I$21*Historique!G377)</f>
        <v>-10512485.097980285</v>
      </c>
      <c r="D377" s="13">
        <f>RL_NAV*($J$10*Historique!D377+$J$11*Historique!E377+$J$12*Historique!F377+$J$21*Historique!G377)</f>
        <v>-10311010.511064975</v>
      </c>
      <c r="E377" s="20">
        <f t="shared" si="10"/>
        <v>0</v>
      </c>
      <c r="F377" s="20">
        <f t="shared" si="11"/>
        <v>0</v>
      </c>
    </row>
    <row r="378" spans="2:6" x14ac:dyDescent="0.2">
      <c r="B378" s="19">
        <f>Historique!B378</f>
        <v>44935</v>
      </c>
      <c r="C378" s="13">
        <f>RL_NAV*($I$10*Historique!D378+$I$11*Historique!E378+$I$12*Historique!F378+$I$21*Historique!G378)</f>
        <v>-5423052.0672617322</v>
      </c>
      <c r="D378" s="13">
        <f>RL_NAV*($J$10*Historique!D378+$J$11*Historique!E378+$J$12*Historique!F378+$J$21*Historique!G378)</f>
        <v>-5315806.2637627646</v>
      </c>
      <c r="E378" s="20">
        <f t="shared" si="10"/>
        <v>0</v>
      </c>
      <c r="F378" s="20">
        <f t="shared" si="11"/>
        <v>0</v>
      </c>
    </row>
    <row r="379" spans="2:6" x14ac:dyDescent="0.2">
      <c r="B379" s="19">
        <f>Historique!B379</f>
        <v>44936</v>
      </c>
      <c r="C379" s="13">
        <f>RL_NAV*($I$10*Historique!D379+$I$11*Historique!E379+$I$12*Historique!F379+$I$21*Historique!G379)</f>
        <v>3012394.3610752239</v>
      </c>
      <c r="D379" s="13">
        <f>RL_NAV*($J$10*Historique!D379+$J$11*Historique!E379+$J$12*Historique!F379+$J$21*Historique!G379)</f>
        <v>2992913.3455210268</v>
      </c>
      <c r="E379" s="20">
        <f t="shared" si="10"/>
        <v>0</v>
      </c>
      <c r="F379" s="20">
        <f t="shared" si="11"/>
        <v>0</v>
      </c>
    </row>
    <row r="380" spans="2:6" x14ac:dyDescent="0.2">
      <c r="B380" s="19">
        <f>Historique!B380</f>
        <v>44937</v>
      </c>
      <c r="C380" s="13">
        <f>RL_NAV*($I$10*Historique!D380+$I$11*Historique!E380+$I$12*Historique!F380+$I$21*Historique!G380)</f>
        <v>-9324654.874446243</v>
      </c>
      <c r="D380" s="13">
        <f>RL_NAV*($J$10*Historique!D380+$J$11*Historique!E380+$J$12*Historique!F380+$J$21*Historique!G380)</f>
        <v>-9186975.535418259</v>
      </c>
      <c r="E380" s="20">
        <f t="shared" si="10"/>
        <v>0</v>
      </c>
      <c r="F380" s="20">
        <f t="shared" si="11"/>
        <v>0</v>
      </c>
    </row>
    <row r="381" spans="2:6" x14ac:dyDescent="0.2">
      <c r="B381" s="19">
        <f>Historique!B381</f>
        <v>44938</v>
      </c>
      <c r="C381" s="13">
        <f>RL_NAV*($I$10*Historique!D381+$I$11*Historique!E381+$I$12*Historique!F381+$I$21*Historique!G381)</f>
        <v>-12977796.370451923</v>
      </c>
      <c r="D381" s="13">
        <f>RL_NAV*($J$10*Historique!D381+$J$11*Historique!E381+$J$12*Historique!F381+$J$21*Historique!G381)</f>
        <v>-12722041.183018956</v>
      </c>
      <c r="E381" s="20">
        <f t="shared" si="10"/>
        <v>0</v>
      </c>
      <c r="F381" s="20">
        <f t="shared" si="11"/>
        <v>0</v>
      </c>
    </row>
    <row r="382" spans="2:6" x14ac:dyDescent="0.2">
      <c r="B382" s="19">
        <f>Historique!B382</f>
        <v>44939</v>
      </c>
      <c r="C382" s="13">
        <f>RL_NAV*($I$10*Historique!D382+$I$11*Historique!E382+$I$12*Historique!F382+$I$21*Historique!G382)</f>
        <v>-3448956.1415123893</v>
      </c>
      <c r="D382" s="13">
        <f>RL_NAV*($J$10*Historique!D382+$J$11*Historique!E382+$J$12*Historique!F382+$J$21*Historique!G382)</f>
        <v>-3400415.5965286763</v>
      </c>
      <c r="E382" s="20">
        <f t="shared" si="10"/>
        <v>0</v>
      </c>
      <c r="F382" s="20">
        <f t="shared" si="11"/>
        <v>0</v>
      </c>
    </row>
    <row r="383" spans="2:6" x14ac:dyDescent="0.2">
      <c r="B383" s="19">
        <f>Historique!B383</f>
        <v>44942</v>
      </c>
      <c r="C383" s="13">
        <f>RL_NAV*($I$10*Historique!D383+$I$11*Historique!E383+$I$12*Historique!F383+$I$21*Historique!G383)</f>
        <v>-11119972.997196525</v>
      </c>
      <c r="D383" s="13">
        <f>RL_NAV*($J$10*Historique!D383+$J$11*Historique!E383+$J$12*Historique!F383+$J$21*Historique!G383)</f>
        <v>-10822847.435183818</v>
      </c>
      <c r="E383" s="20">
        <f t="shared" si="10"/>
        <v>0</v>
      </c>
      <c r="F383" s="20">
        <f t="shared" si="11"/>
        <v>0</v>
      </c>
    </row>
    <row r="384" spans="2:6" x14ac:dyDescent="0.2">
      <c r="B384" s="19">
        <f>Historique!B384</f>
        <v>44943</v>
      </c>
      <c r="C384" s="13">
        <f>RL_NAV*($I$10*Historique!D384+$I$11*Historique!E384+$I$12*Historique!F384+$I$21*Historique!G384)</f>
        <v>1937708.0296316745</v>
      </c>
      <c r="D384" s="13">
        <f>RL_NAV*($J$10*Historique!D384+$J$11*Historique!E384+$J$12*Historique!F384+$J$21*Historique!G384)</f>
        <v>1871022.5754327327</v>
      </c>
      <c r="E384" s="20">
        <f t="shared" si="10"/>
        <v>0</v>
      </c>
      <c r="F384" s="20">
        <f t="shared" si="11"/>
        <v>0</v>
      </c>
    </row>
    <row r="385" spans="2:6" x14ac:dyDescent="0.2">
      <c r="B385" s="19">
        <f>Historique!B385</f>
        <v>44944</v>
      </c>
      <c r="C385" s="13">
        <f>RL_NAV*($I$10*Historique!D385+$I$11*Historique!E385+$I$12*Historique!F385+$I$21*Historique!G385)</f>
        <v>-19236042.408310037</v>
      </c>
      <c r="D385" s="13">
        <f>RL_NAV*($J$10*Historique!D385+$J$11*Historique!E385+$J$12*Historique!F385+$J$21*Historique!G385)</f>
        <v>-18926781.856039528</v>
      </c>
      <c r="E385" s="20">
        <f t="shared" si="10"/>
        <v>0</v>
      </c>
      <c r="F385" s="20">
        <f t="shared" si="11"/>
        <v>0</v>
      </c>
    </row>
    <row r="386" spans="2:6" x14ac:dyDescent="0.2">
      <c r="B386" s="19">
        <f>Historique!B386</f>
        <v>44945</v>
      </c>
      <c r="C386" s="13">
        <f>RL_NAV*($I$10*Historique!D386+$I$11*Historique!E386+$I$12*Historique!F386+$I$21*Historique!G386)</f>
        <v>14095899.684346538</v>
      </c>
      <c r="D386" s="13">
        <f>RL_NAV*($J$10*Historique!D386+$J$11*Historique!E386+$J$12*Historique!F386+$J$21*Historique!G386)</f>
        <v>13805282.316417683</v>
      </c>
      <c r="E386" s="20">
        <f t="shared" si="10"/>
        <v>0</v>
      </c>
      <c r="F386" s="20">
        <f t="shared" si="11"/>
        <v>0</v>
      </c>
    </row>
    <row r="387" spans="2:6" x14ac:dyDescent="0.2">
      <c r="B387" s="19">
        <f>Historique!B387</f>
        <v>44946</v>
      </c>
      <c r="C387" s="13">
        <f>RL_NAV*($I$10*Historique!D387+$I$11*Historique!E387+$I$12*Historique!F387+$I$21*Historique!G387)</f>
        <v>8295792.5667031072</v>
      </c>
      <c r="D387" s="13">
        <f>RL_NAV*($J$10*Historique!D387+$J$11*Historique!E387+$J$12*Historique!F387+$J$21*Historique!G387)</f>
        <v>8220145.8335298346</v>
      </c>
      <c r="E387" s="20">
        <f t="shared" si="10"/>
        <v>0</v>
      </c>
      <c r="F387" s="20">
        <f t="shared" si="11"/>
        <v>0</v>
      </c>
    </row>
    <row r="388" spans="2:6" x14ac:dyDescent="0.2">
      <c r="B388" s="19">
        <f>Historique!B388</f>
        <v>44949</v>
      </c>
      <c r="C388" s="13">
        <f>RL_NAV*($I$10*Historique!D388+$I$11*Historique!E388+$I$12*Historique!F388+$I$21*Historique!G388)</f>
        <v>4238950.5012753783</v>
      </c>
      <c r="D388" s="13">
        <f>RL_NAV*($J$10*Historique!D388+$J$11*Historique!E388+$J$12*Historique!F388+$J$21*Historique!G388)</f>
        <v>4173758.6444633678</v>
      </c>
      <c r="E388" s="20">
        <f t="shared" si="10"/>
        <v>0</v>
      </c>
      <c r="F388" s="20">
        <f t="shared" si="11"/>
        <v>0</v>
      </c>
    </row>
    <row r="389" spans="2:6" x14ac:dyDescent="0.2">
      <c r="B389" s="19">
        <f>Historique!B389</f>
        <v>44950</v>
      </c>
      <c r="C389" s="13">
        <f>RL_NAV*($I$10*Historique!D389+$I$11*Historique!E389+$I$12*Historique!F389+$I$21*Historique!G389)</f>
        <v>2502570.1864340375</v>
      </c>
      <c r="D389" s="13">
        <f>RL_NAV*($J$10*Historique!D389+$J$11*Historique!E389+$J$12*Historique!F389+$J$21*Historique!G389)</f>
        <v>2461691.519941946</v>
      </c>
      <c r="E389" s="20">
        <f t="shared" si="10"/>
        <v>0</v>
      </c>
      <c r="F389" s="20">
        <f t="shared" si="11"/>
        <v>0</v>
      </c>
    </row>
    <row r="390" spans="2:6" x14ac:dyDescent="0.2">
      <c r="B390" s="19">
        <f>Historique!B390</f>
        <v>44951</v>
      </c>
      <c r="C390" s="13">
        <f>RL_NAV*($I$10*Historique!D390+$I$11*Historique!E390+$I$12*Historique!F390+$I$21*Historique!G390)</f>
        <v>-8763663.9673410412</v>
      </c>
      <c r="D390" s="13">
        <f>RL_NAV*($J$10*Historique!D390+$J$11*Historique!E390+$J$12*Historique!F390+$J$21*Historique!G390)</f>
        <v>-8688589.3151519801</v>
      </c>
      <c r="E390" s="20">
        <f t="shared" si="10"/>
        <v>0</v>
      </c>
      <c r="F390" s="20">
        <f t="shared" si="11"/>
        <v>0</v>
      </c>
    </row>
    <row r="391" spans="2:6" x14ac:dyDescent="0.2">
      <c r="B391" s="19">
        <f>Historique!B391</f>
        <v>44952</v>
      </c>
      <c r="C391" s="13">
        <f>RL_NAV*($I$10*Historique!D391+$I$11*Historique!E391+$I$12*Historique!F391+$I$21*Historique!G391)</f>
        <v>330639.72291730816</v>
      </c>
      <c r="D391" s="13">
        <f>RL_NAV*($J$10*Historique!D391+$J$11*Historique!E391+$J$12*Historique!F391+$J$21*Historique!G391)</f>
        <v>443146.3847543372</v>
      </c>
      <c r="E391" s="20">
        <f t="shared" ref="E391:E454" si="12">IF(C391&gt;$I$9,1,IF(C391=$I$9,($I$8-$I$18)/$I$19,0))/$I$8</f>
        <v>0</v>
      </c>
      <c r="F391" s="20">
        <f t="shared" ref="F391:F454" si="13">IF(D391&gt;$J$9,1,IF(D391=$J$9,($J$8-$J$18)/$J$19,0))/$J$8</f>
        <v>0</v>
      </c>
    </row>
    <row r="392" spans="2:6" x14ac:dyDescent="0.2">
      <c r="B392" s="19">
        <f>Historique!B392</f>
        <v>44953</v>
      </c>
      <c r="C392" s="13">
        <f>RL_NAV*($I$10*Historique!D392+$I$11*Historique!E392+$I$12*Historique!F392+$I$21*Historique!G392)</f>
        <v>2161587.1465449892</v>
      </c>
      <c r="D392" s="13">
        <f>RL_NAV*($J$10*Historique!D392+$J$11*Historique!E392+$J$12*Historique!F392+$J$21*Historique!G392)</f>
        <v>2190265.0311966692</v>
      </c>
      <c r="E392" s="20">
        <f t="shared" si="12"/>
        <v>0</v>
      </c>
      <c r="F392" s="20">
        <f t="shared" si="13"/>
        <v>0</v>
      </c>
    </row>
    <row r="393" spans="2:6" x14ac:dyDescent="0.2">
      <c r="B393" s="19">
        <f>Historique!B393</f>
        <v>44956</v>
      </c>
      <c r="C393" s="13">
        <f>RL_NAV*($I$10*Historique!D393+$I$11*Historique!E393+$I$12*Historique!F393+$I$21*Historique!G393)</f>
        <v>6416604.1096933223</v>
      </c>
      <c r="D393" s="13">
        <f>RL_NAV*($J$10*Historique!D393+$J$11*Historique!E393+$J$12*Historique!F393+$J$21*Historique!G393)</f>
        <v>6365537.2350412812</v>
      </c>
      <c r="E393" s="20">
        <f t="shared" si="12"/>
        <v>0</v>
      </c>
      <c r="F393" s="20">
        <f t="shared" si="13"/>
        <v>0</v>
      </c>
    </row>
    <row r="394" spans="2:6" x14ac:dyDescent="0.2">
      <c r="B394" s="19">
        <f>Historique!B394</f>
        <v>44957</v>
      </c>
      <c r="C394" s="13">
        <f>RL_NAV*($I$10*Historique!D394+$I$11*Historique!E394+$I$12*Historique!F394+$I$21*Historique!G394)</f>
        <v>298636.38892537937</v>
      </c>
      <c r="D394" s="13">
        <f>RL_NAV*($J$10*Historique!D394+$J$11*Historique!E394+$J$12*Historique!F394+$J$21*Historique!G394)</f>
        <v>222423.45697382523</v>
      </c>
      <c r="E394" s="20">
        <f t="shared" si="12"/>
        <v>0</v>
      </c>
      <c r="F394" s="20">
        <f t="shared" si="13"/>
        <v>0</v>
      </c>
    </row>
    <row r="395" spans="2:6" x14ac:dyDescent="0.2">
      <c r="B395" s="19">
        <f>Historique!B395</f>
        <v>44958</v>
      </c>
      <c r="C395" s="13">
        <f>RL_NAV*($I$10*Historique!D395+$I$11*Historique!E395+$I$12*Historique!F395+$I$21*Historique!G395)</f>
        <v>3304979.3949510981</v>
      </c>
      <c r="D395" s="13">
        <f>RL_NAV*($J$10*Historique!D395+$J$11*Historique!E395+$J$12*Historique!F395+$J$21*Historique!G395)</f>
        <v>3260078.9452987839</v>
      </c>
      <c r="E395" s="20">
        <f t="shared" si="12"/>
        <v>0</v>
      </c>
      <c r="F395" s="20">
        <f t="shared" si="13"/>
        <v>0</v>
      </c>
    </row>
    <row r="396" spans="2:6" x14ac:dyDescent="0.2">
      <c r="B396" s="19">
        <f>Historique!B396</f>
        <v>44959</v>
      </c>
      <c r="C396" s="13">
        <f>RL_NAV*($I$10*Historique!D396+$I$11*Historique!E396+$I$12*Historique!F396+$I$21*Historique!G396)</f>
        <v>-26942616.969225079</v>
      </c>
      <c r="D396" s="13">
        <f>RL_NAV*($J$10*Historique!D396+$J$11*Historique!E396+$J$12*Historique!F396+$J$21*Historique!G396)</f>
        <v>-26433312.262431033</v>
      </c>
      <c r="E396" s="20">
        <f t="shared" si="12"/>
        <v>0</v>
      </c>
      <c r="F396" s="20">
        <f t="shared" si="13"/>
        <v>0</v>
      </c>
    </row>
    <row r="397" spans="2:6" x14ac:dyDescent="0.2">
      <c r="B397" s="19">
        <f>Historique!B397</f>
        <v>44960</v>
      </c>
      <c r="C397" s="13">
        <f>RL_NAV*($I$10*Historique!D397+$I$11*Historique!E397+$I$12*Historique!F397+$I$21*Historique!G397)</f>
        <v>-4728510.6404175814</v>
      </c>
      <c r="D397" s="13">
        <f>RL_NAV*($J$10*Historique!D397+$J$11*Historique!E397+$J$12*Historique!F397+$J$21*Historique!G397)</f>
        <v>-4588175.1289800676</v>
      </c>
      <c r="E397" s="20">
        <f t="shared" si="12"/>
        <v>0</v>
      </c>
      <c r="F397" s="20">
        <f t="shared" si="13"/>
        <v>0</v>
      </c>
    </row>
    <row r="398" spans="2:6" x14ac:dyDescent="0.2">
      <c r="B398" s="19">
        <f>Historique!B398</f>
        <v>44963</v>
      </c>
      <c r="C398" s="13">
        <f>RL_NAV*($I$10*Historique!D398+$I$11*Historique!E398+$I$12*Historique!F398+$I$21*Historique!G398)</f>
        <v>3488401.7835269221</v>
      </c>
      <c r="D398" s="13">
        <f>RL_NAV*($J$10*Historique!D398+$J$11*Historique!E398+$J$12*Historique!F398+$J$21*Historique!G398)</f>
        <v>3514466.8392438274</v>
      </c>
      <c r="E398" s="20">
        <f t="shared" si="12"/>
        <v>0</v>
      </c>
      <c r="F398" s="20">
        <f t="shared" si="13"/>
        <v>0</v>
      </c>
    </row>
    <row r="399" spans="2:6" x14ac:dyDescent="0.2">
      <c r="B399" s="19">
        <f>Historique!B399</f>
        <v>44964</v>
      </c>
      <c r="C399" s="13">
        <f>RL_NAV*($I$10*Historique!D399+$I$11*Historique!E399+$I$12*Historique!F399+$I$21*Historique!G399)</f>
        <v>8709535.4530604053</v>
      </c>
      <c r="D399" s="13">
        <f>RL_NAV*($J$10*Historique!D399+$J$11*Historique!E399+$J$12*Historique!F399+$J$21*Historique!G399)</f>
        <v>8552500.6365495101</v>
      </c>
      <c r="E399" s="20">
        <f t="shared" si="12"/>
        <v>0</v>
      </c>
      <c r="F399" s="20">
        <f t="shared" si="13"/>
        <v>0</v>
      </c>
    </row>
    <row r="400" spans="2:6" x14ac:dyDescent="0.2">
      <c r="B400" s="19">
        <f>Historique!B400</f>
        <v>44965</v>
      </c>
      <c r="C400" s="13">
        <f>RL_NAV*($I$10*Historique!D400+$I$11*Historique!E400+$I$12*Historique!F400+$I$21*Historique!G400)</f>
        <v>2518041.44124531</v>
      </c>
      <c r="D400" s="13">
        <f>RL_NAV*($J$10*Historique!D400+$J$11*Historique!E400+$J$12*Historique!F400+$J$21*Historique!G400)</f>
        <v>2569175.5081906803</v>
      </c>
      <c r="E400" s="20">
        <f t="shared" si="12"/>
        <v>0</v>
      </c>
      <c r="F400" s="20">
        <f t="shared" si="13"/>
        <v>0</v>
      </c>
    </row>
    <row r="401" spans="2:6" x14ac:dyDescent="0.2">
      <c r="B401" s="19">
        <f>Historique!B401</f>
        <v>44966</v>
      </c>
      <c r="C401" s="13">
        <f>RL_NAV*($I$10*Historique!D401+$I$11*Historique!E401+$I$12*Historique!F401+$I$21*Historique!G401)</f>
        <v>-4005257.9940081546</v>
      </c>
      <c r="D401" s="13">
        <f>RL_NAV*($J$10*Historique!D401+$J$11*Historique!E401+$J$12*Historique!F401+$J$21*Historique!G401)</f>
        <v>-3997285.2139406148</v>
      </c>
      <c r="E401" s="20">
        <f t="shared" si="12"/>
        <v>0</v>
      </c>
      <c r="F401" s="20">
        <f t="shared" si="13"/>
        <v>0</v>
      </c>
    </row>
    <row r="402" spans="2:6" x14ac:dyDescent="0.2">
      <c r="B402" s="19">
        <f>Historique!B402</f>
        <v>44967</v>
      </c>
      <c r="C402" s="13">
        <f>RL_NAV*($I$10*Historique!D402+$I$11*Historique!E402+$I$12*Historique!F402+$I$21*Historique!G402)</f>
        <v>7023089.0051686158</v>
      </c>
      <c r="D402" s="13">
        <f>RL_NAV*($J$10*Historique!D402+$J$11*Historique!E402+$J$12*Historique!F402+$J$21*Historique!G402)</f>
        <v>6956846.1631182926</v>
      </c>
      <c r="E402" s="20">
        <f t="shared" si="12"/>
        <v>0</v>
      </c>
      <c r="F402" s="20">
        <f t="shared" si="13"/>
        <v>0</v>
      </c>
    </row>
    <row r="403" spans="2:6" x14ac:dyDescent="0.2">
      <c r="B403" s="19">
        <f>Historique!B403</f>
        <v>44970</v>
      </c>
      <c r="C403" s="13">
        <f>RL_NAV*($I$10*Historique!D403+$I$11*Historique!E403+$I$12*Historique!F403+$I$21*Historique!G403)</f>
        <v>9871370.906668365</v>
      </c>
      <c r="D403" s="13">
        <f>RL_NAV*($J$10*Historique!D403+$J$11*Historique!E403+$J$12*Historique!F403+$J$21*Historique!G403)</f>
        <v>9681879.6852524206</v>
      </c>
      <c r="E403" s="20">
        <f t="shared" si="12"/>
        <v>0</v>
      </c>
      <c r="F403" s="20">
        <f t="shared" si="13"/>
        <v>0</v>
      </c>
    </row>
    <row r="404" spans="2:6" x14ac:dyDescent="0.2">
      <c r="B404" s="19">
        <f>Historique!B404</f>
        <v>44971</v>
      </c>
      <c r="C404" s="13">
        <f>RL_NAV*($I$10*Historique!D404+$I$11*Historique!E404+$I$12*Historique!F404+$I$21*Historique!G404)</f>
        <v>4880246.9894969361</v>
      </c>
      <c r="D404" s="13">
        <f>RL_NAV*($J$10*Historique!D404+$J$11*Historique!E404+$J$12*Historique!F404+$J$21*Historique!G404)</f>
        <v>4876770.3911208995</v>
      </c>
      <c r="E404" s="20">
        <f t="shared" si="12"/>
        <v>0</v>
      </c>
      <c r="F404" s="20">
        <f t="shared" si="13"/>
        <v>0</v>
      </c>
    </row>
    <row r="405" spans="2:6" x14ac:dyDescent="0.2">
      <c r="B405" s="19">
        <f>Historique!B405</f>
        <v>44972</v>
      </c>
      <c r="C405" s="13">
        <f>RL_NAV*($I$10*Historique!D405+$I$11*Historique!E405+$I$12*Historique!F405+$I$21*Historique!G405)</f>
        <v>8187267.0486249002</v>
      </c>
      <c r="D405" s="13">
        <f>RL_NAV*($J$10*Historique!D405+$J$11*Historique!E405+$J$12*Historique!F405+$J$21*Historique!G405)</f>
        <v>8006903.4658024246</v>
      </c>
      <c r="E405" s="20">
        <f t="shared" si="12"/>
        <v>0</v>
      </c>
      <c r="F405" s="20">
        <f t="shared" si="13"/>
        <v>0</v>
      </c>
    </row>
    <row r="406" spans="2:6" x14ac:dyDescent="0.2">
      <c r="B406" s="19">
        <f>Historique!B406</f>
        <v>44973</v>
      </c>
      <c r="C406" s="13">
        <f>RL_NAV*($I$10*Historique!D406+$I$11*Historique!E406+$I$12*Historique!F406+$I$21*Historique!G406)</f>
        <v>1755558.0598006132</v>
      </c>
      <c r="D406" s="13">
        <f>RL_NAV*($J$10*Historique!D406+$J$11*Historique!E406+$J$12*Historique!F406+$J$21*Historique!G406)</f>
        <v>1813023.8212524224</v>
      </c>
      <c r="E406" s="20">
        <f t="shared" si="12"/>
        <v>0</v>
      </c>
      <c r="F406" s="20">
        <f t="shared" si="13"/>
        <v>0</v>
      </c>
    </row>
    <row r="407" spans="2:6" x14ac:dyDescent="0.2">
      <c r="B407" s="19">
        <f>Historique!B407</f>
        <v>44974</v>
      </c>
      <c r="C407" s="13">
        <f>RL_NAV*($I$10*Historique!D407+$I$11*Historique!E407+$I$12*Historique!F407+$I$21*Historique!G407)</f>
        <v>-7179283.4486581823</v>
      </c>
      <c r="D407" s="13">
        <f>RL_NAV*($J$10*Historique!D407+$J$11*Historique!E407+$J$12*Historique!F407+$J$21*Historique!G407)</f>
        <v>-7082961.9036883209</v>
      </c>
      <c r="E407" s="20">
        <f t="shared" si="12"/>
        <v>0</v>
      </c>
      <c r="F407" s="20">
        <f t="shared" si="13"/>
        <v>0</v>
      </c>
    </row>
    <row r="408" spans="2:6" x14ac:dyDescent="0.2">
      <c r="B408" s="19">
        <f>Historique!B408</f>
        <v>44977</v>
      </c>
      <c r="C408" s="13">
        <f>RL_NAV*($I$10*Historique!D408+$I$11*Historique!E408+$I$12*Historique!F408+$I$21*Historique!G408)</f>
        <v>1405856.6644060081</v>
      </c>
      <c r="D408" s="13">
        <f>RL_NAV*($J$10*Historique!D408+$J$11*Historique!E408+$J$12*Historique!F408+$J$21*Historique!G408)</f>
        <v>1353833.8470119389</v>
      </c>
      <c r="E408" s="20">
        <f t="shared" si="12"/>
        <v>0</v>
      </c>
      <c r="F408" s="20">
        <f t="shared" si="13"/>
        <v>0</v>
      </c>
    </row>
    <row r="409" spans="2:6" x14ac:dyDescent="0.2">
      <c r="B409" s="19">
        <f>Historique!B409</f>
        <v>44978</v>
      </c>
      <c r="C409" s="13">
        <f>RL_NAV*($I$10*Historique!D409+$I$11*Historique!E409+$I$12*Historique!F409+$I$21*Historique!G409)</f>
        <v>16240388.297667785</v>
      </c>
      <c r="D409" s="13">
        <f>RL_NAV*($J$10*Historique!D409+$J$11*Historique!E409+$J$12*Historique!F409+$J$21*Historique!G409)</f>
        <v>16033126.12744005</v>
      </c>
      <c r="E409" s="20">
        <f t="shared" si="12"/>
        <v>0</v>
      </c>
      <c r="F409" s="20">
        <f t="shared" si="13"/>
        <v>0</v>
      </c>
    </row>
    <row r="410" spans="2:6" x14ac:dyDescent="0.2">
      <c r="B410" s="19">
        <f>Historique!B410</f>
        <v>44979</v>
      </c>
      <c r="C410" s="13">
        <f>RL_NAV*($I$10*Historique!D410+$I$11*Historique!E410+$I$12*Historique!F410+$I$21*Historique!G410)</f>
        <v>-683683.47412064427</v>
      </c>
      <c r="D410" s="13">
        <f>RL_NAV*($J$10*Historique!D410+$J$11*Historique!E410+$J$12*Historique!F410+$J$21*Historique!G410)</f>
        <v>-734149.93224031315</v>
      </c>
      <c r="E410" s="20">
        <f t="shared" si="12"/>
        <v>0</v>
      </c>
      <c r="F410" s="20">
        <f t="shared" si="13"/>
        <v>0</v>
      </c>
    </row>
    <row r="411" spans="2:6" x14ac:dyDescent="0.2">
      <c r="B411" s="19">
        <f>Historique!B411</f>
        <v>44980</v>
      </c>
      <c r="C411" s="13">
        <f>RL_NAV*($I$10*Historique!D411+$I$11*Historique!E411+$I$12*Historique!F411+$I$21*Historique!G411)</f>
        <v>-1689924.2580091101</v>
      </c>
      <c r="D411" s="13">
        <f>RL_NAV*($J$10*Historique!D411+$J$11*Historique!E411+$J$12*Historique!F411+$J$21*Historique!G411)</f>
        <v>-1688425.4194650669</v>
      </c>
      <c r="E411" s="20">
        <f t="shared" si="12"/>
        <v>0</v>
      </c>
      <c r="F411" s="20">
        <f t="shared" si="13"/>
        <v>0</v>
      </c>
    </row>
    <row r="412" spans="2:6" x14ac:dyDescent="0.2">
      <c r="B412" s="19">
        <f>Historique!B412</f>
        <v>44981</v>
      </c>
      <c r="C412" s="13">
        <f>RL_NAV*($I$10*Historique!D412+$I$11*Historique!E412+$I$12*Historique!F412+$I$21*Historique!G412)</f>
        <v>13741318.40260938</v>
      </c>
      <c r="D412" s="13">
        <f>RL_NAV*($J$10*Historique!D412+$J$11*Historique!E412+$J$12*Historique!F412+$J$21*Historique!G412)</f>
        <v>13573766.548257288</v>
      </c>
      <c r="E412" s="20">
        <f t="shared" si="12"/>
        <v>0</v>
      </c>
      <c r="F412" s="20">
        <f t="shared" si="13"/>
        <v>0</v>
      </c>
    </row>
    <row r="413" spans="2:6" x14ac:dyDescent="0.2">
      <c r="B413" s="19">
        <f>Historique!B413</f>
        <v>44984</v>
      </c>
      <c r="C413" s="13">
        <f>RL_NAV*($I$10*Historique!D413+$I$11*Historique!E413+$I$12*Historique!F413+$I$21*Historique!G413)</f>
        <v>-2515117.7965248302</v>
      </c>
      <c r="D413" s="13">
        <f>RL_NAV*($J$10*Historique!D413+$J$11*Historique!E413+$J$12*Historique!F413+$J$21*Historique!G413)</f>
        <v>-2427959.0839136005</v>
      </c>
      <c r="E413" s="20">
        <f t="shared" si="12"/>
        <v>0</v>
      </c>
      <c r="F413" s="20">
        <f t="shared" si="13"/>
        <v>0</v>
      </c>
    </row>
    <row r="414" spans="2:6" x14ac:dyDescent="0.2">
      <c r="B414" s="19">
        <f>Historique!B414</f>
        <v>44985</v>
      </c>
      <c r="C414" s="13">
        <f>RL_NAV*($I$10*Historique!D414+$I$11*Historique!E414+$I$12*Historique!F414+$I$21*Historique!G414)</f>
        <v>17160214.968704816</v>
      </c>
      <c r="D414" s="13">
        <f>RL_NAV*($J$10*Historique!D414+$J$11*Historique!E414+$J$12*Historique!F414+$J$21*Historique!G414)</f>
        <v>16950394.155274246</v>
      </c>
      <c r="E414" s="20">
        <f t="shared" si="12"/>
        <v>0</v>
      </c>
      <c r="F414" s="20">
        <f t="shared" si="13"/>
        <v>0</v>
      </c>
    </row>
    <row r="415" spans="2:6" x14ac:dyDescent="0.2">
      <c r="B415" s="19">
        <f>Historique!B415</f>
        <v>44986</v>
      </c>
      <c r="C415" s="13">
        <f>RL_NAV*($I$10*Historique!D415+$I$11*Historique!E415+$I$12*Historique!F415+$I$21*Historique!G415)</f>
        <v>-1796226.8446156937</v>
      </c>
      <c r="D415" s="13">
        <f>RL_NAV*($J$10*Historique!D415+$J$11*Historique!E415+$J$12*Historique!F415+$J$21*Historique!G415)</f>
        <v>-1735201.4734099407</v>
      </c>
      <c r="E415" s="20">
        <f t="shared" si="12"/>
        <v>0</v>
      </c>
      <c r="F415" s="20">
        <f t="shared" si="13"/>
        <v>0</v>
      </c>
    </row>
    <row r="416" spans="2:6" x14ac:dyDescent="0.2">
      <c r="B416" s="19">
        <f>Historique!B416</f>
        <v>44987</v>
      </c>
      <c r="C416" s="13">
        <f>RL_NAV*($I$10*Historique!D416+$I$11*Historique!E416+$I$12*Historique!F416+$I$21*Historique!G416)</f>
        <v>5406515.2647063341</v>
      </c>
      <c r="D416" s="13">
        <f>RL_NAV*($J$10*Historique!D416+$J$11*Historique!E416+$J$12*Historique!F416+$J$21*Historique!G416)</f>
        <v>5263811.1125557432</v>
      </c>
      <c r="E416" s="20">
        <f t="shared" si="12"/>
        <v>0</v>
      </c>
      <c r="F416" s="20">
        <f t="shared" si="13"/>
        <v>0</v>
      </c>
    </row>
    <row r="417" spans="2:6" x14ac:dyDescent="0.2">
      <c r="B417" s="19">
        <f>Historique!B417</f>
        <v>44988</v>
      </c>
      <c r="C417" s="13">
        <f>RL_NAV*($I$10*Historique!D417+$I$11*Historique!E417+$I$12*Historique!F417+$I$21*Historique!G417)</f>
        <v>8598427.1364574675</v>
      </c>
      <c r="D417" s="13">
        <f>RL_NAV*($J$10*Historique!D417+$J$11*Historique!E417+$J$12*Historique!F417+$J$21*Historique!G417)</f>
        <v>8381417.0647177584</v>
      </c>
      <c r="E417" s="20">
        <f t="shared" si="12"/>
        <v>0</v>
      </c>
      <c r="F417" s="20">
        <f t="shared" si="13"/>
        <v>0</v>
      </c>
    </row>
    <row r="418" spans="2:6" x14ac:dyDescent="0.2">
      <c r="B418" s="19">
        <f>Historique!B418</f>
        <v>44991</v>
      </c>
      <c r="C418" s="13">
        <f>RL_NAV*($I$10*Historique!D418+$I$11*Historique!E418+$I$12*Historique!F418+$I$21*Historique!G418)</f>
        <v>5392936.1116128378</v>
      </c>
      <c r="D418" s="13">
        <f>RL_NAV*($J$10*Historique!D418+$J$11*Historique!E418+$J$12*Historique!F418+$J$21*Historique!G418)</f>
        <v>5402333.0189435333</v>
      </c>
      <c r="E418" s="20">
        <f t="shared" si="12"/>
        <v>0</v>
      </c>
      <c r="F418" s="20">
        <f t="shared" si="13"/>
        <v>0</v>
      </c>
    </row>
    <row r="419" spans="2:6" x14ac:dyDescent="0.2">
      <c r="B419" s="19">
        <f>Historique!B419</f>
        <v>44992</v>
      </c>
      <c r="C419" s="13">
        <f>RL_NAV*($I$10*Historique!D419+$I$11*Historique!E419+$I$12*Historique!F419+$I$21*Historique!G419)</f>
        <v>-8907727.1988357138</v>
      </c>
      <c r="D419" s="13">
        <f>RL_NAV*($J$10*Historique!D419+$J$11*Historique!E419+$J$12*Historique!F419+$J$21*Historique!G419)</f>
        <v>-8806132.3969271723</v>
      </c>
      <c r="E419" s="20">
        <f t="shared" si="12"/>
        <v>0</v>
      </c>
      <c r="F419" s="20">
        <f t="shared" si="13"/>
        <v>0</v>
      </c>
    </row>
    <row r="420" spans="2:6" x14ac:dyDescent="0.2">
      <c r="B420" s="19">
        <f>Historique!B420</f>
        <v>44993</v>
      </c>
      <c r="C420" s="13">
        <f>RL_NAV*($I$10*Historique!D420+$I$11*Historique!E420+$I$12*Historique!F420+$I$21*Historique!G420)</f>
        <v>-5052704.0336255999</v>
      </c>
      <c r="D420" s="13">
        <f>RL_NAV*($J$10*Historique!D420+$J$11*Historique!E420+$J$12*Historique!F420+$J$21*Historique!G420)</f>
        <v>-4881474.3381852685</v>
      </c>
      <c r="E420" s="20">
        <f t="shared" si="12"/>
        <v>0</v>
      </c>
      <c r="F420" s="20">
        <f t="shared" si="13"/>
        <v>0</v>
      </c>
    </row>
    <row r="421" spans="2:6" x14ac:dyDescent="0.2">
      <c r="B421" s="19">
        <f>Historique!B421</f>
        <v>44994</v>
      </c>
      <c r="C421" s="13">
        <f>RL_NAV*($I$10*Historique!D421+$I$11*Historique!E421+$I$12*Historique!F421+$I$21*Historique!G421)</f>
        <v>-1744480.5793306015</v>
      </c>
      <c r="D421" s="13">
        <f>RL_NAV*($J$10*Historique!D421+$J$11*Historique!E421+$J$12*Historique!F421+$J$21*Historique!G421)</f>
        <v>-1722504.2137454969</v>
      </c>
      <c r="E421" s="20">
        <f t="shared" si="12"/>
        <v>0</v>
      </c>
      <c r="F421" s="20">
        <f t="shared" si="13"/>
        <v>0</v>
      </c>
    </row>
    <row r="422" spans="2:6" x14ac:dyDescent="0.2">
      <c r="B422" s="19">
        <f>Historique!B422</f>
        <v>44995</v>
      </c>
      <c r="C422" s="13">
        <f>RL_NAV*($I$10*Historique!D422+$I$11*Historique!E422+$I$12*Historique!F422+$I$21*Historique!G422)</f>
        <v>-18055696.175592832</v>
      </c>
      <c r="D422" s="13">
        <f>RL_NAV*($J$10*Historique!D422+$J$11*Historique!E422+$J$12*Historique!F422+$J$21*Historique!G422)</f>
        <v>-17967228.999241833</v>
      </c>
      <c r="E422" s="20">
        <f t="shared" si="12"/>
        <v>0</v>
      </c>
      <c r="F422" s="20">
        <f t="shared" si="13"/>
        <v>0</v>
      </c>
    </row>
    <row r="423" spans="2:6" x14ac:dyDescent="0.2">
      <c r="B423" s="19">
        <f>Historique!B423</f>
        <v>44998</v>
      </c>
      <c r="C423" s="13">
        <f>RL_NAV*($I$10*Historique!D423+$I$11*Historique!E423+$I$12*Historique!F423+$I$21*Historique!G423)</f>
        <v>-17955837.990939509</v>
      </c>
      <c r="D423" s="13">
        <f>RL_NAV*($J$10*Historique!D423+$J$11*Historique!E423+$J$12*Historique!F423+$J$21*Historique!G423)</f>
        <v>-18089946.967249911</v>
      </c>
      <c r="E423" s="20">
        <f t="shared" si="12"/>
        <v>0</v>
      </c>
      <c r="F423" s="20">
        <f t="shared" si="13"/>
        <v>0</v>
      </c>
    </row>
    <row r="424" spans="2:6" x14ac:dyDescent="0.2">
      <c r="B424" s="19">
        <f>Historique!B424</f>
        <v>44999</v>
      </c>
      <c r="C424" s="13">
        <f>RL_NAV*($I$10*Historique!D424+$I$11*Historique!E424+$I$12*Historique!F424+$I$21*Historique!G424)</f>
        <v>38034257.695566073</v>
      </c>
      <c r="D424" s="13">
        <f>RL_NAV*($J$10*Historique!D424+$J$11*Historique!E424+$J$12*Historique!F424+$J$21*Historique!G424)</f>
        <v>37486711.775287256</v>
      </c>
      <c r="E424" s="20">
        <f t="shared" si="12"/>
        <v>0.1</v>
      </c>
      <c r="F424" s="20">
        <f t="shared" si="13"/>
        <v>0.1</v>
      </c>
    </row>
    <row r="425" spans="2:6" x14ac:dyDescent="0.2">
      <c r="B425" s="19">
        <f>Historique!B425</f>
        <v>45000</v>
      </c>
      <c r="C425" s="13">
        <f>RL_NAV*($I$10*Historique!D425+$I$11*Historique!E425+$I$12*Historique!F425+$I$21*Historique!G425)</f>
        <v>-30662918.940782022</v>
      </c>
      <c r="D425" s="13">
        <f>RL_NAV*($J$10*Historique!D425+$J$11*Historique!E425+$J$12*Historique!F425+$J$21*Historique!G425)</f>
        <v>-30493545.048516367</v>
      </c>
      <c r="E425" s="20">
        <f t="shared" si="12"/>
        <v>0</v>
      </c>
      <c r="F425" s="20">
        <f t="shared" si="13"/>
        <v>0</v>
      </c>
    </row>
    <row r="426" spans="2:6" x14ac:dyDescent="0.2">
      <c r="B426" s="19">
        <f>Historique!B426</f>
        <v>45001</v>
      </c>
      <c r="C426" s="13">
        <f>RL_NAV*($I$10*Historique!D426+$I$11*Historique!E426+$I$12*Historique!F426+$I$21*Historique!G426)</f>
        <v>5194105.1928074891</v>
      </c>
      <c r="D426" s="13">
        <f>RL_NAV*($J$10*Historique!D426+$J$11*Historique!E426+$J$12*Historique!F426+$J$21*Historique!G426)</f>
        <v>5119401.993809294</v>
      </c>
      <c r="E426" s="20">
        <f t="shared" si="12"/>
        <v>0</v>
      </c>
      <c r="F426" s="20">
        <f t="shared" si="13"/>
        <v>0</v>
      </c>
    </row>
    <row r="427" spans="2:6" x14ac:dyDescent="0.2">
      <c r="B427" s="19">
        <f>Historique!B427</f>
        <v>45002</v>
      </c>
      <c r="C427" s="13">
        <f>RL_NAV*($I$10*Historique!D427+$I$11*Historique!E427+$I$12*Historique!F427+$I$21*Historique!G427)</f>
        <v>-4226893.0674349228</v>
      </c>
      <c r="D427" s="13">
        <f>RL_NAV*($J$10*Historique!D427+$J$11*Historique!E427+$J$12*Historique!F427+$J$21*Historique!G427)</f>
        <v>-4275463.1478809416</v>
      </c>
      <c r="E427" s="20">
        <f t="shared" si="12"/>
        <v>0</v>
      </c>
      <c r="F427" s="20">
        <f t="shared" si="13"/>
        <v>0</v>
      </c>
    </row>
    <row r="428" spans="2:6" x14ac:dyDescent="0.2">
      <c r="B428" s="19">
        <f>Historique!B428</f>
        <v>45005</v>
      </c>
      <c r="C428" s="13">
        <f>RL_NAV*($I$10*Historique!D428+$I$11*Historique!E428+$I$12*Historique!F428+$I$21*Historique!G428)</f>
        <v>15098137.553217486</v>
      </c>
      <c r="D428" s="13">
        <f>RL_NAV*($J$10*Historique!D428+$J$11*Historique!E428+$J$12*Historique!F428+$J$21*Historique!G428)</f>
        <v>14555909.382950379</v>
      </c>
      <c r="E428" s="20">
        <f t="shared" si="12"/>
        <v>0</v>
      </c>
      <c r="F428" s="20">
        <f t="shared" si="13"/>
        <v>0</v>
      </c>
    </row>
    <row r="429" spans="2:6" x14ac:dyDescent="0.2">
      <c r="B429" s="19">
        <f>Historique!B429</f>
        <v>45006</v>
      </c>
      <c r="C429" s="13">
        <f>RL_NAV*($I$10*Historique!D429+$I$11*Historique!E429+$I$12*Historique!F429+$I$21*Historique!G429)</f>
        <v>3549644.256190211</v>
      </c>
      <c r="D429" s="13">
        <f>RL_NAV*($J$10*Historique!D429+$J$11*Historique!E429+$J$12*Historique!F429+$J$21*Historique!G429)</f>
        <v>3766292.7340895282</v>
      </c>
      <c r="E429" s="20">
        <f t="shared" si="12"/>
        <v>0</v>
      </c>
      <c r="F429" s="20">
        <f t="shared" si="13"/>
        <v>0</v>
      </c>
    </row>
    <row r="430" spans="2:6" x14ac:dyDescent="0.2">
      <c r="B430" s="19">
        <f>Historique!B430</f>
        <v>45007</v>
      </c>
      <c r="C430" s="13">
        <f>RL_NAV*($I$10*Historique!D430+$I$11*Historique!E430+$I$12*Historique!F430+$I$21*Historique!G430)</f>
        <v>9015707.6267062519</v>
      </c>
      <c r="D430" s="13">
        <f>RL_NAV*($J$10*Historique!D430+$J$11*Historique!E430+$J$12*Historique!F430+$J$21*Historique!G430)</f>
        <v>9055282.9137906376</v>
      </c>
      <c r="E430" s="20">
        <f t="shared" si="12"/>
        <v>0</v>
      </c>
      <c r="F430" s="20">
        <f t="shared" si="13"/>
        <v>0</v>
      </c>
    </row>
    <row r="431" spans="2:6" x14ac:dyDescent="0.2">
      <c r="B431" s="19">
        <f>Historique!B431</f>
        <v>45008</v>
      </c>
      <c r="C431" s="13">
        <f>RL_NAV*($I$10*Historique!D431+$I$11*Historique!E431+$I$12*Historique!F431+$I$21*Historique!G431)</f>
        <v>-24393729.369342756</v>
      </c>
      <c r="D431" s="13">
        <f>RL_NAV*($J$10*Historique!D431+$J$11*Historique!E431+$J$12*Historique!F431+$J$21*Historique!G431)</f>
        <v>-24038960.183984868</v>
      </c>
      <c r="E431" s="20">
        <f t="shared" si="12"/>
        <v>0</v>
      </c>
      <c r="F431" s="20">
        <f t="shared" si="13"/>
        <v>0</v>
      </c>
    </row>
    <row r="432" spans="2:6" x14ac:dyDescent="0.2">
      <c r="B432" s="19">
        <f>Historique!B432</f>
        <v>45009</v>
      </c>
      <c r="C432" s="13">
        <f>RL_NAV*($I$10*Historique!D432+$I$11*Historique!E432+$I$12*Historique!F432+$I$21*Historique!G432)</f>
        <v>3964494.1989768636</v>
      </c>
      <c r="D432" s="13">
        <f>RL_NAV*($J$10*Historique!D432+$J$11*Historique!E432+$J$12*Historique!F432+$J$21*Historique!G432)</f>
        <v>3564368.2140883375</v>
      </c>
      <c r="E432" s="20">
        <f t="shared" si="12"/>
        <v>0</v>
      </c>
      <c r="F432" s="20">
        <f t="shared" si="13"/>
        <v>0</v>
      </c>
    </row>
    <row r="433" spans="2:6" x14ac:dyDescent="0.2">
      <c r="B433" s="19">
        <f>Historique!B433</f>
        <v>45012</v>
      </c>
      <c r="C433" s="13">
        <f>RL_NAV*($I$10*Historique!D433+$I$11*Historique!E433+$I$12*Historique!F433+$I$21*Historique!G433)</f>
        <v>5599200.6615454117</v>
      </c>
      <c r="D433" s="13">
        <f>RL_NAV*($J$10*Historique!D433+$J$11*Historique!E433+$J$12*Historique!F433+$J$21*Historique!G433)</f>
        <v>5751377.6564761093</v>
      </c>
      <c r="E433" s="20">
        <f t="shared" si="12"/>
        <v>0</v>
      </c>
      <c r="F433" s="20">
        <f t="shared" si="13"/>
        <v>0</v>
      </c>
    </row>
    <row r="434" spans="2:6" x14ac:dyDescent="0.2">
      <c r="B434" s="19">
        <f>Historique!B434</f>
        <v>45013</v>
      </c>
      <c r="C434" s="13">
        <f>RL_NAV*($I$10*Historique!D434+$I$11*Historique!E434+$I$12*Historique!F434+$I$21*Historique!G434)</f>
        <v>-11836977.091866542</v>
      </c>
      <c r="D434" s="13">
        <f>RL_NAV*($J$10*Historique!D434+$J$11*Historique!E434+$J$12*Historique!F434+$J$21*Historique!G434)</f>
        <v>-11507214.715245731</v>
      </c>
      <c r="E434" s="20">
        <f t="shared" si="12"/>
        <v>0</v>
      </c>
      <c r="F434" s="20">
        <f t="shared" si="13"/>
        <v>0</v>
      </c>
    </row>
    <row r="435" spans="2:6" x14ac:dyDescent="0.2">
      <c r="B435" s="19">
        <f>Historique!B435</f>
        <v>45014</v>
      </c>
      <c r="C435" s="13">
        <f>RL_NAV*($I$10*Historique!D435+$I$11*Historique!E435+$I$12*Historique!F435+$I$21*Historique!G435)</f>
        <v>9545994.0755313858</v>
      </c>
      <c r="D435" s="13">
        <f>RL_NAV*($J$10*Historique!D435+$J$11*Historique!E435+$J$12*Historique!F435+$J$21*Historique!G435)</f>
        <v>9392936.7387300227</v>
      </c>
      <c r="E435" s="20">
        <f t="shared" si="12"/>
        <v>0</v>
      </c>
      <c r="F435" s="20">
        <f t="shared" si="13"/>
        <v>0</v>
      </c>
    </row>
    <row r="436" spans="2:6" x14ac:dyDescent="0.2">
      <c r="B436" s="19">
        <f>Historique!B436</f>
        <v>45015</v>
      </c>
      <c r="C436" s="13">
        <f>RL_NAV*($I$10*Historique!D436+$I$11*Historique!E436+$I$12*Historique!F436+$I$21*Historique!G436)</f>
        <v>433405.44440609816</v>
      </c>
      <c r="D436" s="13">
        <f>RL_NAV*($J$10*Historique!D436+$J$11*Historique!E436+$J$12*Historique!F436+$J$21*Historique!G436)</f>
        <v>594292.27894729981</v>
      </c>
      <c r="E436" s="20">
        <f t="shared" si="12"/>
        <v>0</v>
      </c>
      <c r="F436" s="20">
        <f t="shared" si="13"/>
        <v>0</v>
      </c>
    </row>
    <row r="437" spans="2:6" x14ac:dyDescent="0.2">
      <c r="B437" s="19">
        <f>Historique!B437</f>
        <v>45016</v>
      </c>
      <c r="C437" s="13">
        <f>RL_NAV*($I$10*Historique!D437+$I$11*Historique!E437+$I$12*Historique!F437+$I$21*Historique!G437)</f>
        <v>-3895348.2688225699</v>
      </c>
      <c r="D437" s="13">
        <f>RL_NAV*($J$10*Historique!D437+$J$11*Historique!E437+$J$12*Historique!F437+$J$21*Historique!G437)</f>
        <v>-3870984.9933916344</v>
      </c>
      <c r="E437" s="20">
        <f t="shared" si="12"/>
        <v>0</v>
      </c>
      <c r="F437" s="20">
        <f t="shared" si="13"/>
        <v>0</v>
      </c>
    </row>
    <row r="438" spans="2:6" x14ac:dyDescent="0.2">
      <c r="B438" s="19">
        <f>Historique!B438</f>
        <v>45019</v>
      </c>
      <c r="C438" s="13">
        <f>RL_NAV*($I$10*Historique!D438+$I$11*Historique!E438+$I$12*Historique!F438+$I$21*Historique!G438)</f>
        <v>-10902369.103356909</v>
      </c>
      <c r="D438" s="13">
        <f>RL_NAV*($J$10*Historique!D438+$J$11*Historique!E438+$J$12*Historique!F438+$J$21*Historique!G438)</f>
        <v>-10626191.472560318</v>
      </c>
      <c r="E438" s="20">
        <f t="shared" si="12"/>
        <v>0</v>
      </c>
      <c r="F438" s="20">
        <f t="shared" si="13"/>
        <v>0</v>
      </c>
    </row>
    <row r="439" spans="2:6" x14ac:dyDescent="0.2">
      <c r="B439" s="19">
        <f>Historique!B439</f>
        <v>45020</v>
      </c>
      <c r="C439" s="13">
        <f>RL_NAV*($I$10*Historique!D439+$I$11*Historique!E439+$I$12*Historique!F439+$I$21*Historique!G439)</f>
        <v>2523160.6546700764</v>
      </c>
      <c r="D439" s="13">
        <f>RL_NAV*($J$10*Historique!D439+$J$11*Historique!E439+$J$12*Historique!F439+$J$21*Historique!G439)</f>
        <v>2483240.0033975299</v>
      </c>
      <c r="E439" s="20">
        <f t="shared" si="12"/>
        <v>0</v>
      </c>
      <c r="F439" s="20">
        <f t="shared" si="13"/>
        <v>0</v>
      </c>
    </row>
    <row r="440" spans="2:6" x14ac:dyDescent="0.2">
      <c r="B440" s="19">
        <f>Historique!B440</f>
        <v>45021</v>
      </c>
      <c r="C440" s="13">
        <f>RL_NAV*($I$10*Historique!D440+$I$11*Historique!E440+$I$12*Historique!F440+$I$21*Historique!G440)</f>
        <v>-20008899.075289443</v>
      </c>
      <c r="D440" s="13">
        <f>RL_NAV*($J$10*Historique!D440+$J$11*Historique!E440+$J$12*Historique!F440+$J$21*Historique!G440)</f>
        <v>-19710266.361511838</v>
      </c>
      <c r="E440" s="20">
        <f t="shared" si="12"/>
        <v>0</v>
      </c>
      <c r="F440" s="20">
        <f t="shared" si="13"/>
        <v>0</v>
      </c>
    </row>
    <row r="441" spans="2:6" x14ac:dyDescent="0.2">
      <c r="B441" s="19">
        <f>Historique!B441</f>
        <v>45022</v>
      </c>
      <c r="C441" s="13">
        <f>RL_NAV*($I$10*Historique!D441+$I$11*Historique!E441+$I$12*Historique!F441+$I$21*Historique!G441)</f>
        <v>-1172271.8077203373</v>
      </c>
      <c r="D441" s="13">
        <f>RL_NAV*($J$10*Historique!D441+$J$11*Historique!E441+$J$12*Historique!F441+$J$21*Historique!G441)</f>
        <v>-1220146.2515232521</v>
      </c>
      <c r="E441" s="20">
        <f t="shared" si="12"/>
        <v>0</v>
      </c>
      <c r="F441" s="20">
        <f t="shared" si="13"/>
        <v>0</v>
      </c>
    </row>
    <row r="442" spans="2:6" x14ac:dyDescent="0.2">
      <c r="B442" s="19">
        <f>Historique!B442</f>
        <v>45027</v>
      </c>
      <c r="C442" s="13">
        <f>RL_NAV*($I$10*Historique!D442+$I$11*Historique!E442+$I$12*Historique!F442+$I$21*Historique!G442)</f>
        <v>11783478.632536609</v>
      </c>
      <c r="D442" s="13">
        <f>RL_NAV*($J$10*Historique!D442+$J$11*Historique!E442+$J$12*Historique!F442+$J$21*Historique!G442)</f>
        <v>11744289.879399197</v>
      </c>
      <c r="E442" s="20">
        <f t="shared" si="12"/>
        <v>0</v>
      </c>
      <c r="F442" s="20">
        <f t="shared" si="13"/>
        <v>0</v>
      </c>
    </row>
    <row r="443" spans="2:6" x14ac:dyDescent="0.2">
      <c r="B443" s="19">
        <f>Historique!B443</f>
        <v>45028</v>
      </c>
      <c r="C443" s="13">
        <f>RL_NAV*($I$10*Historique!D443+$I$11*Historique!E443+$I$12*Historique!F443+$I$21*Historique!G443)</f>
        <v>853298.69967218826</v>
      </c>
      <c r="D443" s="13">
        <f>RL_NAV*($J$10*Historique!D443+$J$11*Historique!E443+$J$12*Historique!F443+$J$21*Historique!G443)</f>
        <v>940478.7138711689</v>
      </c>
      <c r="E443" s="20">
        <f t="shared" si="12"/>
        <v>0</v>
      </c>
      <c r="F443" s="20">
        <f t="shared" si="13"/>
        <v>0</v>
      </c>
    </row>
    <row r="444" spans="2:6" x14ac:dyDescent="0.2">
      <c r="B444" s="19">
        <f>Historique!B444</f>
        <v>45029</v>
      </c>
      <c r="C444" s="13">
        <f>RL_NAV*($I$10*Historique!D444+$I$11*Historique!E444+$I$12*Historique!F444+$I$21*Historique!G444)</f>
        <v>-11056372.852553302</v>
      </c>
      <c r="D444" s="13">
        <f>RL_NAV*($J$10*Historique!D444+$J$11*Historique!E444+$J$12*Historique!F444+$J$21*Historique!G444)</f>
        <v>-10772881.941127311</v>
      </c>
      <c r="E444" s="20">
        <f t="shared" si="12"/>
        <v>0</v>
      </c>
      <c r="F444" s="20">
        <f t="shared" si="13"/>
        <v>0</v>
      </c>
    </row>
    <row r="445" spans="2:6" x14ac:dyDescent="0.2">
      <c r="B445" s="19">
        <f>Historique!B445</f>
        <v>45030</v>
      </c>
      <c r="C445" s="13">
        <f>RL_NAV*($I$10*Historique!D445+$I$11*Historique!E445+$I$12*Historique!F445+$I$21*Historique!G445)</f>
        <v>3462346.7037651609</v>
      </c>
      <c r="D445" s="13">
        <f>RL_NAV*($J$10*Historique!D445+$J$11*Historique!E445+$J$12*Historique!F445+$J$21*Historique!G445)</f>
        <v>3494698.2340232045</v>
      </c>
      <c r="E445" s="20">
        <f t="shared" si="12"/>
        <v>0</v>
      </c>
      <c r="F445" s="20">
        <f t="shared" si="13"/>
        <v>0</v>
      </c>
    </row>
    <row r="446" spans="2:6" x14ac:dyDescent="0.2">
      <c r="B446" s="19">
        <f>Historique!B446</f>
        <v>45033</v>
      </c>
      <c r="C446" s="13">
        <f>RL_NAV*($I$10*Historique!D446+$I$11*Historique!E446+$I$12*Historique!F446+$I$21*Historique!G446)</f>
        <v>6244040.1450803578</v>
      </c>
      <c r="D446" s="13">
        <f>RL_NAV*($J$10*Historique!D446+$J$11*Historique!E446+$J$12*Historique!F446+$J$21*Historique!G446)</f>
        <v>6137945.0254172608</v>
      </c>
      <c r="E446" s="20">
        <f t="shared" si="12"/>
        <v>0</v>
      </c>
      <c r="F446" s="20">
        <f t="shared" si="13"/>
        <v>0</v>
      </c>
    </row>
    <row r="447" spans="2:6" x14ac:dyDescent="0.2">
      <c r="B447" s="19">
        <f>Historique!B447</f>
        <v>45034</v>
      </c>
      <c r="C447" s="13">
        <f>RL_NAV*($I$10*Historique!D447+$I$11*Historique!E447+$I$12*Historique!F447+$I$21*Historique!G447)</f>
        <v>-7841842.7765959548</v>
      </c>
      <c r="D447" s="13">
        <f>RL_NAV*($J$10*Historique!D447+$J$11*Historique!E447+$J$12*Historique!F447+$J$21*Historique!G447)</f>
        <v>-7637077.480336884</v>
      </c>
      <c r="E447" s="20">
        <f t="shared" si="12"/>
        <v>0</v>
      </c>
      <c r="F447" s="20">
        <f t="shared" si="13"/>
        <v>0</v>
      </c>
    </row>
    <row r="448" spans="2:6" x14ac:dyDescent="0.2">
      <c r="B448" s="19">
        <f>Historique!B448</f>
        <v>45035</v>
      </c>
      <c r="C448" s="13">
        <f>RL_NAV*($I$10*Historique!D448+$I$11*Historique!E448+$I$12*Historique!F448+$I$21*Historique!G448)</f>
        <v>3794695.0960804685</v>
      </c>
      <c r="D448" s="13">
        <f>RL_NAV*($J$10*Historique!D448+$J$11*Historique!E448+$J$12*Historique!F448+$J$21*Historique!G448)</f>
        <v>3812947.0843260312</v>
      </c>
      <c r="E448" s="20">
        <f t="shared" si="12"/>
        <v>0</v>
      </c>
      <c r="F448" s="20">
        <f t="shared" si="13"/>
        <v>0</v>
      </c>
    </row>
    <row r="449" spans="2:6" x14ac:dyDescent="0.2">
      <c r="B449" s="19">
        <f>Historique!B449</f>
        <v>45036</v>
      </c>
      <c r="C449" s="13">
        <f>RL_NAV*($I$10*Historique!D449+$I$11*Historique!E449+$I$12*Historique!F449+$I$21*Historique!G449)</f>
        <v>-2143153.1636694977</v>
      </c>
      <c r="D449" s="13">
        <f>RL_NAV*($J$10*Historique!D449+$J$11*Historique!E449+$J$12*Historique!F449+$J$21*Historique!G449)</f>
        <v>-2154544.4500447451</v>
      </c>
      <c r="E449" s="20">
        <f t="shared" si="12"/>
        <v>0</v>
      </c>
      <c r="F449" s="20">
        <f t="shared" si="13"/>
        <v>0</v>
      </c>
    </row>
    <row r="450" spans="2:6" x14ac:dyDescent="0.2">
      <c r="B450" s="19">
        <f>Historique!B450</f>
        <v>45037</v>
      </c>
      <c r="C450" s="13">
        <f>RL_NAV*($I$10*Historique!D450+$I$11*Historique!E450+$I$12*Historique!F450+$I$21*Historique!G450)</f>
        <v>4310679.2147511085</v>
      </c>
      <c r="D450" s="13">
        <f>RL_NAV*($J$10*Historique!D450+$J$11*Historique!E450+$J$12*Historique!F450+$J$21*Historique!G450)</f>
        <v>4211315.1677425746</v>
      </c>
      <c r="E450" s="20">
        <f t="shared" si="12"/>
        <v>0</v>
      </c>
      <c r="F450" s="20">
        <f t="shared" si="13"/>
        <v>0</v>
      </c>
    </row>
    <row r="451" spans="2:6" x14ac:dyDescent="0.2">
      <c r="B451" s="19">
        <f>Historique!B451</f>
        <v>45040</v>
      </c>
      <c r="C451" s="13">
        <f>RL_NAV*($I$10*Historique!D451+$I$11*Historique!E451+$I$12*Historique!F451+$I$21*Historique!G451)</f>
        <v>1490074.2088055324</v>
      </c>
      <c r="D451" s="13">
        <f>RL_NAV*($J$10*Historique!D451+$J$11*Historique!E451+$J$12*Historique!F451+$J$21*Historique!G451)</f>
        <v>1482679.10468544</v>
      </c>
      <c r="E451" s="20">
        <f t="shared" si="12"/>
        <v>0</v>
      </c>
      <c r="F451" s="20">
        <f t="shared" si="13"/>
        <v>0</v>
      </c>
    </row>
    <row r="452" spans="2:6" x14ac:dyDescent="0.2">
      <c r="B452" s="19">
        <f>Historique!B452</f>
        <v>45041</v>
      </c>
      <c r="C452" s="13">
        <f>RL_NAV*($I$10*Historique!D452+$I$11*Historique!E452+$I$12*Historique!F452+$I$21*Historique!G452)</f>
        <v>-11293029.174317483</v>
      </c>
      <c r="D452" s="13">
        <f>RL_NAV*($J$10*Historique!D452+$J$11*Historique!E452+$J$12*Historique!F452+$J$21*Historique!G452)</f>
        <v>-11166238.384294463</v>
      </c>
      <c r="E452" s="20">
        <f t="shared" si="12"/>
        <v>0</v>
      </c>
      <c r="F452" s="20">
        <f t="shared" si="13"/>
        <v>0</v>
      </c>
    </row>
    <row r="453" spans="2:6" x14ac:dyDescent="0.2">
      <c r="B453" s="19">
        <f>Historique!B453</f>
        <v>45042</v>
      </c>
      <c r="C453" s="13">
        <f>RL_NAV*($I$10*Historique!D453+$I$11*Historique!E453+$I$12*Historique!F453+$I$21*Historique!G453)</f>
        <v>5203754.4448848404</v>
      </c>
      <c r="D453" s="13">
        <f>RL_NAV*($J$10*Historique!D453+$J$11*Historique!E453+$J$12*Historique!F453+$J$21*Historique!G453)</f>
        <v>4938053.8820400219</v>
      </c>
      <c r="E453" s="20">
        <f t="shared" si="12"/>
        <v>0</v>
      </c>
      <c r="F453" s="20">
        <f t="shared" si="13"/>
        <v>0</v>
      </c>
    </row>
    <row r="454" spans="2:6" x14ac:dyDescent="0.2">
      <c r="B454" s="19">
        <f>Historique!B454</f>
        <v>45043</v>
      </c>
      <c r="C454" s="13">
        <f>RL_NAV*($I$10*Historique!D454+$I$11*Historique!E454+$I$12*Historique!F454+$I$21*Historique!G454)</f>
        <v>-869001.93537691701</v>
      </c>
      <c r="D454" s="13">
        <f>RL_NAV*($J$10*Historique!D454+$J$11*Historique!E454+$J$12*Historique!F454+$J$21*Historique!G454)</f>
        <v>-715317.99323190982</v>
      </c>
      <c r="E454" s="20">
        <f t="shared" si="12"/>
        <v>0</v>
      </c>
      <c r="F454" s="20">
        <f t="shared" si="13"/>
        <v>0</v>
      </c>
    </row>
    <row r="455" spans="2:6" x14ac:dyDescent="0.2">
      <c r="B455" s="19">
        <f>Historique!B455</f>
        <v>45044</v>
      </c>
      <c r="C455" s="13">
        <f>RL_NAV*($I$10*Historique!D455+$I$11*Historique!E455+$I$12*Historique!F455+$I$21*Historique!G455)</f>
        <v>-108375.40877424333</v>
      </c>
      <c r="D455" s="13">
        <f>RL_NAV*($J$10*Historique!D455+$J$11*Historique!E455+$J$12*Historique!F455+$J$21*Historique!G455)</f>
        <v>-236457.67651718369</v>
      </c>
      <c r="E455" s="20">
        <f t="shared" ref="E455:E518" si="14">IF(C455&gt;$I$9,1,IF(C455=$I$9,($I$8-$I$18)/$I$19,0))/$I$8</f>
        <v>0</v>
      </c>
      <c r="F455" s="20">
        <f t="shared" ref="F455:F518" si="15">IF(D455&gt;$J$9,1,IF(D455=$J$9,($J$8-$J$18)/$J$19,0))/$J$8</f>
        <v>0</v>
      </c>
    </row>
    <row r="456" spans="2:6" x14ac:dyDescent="0.2">
      <c r="B456" s="19">
        <f>Historique!B456</f>
        <v>45048</v>
      </c>
      <c r="C456" s="13">
        <f>RL_NAV*($I$10*Historique!D456+$I$11*Historique!E456+$I$12*Historique!F456+$I$21*Historique!G456)</f>
        <v>-6077079.3537322441</v>
      </c>
      <c r="D456" s="13">
        <f>RL_NAV*($J$10*Historique!D456+$J$11*Historique!E456+$J$12*Historique!F456+$J$21*Historique!G456)</f>
        <v>-5914935.968176512</v>
      </c>
      <c r="E456" s="20">
        <f t="shared" si="14"/>
        <v>0</v>
      </c>
      <c r="F456" s="20">
        <f t="shared" si="15"/>
        <v>0</v>
      </c>
    </row>
    <row r="457" spans="2:6" x14ac:dyDescent="0.2">
      <c r="B457" s="19">
        <f>Historique!B457</f>
        <v>45049</v>
      </c>
      <c r="C457" s="13">
        <f>RL_NAV*($I$10*Historique!D457+$I$11*Historique!E457+$I$12*Historique!F457+$I$21*Historique!G457)</f>
        <v>-11576674.44119917</v>
      </c>
      <c r="D457" s="13">
        <f>RL_NAV*($J$10*Historique!D457+$J$11*Historique!E457+$J$12*Historique!F457+$J$21*Historique!G457)</f>
        <v>-11499089.323523127</v>
      </c>
      <c r="E457" s="20">
        <f t="shared" si="14"/>
        <v>0</v>
      </c>
      <c r="F457" s="20">
        <f t="shared" si="15"/>
        <v>0</v>
      </c>
    </row>
    <row r="458" spans="2:6" x14ac:dyDescent="0.2">
      <c r="B458" s="19">
        <f>Historique!B458</f>
        <v>45050</v>
      </c>
      <c r="C458" s="13">
        <f>RL_NAV*($I$10*Historique!D458+$I$11*Historique!E458+$I$12*Historique!F458+$I$21*Historique!G458)</f>
        <v>-644141.53082500014</v>
      </c>
      <c r="D458" s="13">
        <f>RL_NAV*($J$10*Historique!D458+$J$11*Historique!E458+$J$12*Historique!F458+$J$21*Historique!G458)</f>
        <v>-620947.17691380333</v>
      </c>
      <c r="E458" s="20">
        <f t="shared" si="14"/>
        <v>0</v>
      </c>
      <c r="F458" s="20">
        <f t="shared" si="15"/>
        <v>0</v>
      </c>
    </row>
    <row r="459" spans="2:6" x14ac:dyDescent="0.2">
      <c r="B459" s="19">
        <f>Historique!B459</f>
        <v>45051</v>
      </c>
      <c r="C459" s="13">
        <f>RL_NAV*($I$10*Historique!D459+$I$11*Historique!E459+$I$12*Historique!F459+$I$21*Historique!G459)</f>
        <v>-2168660.1022650106</v>
      </c>
      <c r="D459" s="13">
        <f>RL_NAV*($J$10*Historique!D459+$J$11*Historique!E459+$J$12*Historique!F459+$J$21*Historique!G459)</f>
        <v>-2156136.2230403526</v>
      </c>
      <c r="E459" s="20">
        <f t="shared" si="14"/>
        <v>0</v>
      </c>
      <c r="F459" s="20">
        <f t="shared" si="15"/>
        <v>0</v>
      </c>
    </row>
    <row r="460" spans="2:6" x14ac:dyDescent="0.2">
      <c r="B460" s="19">
        <f>Historique!B460</f>
        <v>45054</v>
      </c>
      <c r="C460" s="13">
        <f>RL_NAV*($I$10*Historique!D460+$I$11*Historique!E460+$I$12*Historique!F460+$I$21*Historique!G460)</f>
        <v>4329220.9922512332</v>
      </c>
      <c r="D460" s="13">
        <f>RL_NAV*($J$10*Historique!D460+$J$11*Historique!E460+$J$12*Historique!F460+$J$21*Historique!G460)</f>
        <v>4308837.7898912523</v>
      </c>
      <c r="E460" s="20">
        <f t="shared" si="14"/>
        <v>0</v>
      </c>
      <c r="F460" s="20">
        <f t="shared" si="15"/>
        <v>0</v>
      </c>
    </row>
    <row r="461" spans="2:6" x14ac:dyDescent="0.2">
      <c r="B461" s="19">
        <f>Historique!B461</f>
        <v>45055</v>
      </c>
      <c r="C461" s="13">
        <f>RL_NAV*($I$10*Historique!D461+$I$11*Historique!E461+$I$12*Historique!F461+$I$21*Historique!G461)</f>
        <v>-1462289.8575586923</v>
      </c>
      <c r="D461" s="13">
        <f>RL_NAV*($J$10*Historique!D461+$J$11*Historique!E461+$J$12*Historique!F461+$J$21*Historique!G461)</f>
        <v>-1421545.5381344242</v>
      </c>
      <c r="E461" s="20">
        <f t="shared" si="14"/>
        <v>0</v>
      </c>
      <c r="F461" s="20">
        <f t="shared" si="15"/>
        <v>0</v>
      </c>
    </row>
    <row r="462" spans="2:6" x14ac:dyDescent="0.2">
      <c r="B462" s="19">
        <f>Historique!B462</f>
        <v>45056</v>
      </c>
      <c r="C462" s="13">
        <f>RL_NAV*($I$10*Historique!D462+$I$11*Historique!E462+$I$12*Historique!F462+$I$21*Historique!G462)</f>
        <v>-1395601.4230549752</v>
      </c>
      <c r="D462" s="13">
        <f>RL_NAV*($J$10*Historique!D462+$J$11*Historique!E462+$J$12*Historique!F462+$J$21*Historique!G462)</f>
        <v>-1455901.7718972745</v>
      </c>
      <c r="E462" s="20">
        <f t="shared" si="14"/>
        <v>0</v>
      </c>
      <c r="F462" s="20">
        <f t="shared" si="15"/>
        <v>0</v>
      </c>
    </row>
    <row r="463" spans="2:6" x14ac:dyDescent="0.2">
      <c r="B463" s="19">
        <f>Historique!B463</f>
        <v>45057</v>
      </c>
      <c r="C463" s="13">
        <f>RL_NAV*($I$10*Historique!D463+$I$11*Historique!E463+$I$12*Historique!F463+$I$21*Historique!G463)</f>
        <v>-16518535.546697102</v>
      </c>
      <c r="D463" s="13">
        <f>RL_NAV*($J$10*Historique!D463+$J$11*Historique!E463+$J$12*Historique!F463+$J$21*Historique!G463)</f>
        <v>-16194565.444463028</v>
      </c>
      <c r="E463" s="20">
        <f t="shared" si="14"/>
        <v>0</v>
      </c>
      <c r="F463" s="20">
        <f t="shared" si="15"/>
        <v>0</v>
      </c>
    </row>
    <row r="464" spans="2:6" x14ac:dyDescent="0.2">
      <c r="B464" s="19">
        <f>Historique!B464</f>
        <v>45058</v>
      </c>
      <c r="C464" s="13">
        <f>RL_NAV*($I$10*Historique!D464+$I$11*Historique!E464+$I$12*Historique!F464+$I$21*Historique!G464)</f>
        <v>16219243.276334479</v>
      </c>
      <c r="D464" s="13">
        <f>RL_NAV*($J$10*Historique!D464+$J$11*Historique!E464+$J$12*Historique!F464+$J$21*Historique!G464)</f>
        <v>15867497.577334076</v>
      </c>
      <c r="E464" s="20">
        <f t="shared" si="14"/>
        <v>0</v>
      </c>
      <c r="F464" s="20">
        <f t="shared" si="15"/>
        <v>0</v>
      </c>
    </row>
    <row r="465" spans="2:6" x14ac:dyDescent="0.2">
      <c r="B465" s="19">
        <f>Historique!B465</f>
        <v>45061</v>
      </c>
      <c r="C465" s="13">
        <f>RL_NAV*($I$10*Historique!D465+$I$11*Historique!E465+$I$12*Historique!F465+$I$21*Historique!G465)</f>
        <v>5976514.7840403989</v>
      </c>
      <c r="D465" s="13">
        <f>RL_NAV*($J$10*Historique!D465+$J$11*Historique!E465+$J$12*Historique!F465+$J$21*Historique!G465)</f>
        <v>5889235.9289735202</v>
      </c>
      <c r="E465" s="20">
        <f t="shared" si="14"/>
        <v>0</v>
      </c>
      <c r="F465" s="20">
        <f t="shared" si="15"/>
        <v>0</v>
      </c>
    </row>
    <row r="466" spans="2:6" x14ac:dyDescent="0.2">
      <c r="B466" s="19">
        <f>Historique!B466</f>
        <v>45062</v>
      </c>
      <c r="C466" s="13">
        <f>RL_NAV*($I$10*Historique!D466+$I$11*Historique!E466+$I$12*Historique!F466+$I$21*Historique!G466)</f>
        <v>5159613.1759050628</v>
      </c>
      <c r="D466" s="13">
        <f>RL_NAV*($J$10*Historique!D466+$J$11*Historique!E466+$J$12*Historique!F466+$J$21*Historique!G466)</f>
        <v>5050597.1805321788</v>
      </c>
      <c r="E466" s="20">
        <f t="shared" si="14"/>
        <v>0</v>
      </c>
      <c r="F466" s="20">
        <f t="shared" si="15"/>
        <v>0</v>
      </c>
    </row>
    <row r="467" spans="2:6" x14ac:dyDescent="0.2">
      <c r="B467" s="19">
        <f>Historique!B467</f>
        <v>45063</v>
      </c>
      <c r="C467" s="13">
        <f>RL_NAV*($I$10*Historique!D467+$I$11*Historique!E467+$I$12*Historique!F467+$I$21*Historique!G467)</f>
        <v>7362900.6679660743</v>
      </c>
      <c r="D467" s="13">
        <f>RL_NAV*($J$10*Historique!D467+$J$11*Historique!E467+$J$12*Historique!F467+$J$21*Historique!G467)</f>
        <v>7222500.1173824519</v>
      </c>
      <c r="E467" s="20">
        <f t="shared" si="14"/>
        <v>0</v>
      </c>
      <c r="F467" s="20">
        <f t="shared" si="15"/>
        <v>0</v>
      </c>
    </row>
    <row r="468" spans="2:6" x14ac:dyDescent="0.2">
      <c r="B468" s="19">
        <f>Historique!B468</f>
        <v>45064</v>
      </c>
      <c r="C468" s="13">
        <f>RL_NAV*($I$10*Historique!D468+$I$11*Historique!E468+$I$12*Historique!F468+$I$21*Historique!G468)</f>
        <v>11665168.294241112</v>
      </c>
      <c r="D468" s="13">
        <f>RL_NAV*($J$10*Historique!D468+$J$11*Historique!E468+$J$12*Historique!F468+$J$21*Historique!G468)</f>
        <v>11491209.515311517</v>
      </c>
      <c r="E468" s="20">
        <f t="shared" si="14"/>
        <v>0</v>
      </c>
      <c r="F468" s="20">
        <f t="shared" si="15"/>
        <v>0</v>
      </c>
    </row>
    <row r="469" spans="2:6" x14ac:dyDescent="0.2">
      <c r="B469" s="19">
        <f>Historique!B469</f>
        <v>45065</v>
      </c>
      <c r="C469" s="13">
        <f>RL_NAV*($I$10*Historique!D469+$I$11*Historique!E469+$I$12*Historique!F469+$I$21*Historique!G469)</f>
        <v>7193591.3031355804</v>
      </c>
      <c r="D469" s="13">
        <f>RL_NAV*($J$10*Historique!D469+$J$11*Historique!E469+$J$12*Historique!F469+$J$21*Historique!G469)</f>
        <v>7143928.8268691003</v>
      </c>
      <c r="E469" s="20">
        <f t="shared" si="14"/>
        <v>0</v>
      </c>
      <c r="F469" s="20">
        <f t="shared" si="15"/>
        <v>0</v>
      </c>
    </row>
    <row r="470" spans="2:6" x14ac:dyDescent="0.2">
      <c r="B470" s="19">
        <f>Historique!B470</f>
        <v>45068</v>
      </c>
      <c r="C470" s="13">
        <f>RL_NAV*($I$10*Historique!D470+$I$11*Historique!E470+$I$12*Historique!F470+$I$21*Historique!G470)</f>
        <v>154189.41447623339</v>
      </c>
      <c r="D470" s="13">
        <f>RL_NAV*($J$10*Historique!D470+$J$11*Historique!E470+$J$12*Historique!F470+$J$21*Historique!G470)</f>
        <v>139953.31290914613</v>
      </c>
      <c r="E470" s="20">
        <f t="shared" si="14"/>
        <v>0</v>
      </c>
      <c r="F470" s="20">
        <f t="shared" si="15"/>
        <v>0</v>
      </c>
    </row>
    <row r="471" spans="2:6" x14ac:dyDescent="0.2">
      <c r="B471" s="19">
        <f>Historique!B471</f>
        <v>45069</v>
      </c>
      <c r="C471" s="13">
        <f>RL_NAV*($I$10*Historique!D471+$I$11*Historique!E471+$I$12*Historique!F471+$I$21*Historique!G471)</f>
        <v>-1652536.9638981072</v>
      </c>
      <c r="D471" s="13">
        <f>RL_NAV*($J$10*Historique!D471+$J$11*Historique!E471+$J$12*Historique!F471+$J$21*Historique!G471)</f>
        <v>-1500618.8336643791</v>
      </c>
      <c r="E471" s="20">
        <f t="shared" si="14"/>
        <v>0</v>
      </c>
      <c r="F471" s="20">
        <f t="shared" si="15"/>
        <v>0</v>
      </c>
    </row>
    <row r="472" spans="2:6" x14ac:dyDescent="0.2">
      <c r="B472" s="19">
        <f>Historique!B472</f>
        <v>45070</v>
      </c>
      <c r="C472" s="13">
        <f>RL_NAV*($I$10*Historique!D472+$I$11*Historique!E472+$I$12*Historique!F472+$I$21*Historique!G472)</f>
        <v>329326.40573879366</v>
      </c>
      <c r="D472" s="13">
        <f>RL_NAV*($J$10*Historique!D472+$J$11*Historique!E472+$J$12*Historique!F472+$J$21*Historique!G472)</f>
        <v>203280.68049920531</v>
      </c>
      <c r="E472" s="20">
        <f t="shared" si="14"/>
        <v>0</v>
      </c>
      <c r="F472" s="20">
        <f t="shared" si="15"/>
        <v>0</v>
      </c>
    </row>
    <row r="473" spans="2:6" x14ac:dyDescent="0.2">
      <c r="B473" s="19">
        <f>Historique!B473</f>
        <v>45071</v>
      </c>
      <c r="C473" s="13">
        <f>RL_NAV*($I$10*Historique!D473+$I$11*Historique!E473+$I$12*Historique!F473+$I$21*Historique!G473)</f>
        <v>5117610.2136620209</v>
      </c>
      <c r="D473" s="13">
        <f>RL_NAV*($J$10*Historique!D473+$J$11*Historique!E473+$J$12*Historique!F473+$J$21*Historique!G473)</f>
        <v>5083158.1442951523</v>
      </c>
      <c r="E473" s="20">
        <f t="shared" si="14"/>
        <v>0</v>
      </c>
      <c r="F473" s="20">
        <f t="shared" si="15"/>
        <v>0</v>
      </c>
    </row>
    <row r="474" spans="2:6" x14ac:dyDescent="0.2">
      <c r="B474" s="19">
        <f>Historique!B474</f>
        <v>45072</v>
      </c>
      <c r="C474" s="13">
        <f>RL_NAV*($I$10*Historique!D474+$I$11*Historique!E474+$I$12*Historique!F474+$I$21*Historique!G474)</f>
        <v>5294827.5086281607</v>
      </c>
      <c r="D474" s="13">
        <f>RL_NAV*($J$10*Historique!D474+$J$11*Historique!E474+$J$12*Historique!F474+$J$21*Historique!G474)</f>
        <v>5236498.8067077575</v>
      </c>
      <c r="E474" s="20">
        <f t="shared" si="14"/>
        <v>0</v>
      </c>
      <c r="F474" s="20">
        <f t="shared" si="15"/>
        <v>0</v>
      </c>
    </row>
    <row r="475" spans="2:6" x14ac:dyDescent="0.2">
      <c r="B475" s="19">
        <f>Historique!B475</f>
        <v>45075</v>
      </c>
      <c r="C475" s="13">
        <f>RL_NAV*($I$10*Historique!D475+$I$11*Historique!E475+$I$12*Historique!F475+$I$21*Historique!G475)</f>
        <v>-1875030.991361679</v>
      </c>
      <c r="D475" s="13">
        <f>RL_NAV*($J$10*Historique!D475+$J$11*Historique!E475+$J$12*Historique!F475+$J$21*Historique!G475)</f>
        <v>-1887406.681997722</v>
      </c>
      <c r="E475" s="20">
        <f t="shared" si="14"/>
        <v>0</v>
      </c>
      <c r="F475" s="20">
        <f t="shared" si="15"/>
        <v>0</v>
      </c>
    </row>
    <row r="476" spans="2:6" x14ac:dyDescent="0.2">
      <c r="B476" s="19">
        <f>Historique!B476</f>
        <v>45076</v>
      </c>
      <c r="C476" s="13">
        <f>RL_NAV*($I$10*Historique!D476+$I$11*Historique!E476+$I$12*Historique!F476+$I$21*Historique!G476)</f>
        <v>-13338581.437297221</v>
      </c>
      <c r="D476" s="13">
        <f>RL_NAV*($J$10*Historique!D476+$J$11*Historique!E476+$J$12*Historique!F476+$J$21*Historique!G476)</f>
        <v>-13131662.968575241</v>
      </c>
      <c r="E476" s="20">
        <f t="shared" si="14"/>
        <v>0</v>
      </c>
      <c r="F476" s="20">
        <f t="shared" si="15"/>
        <v>0</v>
      </c>
    </row>
    <row r="477" spans="2:6" x14ac:dyDescent="0.2">
      <c r="B477" s="19">
        <f>Historique!B477</f>
        <v>45077</v>
      </c>
      <c r="C477" s="13">
        <f>RL_NAV*($I$10*Historique!D477+$I$11*Historique!E477+$I$12*Historique!F477+$I$21*Historique!G477)</f>
        <v>-11600835.583620807</v>
      </c>
      <c r="D477" s="13">
        <f>RL_NAV*($J$10*Historique!D477+$J$11*Historique!E477+$J$12*Historique!F477+$J$21*Historique!G477)</f>
        <v>-11517000.486037066</v>
      </c>
      <c r="E477" s="20">
        <f t="shared" si="14"/>
        <v>0</v>
      </c>
      <c r="F477" s="20">
        <f t="shared" si="15"/>
        <v>0</v>
      </c>
    </row>
    <row r="478" spans="2:6" x14ac:dyDescent="0.2">
      <c r="B478" s="19">
        <f>Historique!B478</f>
        <v>45078</v>
      </c>
      <c r="C478" s="13">
        <f>RL_NAV*($I$10*Historique!D478+$I$11*Historique!E478+$I$12*Historique!F478+$I$21*Historique!G478)</f>
        <v>-1443481.3491381232</v>
      </c>
      <c r="D478" s="13">
        <f>RL_NAV*($J$10*Historique!D478+$J$11*Historique!E478+$J$12*Historique!F478+$J$21*Historique!G478)</f>
        <v>-1440245.2573917969</v>
      </c>
      <c r="E478" s="20">
        <f t="shared" si="14"/>
        <v>0</v>
      </c>
      <c r="F478" s="20">
        <f t="shared" si="15"/>
        <v>0</v>
      </c>
    </row>
    <row r="479" spans="2:6" x14ac:dyDescent="0.2">
      <c r="B479" s="19">
        <f>Historique!B479</f>
        <v>45079</v>
      </c>
      <c r="C479" s="13">
        <f>RL_NAV*($I$10*Historique!D479+$I$11*Historique!E479+$I$12*Historique!F479+$I$21*Historique!G479)</f>
        <v>5664499.6609730627</v>
      </c>
      <c r="D479" s="13">
        <f>RL_NAV*($J$10*Historique!D479+$J$11*Historique!E479+$J$12*Historique!F479+$J$21*Historique!G479)</f>
        <v>5631775.515587246</v>
      </c>
      <c r="E479" s="20">
        <f t="shared" si="14"/>
        <v>0</v>
      </c>
      <c r="F479" s="20">
        <f t="shared" si="15"/>
        <v>0</v>
      </c>
    </row>
    <row r="480" spans="2:6" x14ac:dyDescent="0.2">
      <c r="B480" s="19">
        <f>Historique!B480</f>
        <v>45082</v>
      </c>
      <c r="C480" s="13">
        <f>RL_NAV*($I$10*Historique!D480+$I$11*Historique!E480+$I$12*Historique!F480+$I$21*Historique!G480)</f>
        <v>10060930.993065512</v>
      </c>
      <c r="D480" s="13">
        <f>RL_NAV*($J$10*Historique!D480+$J$11*Historique!E480+$J$12*Historique!F480+$J$21*Historique!G480)</f>
        <v>9976619.7380582597</v>
      </c>
      <c r="E480" s="20">
        <f t="shared" si="14"/>
        <v>0</v>
      </c>
      <c r="F480" s="20">
        <f t="shared" si="15"/>
        <v>0</v>
      </c>
    </row>
    <row r="481" spans="2:6" x14ac:dyDescent="0.2">
      <c r="B481" s="19">
        <f>Historique!B481</f>
        <v>45083</v>
      </c>
      <c r="C481" s="13">
        <f>RL_NAV*($I$10*Historique!D481+$I$11*Historique!E481+$I$12*Historique!F481+$I$21*Historique!G481)</f>
        <v>-4005479.5094708339</v>
      </c>
      <c r="D481" s="13">
        <f>RL_NAV*($J$10*Historique!D481+$J$11*Historique!E481+$J$12*Historique!F481+$J$21*Historique!G481)</f>
        <v>-3979678.0012319861</v>
      </c>
      <c r="E481" s="20">
        <f t="shared" si="14"/>
        <v>0</v>
      </c>
      <c r="F481" s="20">
        <f t="shared" si="15"/>
        <v>0</v>
      </c>
    </row>
    <row r="482" spans="2:6" x14ac:dyDescent="0.2">
      <c r="B482" s="19">
        <f>Historique!B482</f>
        <v>45084</v>
      </c>
      <c r="C482" s="13">
        <f>RL_NAV*($I$10*Historique!D482+$I$11*Historique!E482+$I$12*Historique!F482+$I$21*Historique!G482)</f>
        <v>-799470.50392179028</v>
      </c>
      <c r="D482" s="13">
        <f>RL_NAV*($J$10*Historique!D482+$J$11*Historique!E482+$J$12*Historique!F482+$J$21*Historique!G482)</f>
        <v>-697372.91640008427</v>
      </c>
      <c r="E482" s="20">
        <f t="shared" si="14"/>
        <v>0</v>
      </c>
      <c r="F482" s="20">
        <f t="shared" si="15"/>
        <v>0</v>
      </c>
    </row>
    <row r="483" spans="2:6" x14ac:dyDescent="0.2">
      <c r="B483" s="19">
        <f>Historique!B483</f>
        <v>45085</v>
      </c>
      <c r="C483" s="13">
        <f>RL_NAV*($I$10*Historique!D483+$I$11*Historique!E483+$I$12*Historique!F483+$I$21*Historique!G483)</f>
        <v>-1468312.3275196068</v>
      </c>
      <c r="D483" s="13">
        <f>RL_NAV*($J$10*Historique!D483+$J$11*Historique!E483+$J$12*Historique!F483+$J$21*Historique!G483)</f>
        <v>-1416641.5727103674</v>
      </c>
      <c r="E483" s="20">
        <f t="shared" si="14"/>
        <v>0</v>
      </c>
      <c r="F483" s="20">
        <f t="shared" si="15"/>
        <v>0</v>
      </c>
    </row>
    <row r="484" spans="2:6" x14ac:dyDescent="0.2">
      <c r="B484" s="19">
        <f>Historique!B484</f>
        <v>45086</v>
      </c>
      <c r="C484" s="13">
        <f>RL_NAV*($I$10*Historique!D484+$I$11*Historique!E484+$I$12*Historique!F484+$I$21*Historique!G484)</f>
        <v>-317832.45616219199</v>
      </c>
      <c r="D484" s="13">
        <f>RL_NAV*($J$10*Historique!D484+$J$11*Historique!E484+$J$12*Historique!F484+$J$21*Historique!G484)</f>
        <v>-275406.57861040573</v>
      </c>
      <c r="E484" s="20">
        <f t="shared" si="14"/>
        <v>0</v>
      </c>
      <c r="F484" s="20">
        <f t="shared" si="15"/>
        <v>0</v>
      </c>
    </row>
    <row r="485" spans="2:6" x14ac:dyDescent="0.2">
      <c r="B485" s="19">
        <f>Historique!B485</f>
        <v>45089</v>
      </c>
      <c r="C485" s="13">
        <f>RL_NAV*($I$10*Historique!D485+$I$11*Historique!E485+$I$12*Historique!F485+$I$21*Historique!G485)</f>
        <v>-4385110.5721926196</v>
      </c>
      <c r="D485" s="13">
        <f>RL_NAV*($J$10*Historique!D485+$J$11*Historique!E485+$J$12*Historique!F485+$J$21*Historique!G485)</f>
        <v>-4306993.2892012736</v>
      </c>
      <c r="E485" s="20">
        <f t="shared" si="14"/>
        <v>0</v>
      </c>
      <c r="F485" s="20">
        <f t="shared" si="15"/>
        <v>0</v>
      </c>
    </row>
    <row r="486" spans="2:6" x14ac:dyDescent="0.2">
      <c r="B486" s="19">
        <f>Historique!B486</f>
        <v>45090</v>
      </c>
      <c r="C486" s="13">
        <f>RL_NAV*($I$10*Historique!D486+$I$11*Historique!E486+$I$12*Historique!F486+$I$21*Historique!G486)</f>
        <v>3027853.9441073523</v>
      </c>
      <c r="D486" s="13">
        <f>RL_NAV*($J$10*Historique!D486+$J$11*Historique!E486+$J$12*Historique!F486+$J$21*Historique!G486)</f>
        <v>3026203.4509232338</v>
      </c>
      <c r="E486" s="20">
        <f t="shared" si="14"/>
        <v>0</v>
      </c>
      <c r="F486" s="20">
        <f t="shared" si="15"/>
        <v>0</v>
      </c>
    </row>
    <row r="487" spans="2:6" x14ac:dyDescent="0.2">
      <c r="B487" s="19">
        <f>Historique!B487</f>
        <v>45091</v>
      </c>
      <c r="C487" s="13">
        <f>RL_NAV*($I$10*Historique!D487+$I$11*Historique!E487+$I$12*Historique!F487+$I$21*Historique!G487)</f>
        <v>6797798.3855124423</v>
      </c>
      <c r="D487" s="13">
        <f>RL_NAV*($J$10*Historique!D487+$J$11*Historique!E487+$J$12*Historique!F487+$J$21*Historique!G487)</f>
        <v>6722805.1958422512</v>
      </c>
      <c r="E487" s="20">
        <f t="shared" si="14"/>
        <v>0</v>
      </c>
      <c r="F487" s="20">
        <f t="shared" si="15"/>
        <v>0</v>
      </c>
    </row>
    <row r="488" spans="2:6" x14ac:dyDescent="0.2">
      <c r="B488" s="19">
        <f>Historique!B488</f>
        <v>45092</v>
      </c>
      <c r="C488" s="13">
        <f>RL_NAV*($I$10*Historique!D488+$I$11*Historique!E488+$I$12*Historique!F488+$I$21*Historique!G488)</f>
        <v>-1027321.0748305131</v>
      </c>
      <c r="D488" s="13">
        <f>RL_NAV*($J$10*Historique!D488+$J$11*Historique!E488+$J$12*Historique!F488+$J$21*Historique!G488)</f>
        <v>-936010.07317826501</v>
      </c>
      <c r="E488" s="20">
        <f t="shared" si="14"/>
        <v>0</v>
      </c>
      <c r="F488" s="20">
        <f t="shared" si="15"/>
        <v>0</v>
      </c>
    </row>
    <row r="489" spans="2:6" x14ac:dyDescent="0.2">
      <c r="B489" s="19">
        <f>Historique!B489</f>
        <v>45093</v>
      </c>
      <c r="C489" s="13">
        <f>RL_NAV*($I$10*Historique!D489+$I$11*Historique!E489+$I$12*Historique!F489+$I$21*Historique!G489)</f>
        <v>4229277.7074801307</v>
      </c>
      <c r="D489" s="13">
        <f>RL_NAV*($J$10*Historique!D489+$J$11*Historique!E489+$J$12*Historique!F489+$J$21*Historique!G489)</f>
        <v>4199029.4307843475</v>
      </c>
      <c r="E489" s="20">
        <f t="shared" si="14"/>
        <v>0</v>
      </c>
      <c r="F489" s="20">
        <f t="shared" si="15"/>
        <v>0</v>
      </c>
    </row>
    <row r="490" spans="2:6" x14ac:dyDescent="0.2">
      <c r="B490" s="19">
        <f>Historique!B490</f>
        <v>45096</v>
      </c>
      <c r="C490" s="13">
        <f>RL_NAV*($I$10*Historique!D490+$I$11*Historique!E490+$I$12*Historique!F490+$I$21*Historique!G490)</f>
        <v>897667.48560833803</v>
      </c>
      <c r="D490" s="13">
        <f>RL_NAV*($J$10*Historique!D490+$J$11*Historique!E490+$J$12*Historique!F490+$J$21*Historique!G490)</f>
        <v>926260.12227895658</v>
      </c>
      <c r="E490" s="20">
        <f t="shared" si="14"/>
        <v>0</v>
      </c>
      <c r="F490" s="20">
        <f t="shared" si="15"/>
        <v>0</v>
      </c>
    </row>
    <row r="491" spans="2:6" x14ac:dyDescent="0.2">
      <c r="B491" s="19">
        <f>Historique!B491</f>
        <v>45097</v>
      </c>
      <c r="C491" s="13">
        <f>RL_NAV*($I$10*Historique!D491+$I$11*Historique!E491+$I$12*Historique!F491+$I$21*Historique!G491)</f>
        <v>-7934630.0642697765</v>
      </c>
      <c r="D491" s="13">
        <f>RL_NAV*($J$10*Historique!D491+$J$11*Historique!E491+$J$12*Historique!F491+$J$21*Historique!G491)</f>
        <v>-7777212.6920736888</v>
      </c>
      <c r="E491" s="20">
        <f t="shared" si="14"/>
        <v>0</v>
      </c>
      <c r="F491" s="20">
        <f t="shared" si="15"/>
        <v>0</v>
      </c>
    </row>
    <row r="492" spans="2:6" x14ac:dyDescent="0.2">
      <c r="B492" s="19">
        <f>Historique!B492</f>
        <v>45098</v>
      </c>
      <c r="C492" s="13">
        <f>RL_NAV*($I$10*Historique!D492+$I$11*Historique!E492+$I$12*Historique!F492+$I$21*Historique!G492)</f>
        <v>7205650.683175683</v>
      </c>
      <c r="D492" s="13">
        <f>RL_NAV*($J$10*Historique!D492+$J$11*Historique!E492+$J$12*Historique!F492+$J$21*Historique!G492)</f>
        <v>7023268.122748944</v>
      </c>
      <c r="E492" s="20">
        <f t="shared" si="14"/>
        <v>0</v>
      </c>
      <c r="F492" s="20">
        <f t="shared" si="15"/>
        <v>0</v>
      </c>
    </row>
    <row r="493" spans="2:6" x14ac:dyDescent="0.2">
      <c r="B493" s="19">
        <f>Historique!B493</f>
        <v>45099</v>
      </c>
      <c r="C493" s="13">
        <f>RL_NAV*($I$10*Historique!D493+$I$11*Historique!E493+$I$12*Historique!F493+$I$21*Historique!G493)</f>
        <v>2203508.998341138</v>
      </c>
      <c r="D493" s="13">
        <f>RL_NAV*($J$10*Historique!D493+$J$11*Historique!E493+$J$12*Historique!F493+$J$21*Historique!G493)</f>
        <v>2231252.1057608058</v>
      </c>
      <c r="E493" s="20">
        <f t="shared" si="14"/>
        <v>0</v>
      </c>
      <c r="F493" s="20">
        <f t="shared" si="15"/>
        <v>0</v>
      </c>
    </row>
    <row r="494" spans="2:6" x14ac:dyDescent="0.2">
      <c r="B494" s="19">
        <f>Historique!B494</f>
        <v>45100</v>
      </c>
      <c r="C494" s="13">
        <f>RL_NAV*($I$10*Historique!D494+$I$11*Historique!E494+$I$12*Historique!F494+$I$21*Historique!G494)</f>
        <v>-7225271.7013681568</v>
      </c>
      <c r="D494" s="13">
        <f>RL_NAV*($J$10*Historique!D494+$J$11*Historique!E494+$J$12*Historique!F494+$J$21*Historique!G494)</f>
        <v>-7267928.8233453417</v>
      </c>
      <c r="E494" s="20">
        <f t="shared" si="14"/>
        <v>0</v>
      </c>
      <c r="F494" s="20">
        <f t="shared" si="15"/>
        <v>0</v>
      </c>
    </row>
    <row r="495" spans="2:6" x14ac:dyDescent="0.2">
      <c r="B495" s="19">
        <f>Historique!B495</f>
        <v>45103</v>
      </c>
      <c r="C495" s="13">
        <f>RL_NAV*($I$10*Historique!D495+$I$11*Historique!E495+$I$12*Historique!F495+$I$21*Historique!G495)</f>
        <v>-359744.72115697415</v>
      </c>
      <c r="D495" s="13">
        <f>RL_NAV*($J$10*Historique!D495+$J$11*Historique!E495+$J$12*Historique!F495+$J$21*Historique!G495)</f>
        <v>-357841.0378517689</v>
      </c>
      <c r="E495" s="20">
        <f t="shared" si="14"/>
        <v>0</v>
      </c>
      <c r="F495" s="20">
        <f t="shared" si="15"/>
        <v>0</v>
      </c>
    </row>
    <row r="496" spans="2:6" x14ac:dyDescent="0.2">
      <c r="B496" s="19">
        <f>Historique!B496</f>
        <v>45104</v>
      </c>
      <c r="C496" s="13">
        <f>RL_NAV*($I$10*Historique!D496+$I$11*Historique!E496+$I$12*Historique!F496+$I$21*Historique!G496)</f>
        <v>-4590703.1312769204</v>
      </c>
      <c r="D496" s="13">
        <f>RL_NAV*($J$10*Historique!D496+$J$11*Historique!E496+$J$12*Historique!F496+$J$21*Historique!G496)</f>
        <v>-4496632.5047141816</v>
      </c>
      <c r="E496" s="20">
        <f t="shared" si="14"/>
        <v>0</v>
      </c>
      <c r="F496" s="20">
        <f t="shared" si="15"/>
        <v>0</v>
      </c>
    </row>
    <row r="497" spans="2:6" x14ac:dyDescent="0.2">
      <c r="B497" s="19">
        <f>Historique!B497</f>
        <v>45105</v>
      </c>
      <c r="C497" s="13">
        <f>RL_NAV*($I$10*Historique!D497+$I$11*Historique!E497+$I$12*Historique!F497+$I$21*Historique!G497)</f>
        <v>8821671.3420505039</v>
      </c>
      <c r="D497" s="13">
        <f>RL_NAV*($J$10*Historique!D497+$J$11*Historique!E497+$J$12*Historique!F497+$J$21*Historique!G497)</f>
        <v>8652458.2341708373</v>
      </c>
      <c r="E497" s="20">
        <f t="shared" si="14"/>
        <v>0</v>
      </c>
      <c r="F497" s="20">
        <f t="shared" si="15"/>
        <v>0</v>
      </c>
    </row>
    <row r="498" spans="2:6" x14ac:dyDescent="0.2">
      <c r="B498" s="19">
        <f>Historique!B498</f>
        <v>45106</v>
      </c>
      <c r="C498" s="13">
        <f>RL_NAV*($I$10*Historique!D498+$I$11*Historique!E498+$I$12*Historique!F498+$I$21*Historique!G498)</f>
        <v>2959915.729698217</v>
      </c>
      <c r="D498" s="13">
        <f>RL_NAV*($J$10*Historique!D498+$J$11*Historique!E498+$J$12*Historique!F498+$J$21*Historique!G498)</f>
        <v>2962861.9109011469</v>
      </c>
      <c r="E498" s="20">
        <f t="shared" si="14"/>
        <v>0</v>
      </c>
      <c r="F498" s="20">
        <f t="shared" si="15"/>
        <v>0</v>
      </c>
    </row>
    <row r="499" spans="2:6" x14ac:dyDescent="0.2">
      <c r="B499" s="19">
        <f>Historique!B499</f>
        <v>45107</v>
      </c>
      <c r="C499" s="13">
        <f>RL_NAV*($I$10*Historique!D499+$I$11*Historique!E499+$I$12*Historique!F499+$I$21*Historique!G499)</f>
        <v>1031835.3307815214</v>
      </c>
      <c r="D499" s="13">
        <f>RL_NAV*($J$10*Historique!D499+$J$11*Historique!E499+$J$12*Historique!F499+$J$21*Historique!G499)</f>
        <v>1083295.2753674244</v>
      </c>
      <c r="E499" s="20">
        <f t="shared" si="14"/>
        <v>0</v>
      </c>
      <c r="F499" s="20">
        <f t="shared" si="15"/>
        <v>0</v>
      </c>
    </row>
    <row r="500" spans="2:6" x14ac:dyDescent="0.2">
      <c r="B500" s="19">
        <f>Historique!B500</f>
        <v>45110</v>
      </c>
      <c r="C500" s="13">
        <f>RL_NAV*($I$10*Historique!D500+$I$11*Historique!E500+$I$12*Historique!F500+$I$21*Historique!G500)</f>
        <v>609045.35313866485</v>
      </c>
      <c r="D500" s="13">
        <f>RL_NAV*($J$10*Historique!D500+$J$11*Historique!E500+$J$12*Historique!F500+$J$21*Historique!G500)</f>
        <v>597229.37859267101</v>
      </c>
      <c r="E500" s="20">
        <f t="shared" si="14"/>
        <v>0</v>
      </c>
      <c r="F500" s="20">
        <f t="shared" si="15"/>
        <v>0</v>
      </c>
    </row>
    <row r="501" spans="2:6" x14ac:dyDescent="0.2">
      <c r="B501" s="19">
        <f>Historique!B501</f>
        <v>45111</v>
      </c>
      <c r="C501" s="13">
        <f>RL_NAV*($I$10*Historique!D501+$I$11*Historique!E501+$I$12*Historique!F501+$I$21*Historique!G501)</f>
        <v>-169764.31711476238</v>
      </c>
      <c r="D501" s="13">
        <f>RL_NAV*($J$10*Historique!D501+$J$11*Historique!E501+$J$12*Historique!F501+$J$21*Historique!G501)</f>
        <v>-124700.55975890787</v>
      </c>
      <c r="E501" s="20">
        <f t="shared" si="14"/>
        <v>0</v>
      </c>
      <c r="F501" s="20">
        <f t="shared" si="15"/>
        <v>0</v>
      </c>
    </row>
    <row r="502" spans="2:6" x14ac:dyDescent="0.2">
      <c r="B502" s="19">
        <f>Historique!B502</f>
        <v>45112</v>
      </c>
      <c r="C502" s="13">
        <f>RL_NAV*($I$10*Historique!D502+$I$11*Historique!E502+$I$12*Historique!F502+$I$21*Historique!G502)</f>
        <v>1968340.7308188237</v>
      </c>
      <c r="D502" s="13">
        <f>RL_NAV*($J$10*Historique!D502+$J$11*Historique!E502+$J$12*Historique!F502+$J$21*Historique!G502)</f>
        <v>1878771.4543757208</v>
      </c>
      <c r="E502" s="20">
        <f t="shared" si="14"/>
        <v>0</v>
      </c>
      <c r="F502" s="20">
        <f t="shared" si="15"/>
        <v>0</v>
      </c>
    </row>
    <row r="503" spans="2:6" x14ac:dyDescent="0.2">
      <c r="B503" s="19">
        <f>Historique!B503</f>
        <v>45113</v>
      </c>
      <c r="C503" s="13">
        <f>RL_NAV*($I$10*Historique!D503+$I$11*Historique!E503+$I$12*Historique!F503+$I$21*Historique!G503)</f>
        <v>11850615.826161437</v>
      </c>
      <c r="D503" s="13">
        <f>RL_NAV*($J$10*Historique!D503+$J$11*Historique!E503+$J$12*Historique!F503+$J$21*Historique!G503)</f>
        <v>11778453.168735314</v>
      </c>
      <c r="E503" s="20">
        <f t="shared" si="14"/>
        <v>0</v>
      </c>
      <c r="F503" s="20">
        <f t="shared" si="15"/>
        <v>0</v>
      </c>
    </row>
    <row r="504" spans="2:6" x14ac:dyDescent="0.2">
      <c r="B504" s="19">
        <f>Historique!B504</f>
        <v>45114</v>
      </c>
      <c r="C504" s="13">
        <f>RL_NAV*($I$10*Historique!D504+$I$11*Historique!E504+$I$12*Historique!F504+$I$21*Historique!G504)</f>
        <v>1424533.8819012612</v>
      </c>
      <c r="D504" s="13">
        <f>RL_NAV*($J$10*Historique!D504+$J$11*Historique!E504+$J$12*Historique!F504+$J$21*Historique!G504)</f>
        <v>1369578.3167026106</v>
      </c>
      <c r="E504" s="20">
        <f t="shared" si="14"/>
        <v>0</v>
      </c>
      <c r="F504" s="20">
        <f t="shared" si="15"/>
        <v>0</v>
      </c>
    </row>
    <row r="505" spans="2:6" x14ac:dyDescent="0.2">
      <c r="B505" s="19">
        <f>Historique!B505</f>
        <v>45117</v>
      </c>
      <c r="C505" s="13">
        <f>RL_NAV*($I$10*Historique!D505+$I$11*Historique!E505+$I$12*Historique!F505+$I$21*Historique!G505)</f>
        <v>-619081.87529121898</v>
      </c>
      <c r="D505" s="13">
        <f>RL_NAV*($J$10*Historique!D505+$J$11*Historique!E505+$J$12*Historique!F505+$J$21*Historique!G505)</f>
        <v>-583410.45637507155</v>
      </c>
      <c r="E505" s="20">
        <f t="shared" si="14"/>
        <v>0</v>
      </c>
      <c r="F505" s="20">
        <f t="shared" si="15"/>
        <v>0</v>
      </c>
    </row>
    <row r="506" spans="2:6" x14ac:dyDescent="0.2">
      <c r="B506" s="19">
        <f>Historique!B506</f>
        <v>45118</v>
      </c>
      <c r="C506" s="13">
        <f>RL_NAV*($I$10*Historique!D506+$I$11*Historique!E506+$I$12*Historique!F506+$I$21*Historique!G506)</f>
        <v>6172577.5223111678</v>
      </c>
      <c r="D506" s="13">
        <f>RL_NAV*($J$10*Historique!D506+$J$11*Historique!E506+$J$12*Historique!F506+$J$21*Historique!G506)</f>
        <v>6035880.0278162463</v>
      </c>
      <c r="E506" s="20">
        <f t="shared" si="14"/>
        <v>0</v>
      </c>
      <c r="F506" s="20">
        <f t="shared" si="15"/>
        <v>0</v>
      </c>
    </row>
    <row r="507" spans="2:6" x14ac:dyDescent="0.2">
      <c r="B507" s="19">
        <f>Historique!B507</f>
        <v>45119</v>
      </c>
      <c r="C507" s="13">
        <f>RL_NAV*($I$10*Historique!D507+$I$11*Historique!E507+$I$12*Historique!F507+$I$21*Historique!G507)</f>
        <v>-8308433.8113867547</v>
      </c>
      <c r="D507" s="13">
        <f>RL_NAV*($J$10*Historique!D507+$J$11*Historique!E507+$J$12*Historique!F507+$J$21*Historique!G507)</f>
        <v>-8115246.1844481817</v>
      </c>
      <c r="E507" s="20">
        <f t="shared" si="14"/>
        <v>0</v>
      </c>
      <c r="F507" s="20">
        <f t="shared" si="15"/>
        <v>0</v>
      </c>
    </row>
    <row r="508" spans="2:6" x14ac:dyDescent="0.2">
      <c r="B508" s="19">
        <f>Historique!B508</f>
        <v>45120</v>
      </c>
      <c r="C508" s="13">
        <f>RL_NAV*($I$10*Historique!D508+$I$11*Historique!E508+$I$12*Historique!F508+$I$21*Historique!G508)</f>
        <v>-18143858.161825363</v>
      </c>
      <c r="D508" s="13">
        <f>RL_NAV*($J$10*Historique!D508+$J$11*Historique!E508+$J$12*Historique!F508+$J$21*Historique!G508)</f>
        <v>-17852411.372519381</v>
      </c>
      <c r="E508" s="20">
        <f t="shared" si="14"/>
        <v>0</v>
      </c>
      <c r="F508" s="20">
        <f t="shared" si="15"/>
        <v>0</v>
      </c>
    </row>
    <row r="509" spans="2:6" x14ac:dyDescent="0.2">
      <c r="B509" s="19">
        <f>Historique!B509</f>
        <v>45121</v>
      </c>
      <c r="C509" s="13">
        <f>RL_NAV*($I$10*Historique!D509+$I$11*Historique!E509+$I$12*Historique!F509+$I$21*Historique!G509)</f>
        <v>-5832258.4771528458</v>
      </c>
      <c r="D509" s="13">
        <f>RL_NAV*($J$10*Historique!D509+$J$11*Historique!E509+$J$12*Historique!F509+$J$21*Historique!G509)</f>
        <v>-5762496.1635756167</v>
      </c>
      <c r="E509" s="20">
        <f t="shared" si="14"/>
        <v>0</v>
      </c>
      <c r="F509" s="20">
        <f t="shared" si="15"/>
        <v>0</v>
      </c>
    </row>
    <row r="510" spans="2:6" x14ac:dyDescent="0.2">
      <c r="B510" s="19">
        <f>Historique!B510</f>
        <v>45124</v>
      </c>
      <c r="C510" s="13">
        <f>RL_NAV*($I$10*Historique!D510+$I$11*Historique!E510+$I$12*Historique!F510+$I$21*Historique!G510)</f>
        <v>464111.07186480402</v>
      </c>
      <c r="D510" s="13">
        <f>RL_NAV*($J$10*Historique!D510+$J$11*Historique!E510+$J$12*Historique!F510+$J$21*Historique!G510)</f>
        <v>486648.94427016564</v>
      </c>
      <c r="E510" s="20">
        <f t="shared" si="14"/>
        <v>0</v>
      </c>
      <c r="F510" s="20">
        <f t="shared" si="15"/>
        <v>0</v>
      </c>
    </row>
    <row r="511" spans="2:6" x14ac:dyDescent="0.2">
      <c r="B511" s="19">
        <f>Historique!B511</f>
        <v>45125</v>
      </c>
      <c r="C511" s="13">
        <f>RL_NAV*($I$10*Historique!D511+$I$11*Historique!E511+$I$12*Historique!F511+$I$21*Historique!G511)</f>
        <v>-9099304.869648451</v>
      </c>
      <c r="D511" s="13">
        <f>RL_NAV*($J$10*Historique!D511+$J$11*Historique!E511+$J$12*Historique!F511+$J$21*Historique!G511)</f>
        <v>-9071237.2699896451</v>
      </c>
      <c r="E511" s="20">
        <f t="shared" si="14"/>
        <v>0</v>
      </c>
      <c r="F511" s="20">
        <f t="shared" si="15"/>
        <v>0</v>
      </c>
    </row>
    <row r="512" spans="2:6" x14ac:dyDescent="0.2">
      <c r="B512" s="19">
        <f>Historique!B512</f>
        <v>45126</v>
      </c>
      <c r="C512" s="13">
        <f>RL_NAV*($I$10*Historique!D512+$I$11*Historique!E512+$I$12*Historique!F512+$I$21*Historique!G512)</f>
        <v>191956.09114841302</v>
      </c>
      <c r="D512" s="13">
        <f>RL_NAV*($J$10*Historique!D512+$J$11*Historique!E512+$J$12*Historique!F512+$J$21*Historique!G512)</f>
        <v>204353.50403991228</v>
      </c>
      <c r="E512" s="20">
        <f t="shared" si="14"/>
        <v>0</v>
      </c>
      <c r="F512" s="20">
        <f t="shared" si="15"/>
        <v>0</v>
      </c>
    </row>
    <row r="513" spans="2:6" x14ac:dyDescent="0.2">
      <c r="B513" s="19">
        <f>Historique!B513</f>
        <v>45127</v>
      </c>
      <c r="C513" s="13">
        <f>RL_NAV*($I$10*Historique!D513+$I$11*Historique!E513+$I$12*Historique!F513+$I$21*Historique!G513)</f>
        <v>8212197.3658438651</v>
      </c>
      <c r="D513" s="13">
        <f>RL_NAV*($J$10*Historique!D513+$J$11*Historique!E513+$J$12*Historique!F513+$J$21*Historique!G513)</f>
        <v>8180903.4264649097</v>
      </c>
      <c r="E513" s="20">
        <f t="shared" si="14"/>
        <v>0</v>
      </c>
      <c r="F513" s="20">
        <f t="shared" si="15"/>
        <v>0</v>
      </c>
    </row>
    <row r="514" spans="2:6" x14ac:dyDescent="0.2">
      <c r="B514" s="19">
        <f>Historique!B514</f>
        <v>45128</v>
      </c>
      <c r="C514" s="13">
        <f>RL_NAV*($I$10*Historique!D514+$I$11*Historique!E514+$I$12*Historique!F514+$I$21*Historique!G514)</f>
        <v>-6697846.0548831178</v>
      </c>
      <c r="D514" s="13">
        <f>RL_NAV*($J$10*Historique!D514+$J$11*Historique!E514+$J$12*Historique!F514+$J$21*Historique!G514)</f>
        <v>-6610495.7056978354</v>
      </c>
      <c r="E514" s="20">
        <f t="shared" si="14"/>
        <v>0</v>
      </c>
      <c r="F514" s="20">
        <f t="shared" si="15"/>
        <v>0</v>
      </c>
    </row>
    <row r="515" spans="2:6" x14ac:dyDescent="0.2">
      <c r="B515" s="19">
        <f>Historique!B515</f>
        <v>45131</v>
      </c>
      <c r="C515" s="13">
        <f>RL_NAV*($I$10*Historique!D515+$I$11*Historique!E515+$I$12*Historique!F515+$I$21*Historique!G515)</f>
        <v>4572620.3891042043</v>
      </c>
      <c r="D515" s="13">
        <f>RL_NAV*($J$10*Historique!D515+$J$11*Historique!E515+$J$12*Historique!F515+$J$21*Historique!G515)</f>
        <v>4408811.1478001894</v>
      </c>
      <c r="E515" s="20">
        <f t="shared" si="14"/>
        <v>0</v>
      </c>
      <c r="F515" s="20">
        <f t="shared" si="15"/>
        <v>0</v>
      </c>
    </row>
    <row r="516" spans="2:6" x14ac:dyDescent="0.2">
      <c r="B516" s="19">
        <f>Historique!B516</f>
        <v>45132</v>
      </c>
      <c r="C516" s="13">
        <f>RL_NAV*($I$10*Historique!D516+$I$11*Historique!E516+$I$12*Historique!F516+$I$21*Historique!G516)</f>
        <v>-3981713.1649824781</v>
      </c>
      <c r="D516" s="13">
        <f>RL_NAV*($J$10*Historique!D516+$J$11*Historique!E516+$J$12*Historique!F516+$J$21*Historique!G516)</f>
        <v>-3883517.5618872344</v>
      </c>
      <c r="E516" s="20">
        <f t="shared" si="14"/>
        <v>0</v>
      </c>
      <c r="F516" s="20">
        <f t="shared" si="15"/>
        <v>0</v>
      </c>
    </row>
    <row r="517" spans="2:6" x14ac:dyDescent="0.2">
      <c r="B517" s="19">
        <f>Historique!B517</f>
        <v>45133</v>
      </c>
      <c r="C517" s="13">
        <f>RL_NAV*($I$10*Historique!D517+$I$11*Historique!E517+$I$12*Historique!F517+$I$21*Historique!G517)</f>
        <v>5702239.5724791465</v>
      </c>
      <c r="D517" s="13">
        <f>RL_NAV*($J$10*Historique!D517+$J$11*Historique!E517+$J$12*Historique!F517+$J$21*Historique!G517)</f>
        <v>5680733.7058087168</v>
      </c>
      <c r="E517" s="20">
        <f t="shared" si="14"/>
        <v>0</v>
      </c>
      <c r="F517" s="20">
        <f t="shared" si="15"/>
        <v>0</v>
      </c>
    </row>
    <row r="518" spans="2:6" x14ac:dyDescent="0.2">
      <c r="B518" s="19">
        <f>Historique!B518</f>
        <v>45134</v>
      </c>
      <c r="C518" s="13">
        <f>RL_NAV*($I$10*Historique!D518+$I$11*Historique!E518+$I$12*Historique!F518+$I$21*Historique!G518)</f>
        <v>-15316269.652619574</v>
      </c>
      <c r="D518" s="13">
        <f>RL_NAV*($J$10*Historique!D518+$J$11*Historique!E518+$J$12*Historique!F518+$J$21*Historique!G518)</f>
        <v>-15040902.047229437</v>
      </c>
      <c r="E518" s="20">
        <f t="shared" si="14"/>
        <v>0</v>
      </c>
      <c r="F518" s="20">
        <f t="shared" si="15"/>
        <v>0</v>
      </c>
    </row>
    <row r="519" spans="2:6" x14ac:dyDescent="0.2">
      <c r="B519" s="19">
        <f>Historique!B519</f>
        <v>45135</v>
      </c>
      <c r="C519" s="13">
        <f>RL_NAV*($I$10*Historique!D519+$I$11*Historique!E519+$I$12*Historique!F519+$I$21*Historique!G519)</f>
        <v>2308503.2181275832</v>
      </c>
      <c r="D519" s="13">
        <f>RL_NAV*($J$10*Historique!D519+$J$11*Historique!E519+$J$12*Historique!F519+$J$21*Historique!G519)</f>
        <v>2282035.2941823509</v>
      </c>
      <c r="E519" s="20">
        <f t="shared" ref="E519:E582" si="16">IF(C519&gt;$I$9,1,IF(C519=$I$9,($I$8-$I$18)/$I$19,0))/$I$8</f>
        <v>0</v>
      </c>
      <c r="F519" s="20">
        <f t="shared" ref="F519:F582" si="17">IF(D519&gt;$J$9,1,IF(D519=$J$9,($J$8-$J$18)/$J$19,0))/$J$8</f>
        <v>0</v>
      </c>
    </row>
    <row r="520" spans="2:6" x14ac:dyDescent="0.2">
      <c r="B520" s="19">
        <f>Historique!B520</f>
        <v>45138</v>
      </c>
      <c r="C520" s="13">
        <f>RL_NAV*($I$10*Historique!D520+$I$11*Historique!E520+$I$12*Historique!F520+$I$21*Historique!G520)</f>
        <v>-1993224.5620500681</v>
      </c>
      <c r="D520" s="13">
        <f>RL_NAV*($J$10*Historique!D520+$J$11*Historique!E520+$J$12*Historique!F520+$J$21*Historique!G520)</f>
        <v>-1951901.5455318294</v>
      </c>
      <c r="E520" s="20">
        <f t="shared" si="16"/>
        <v>0</v>
      </c>
      <c r="F520" s="20">
        <f t="shared" si="17"/>
        <v>0</v>
      </c>
    </row>
    <row r="521" spans="2:6" x14ac:dyDescent="0.2">
      <c r="B521" s="19">
        <f>Historique!B521</f>
        <v>45139</v>
      </c>
      <c r="C521" s="13">
        <f>RL_NAV*($I$10*Historique!D521+$I$11*Historique!E521+$I$12*Historique!F521+$I$21*Historique!G521)</f>
        <v>-694614.03189335426</v>
      </c>
      <c r="D521" s="13">
        <f>RL_NAV*($J$10*Historique!D521+$J$11*Historique!E521+$J$12*Historique!F521+$J$21*Historique!G521)</f>
        <v>-657141.90531294141</v>
      </c>
      <c r="E521" s="20">
        <f t="shared" si="16"/>
        <v>0</v>
      </c>
      <c r="F521" s="20">
        <f t="shared" si="17"/>
        <v>0</v>
      </c>
    </row>
    <row r="522" spans="2:6" x14ac:dyDescent="0.2">
      <c r="B522" s="19">
        <f>Historique!B522</f>
        <v>45140</v>
      </c>
      <c r="C522" s="13">
        <f>RL_NAV*($I$10*Historique!D522+$I$11*Historique!E522+$I$12*Historique!F522+$I$21*Historique!G522)</f>
        <v>1398373.1474201141</v>
      </c>
      <c r="D522" s="13">
        <f>RL_NAV*($J$10*Historique!D522+$J$11*Historique!E522+$J$12*Historique!F522+$J$21*Historique!G522)</f>
        <v>1290354.3428788988</v>
      </c>
      <c r="E522" s="20">
        <f t="shared" si="16"/>
        <v>0</v>
      </c>
      <c r="F522" s="20">
        <f t="shared" si="17"/>
        <v>0</v>
      </c>
    </row>
    <row r="523" spans="2:6" x14ac:dyDescent="0.2">
      <c r="B523" s="19">
        <f>Historique!B523</f>
        <v>45141</v>
      </c>
      <c r="C523" s="13">
        <f>RL_NAV*($I$10*Historique!D523+$I$11*Historique!E523+$I$12*Historique!F523+$I$21*Historique!G523)</f>
        <v>1567776.4939771406</v>
      </c>
      <c r="D523" s="13">
        <f>RL_NAV*($J$10*Historique!D523+$J$11*Historique!E523+$J$12*Historique!F523+$J$21*Historique!G523)</f>
        <v>1565889.1238641618</v>
      </c>
      <c r="E523" s="20">
        <f t="shared" si="16"/>
        <v>0</v>
      </c>
      <c r="F523" s="20">
        <f t="shared" si="17"/>
        <v>0</v>
      </c>
    </row>
    <row r="524" spans="2:6" x14ac:dyDescent="0.2">
      <c r="B524" s="19">
        <f>Historique!B524</f>
        <v>45142</v>
      </c>
      <c r="C524" s="13">
        <f>RL_NAV*($I$10*Historique!D524+$I$11*Historique!E524+$I$12*Historique!F524+$I$21*Historique!G524)</f>
        <v>8958048.7476509139</v>
      </c>
      <c r="D524" s="13">
        <f>RL_NAV*($J$10*Historique!D524+$J$11*Historique!E524+$J$12*Historique!F524+$J$21*Historique!G524)</f>
        <v>8820971.6772099137</v>
      </c>
      <c r="E524" s="20">
        <f t="shared" si="16"/>
        <v>0</v>
      </c>
      <c r="F524" s="20">
        <f t="shared" si="17"/>
        <v>0</v>
      </c>
    </row>
    <row r="525" spans="2:6" x14ac:dyDescent="0.2">
      <c r="B525" s="19">
        <f>Historique!B525</f>
        <v>45145</v>
      </c>
      <c r="C525" s="13">
        <f>RL_NAV*($I$10*Historique!D525+$I$11*Historique!E525+$I$12*Historique!F525+$I$21*Historique!G525)</f>
        <v>-2155626.5791145707</v>
      </c>
      <c r="D525" s="13">
        <f>RL_NAV*($J$10*Historique!D525+$J$11*Historique!E525+$J$12*Historique!F525+$J$21*Historique!G525)</f>
        <v>-2182218.7669516238</v>
      </c>
      <c r="E525" s="20">
        <f t="shared" si="16"/>
        <v>0</v>
      </c>
      <c r="F525" s="20">
        <f t="shared" si="17"/>
        <v>0</v>
      </c>
    </row>
    <row r="526" spans="2:6" x14ac:dyDescent="0.2">
      <c r="B526" s="19">
        <f>Historique!B526</f>
        <v>45146</v>
      </c>
      <c r="C526" s="13">
        <f>RL_NAV*($I$10*Historique!D526+$I$11*Historique!E526+$I$12*Historique!F526+$I$21*Historique!G526)</f>
        <v>-10545457.311886579</v>
      </c>
      <c r="D526" s="13">
        <f>RL_NAV*($J$10*Historique!D526+$J$11*Historique!E526+$J$12*Historique!F526+$J$21*Historique!G526)</f>
        <v>-10432189.553239318</v>
      </c>
      <c r="E526" s="20">
        <f t="shared" si="16"/>
        <v>0</v>
      </c>
      <c r="F526" s="20">
        <f t="shared" si="17"/>
        <v>0</v>
      </c>
    </row>
    <row r="527" spans="2:6" x14ac:dyDescent="0.2">
      <c r="B527" s="19">
        <f>Historique!B527</f>
        <v>45147</v>
      </c>
      <c r="C527" s="13">
        <f>RL_NAV*($I$10*Historique!D527+$I$11*Historique!E527+$I$12*Historique!F527+$I$21*Historique!G527)</f>
        <v>7020607.8992403308</v>
      </c>
      <c r="D527" s="13">
        <f>RL_NAV*($J$10*Historique!D527+$J$11*Historique!E527+$J$12*Historique!F527+$J$21*Historique!G527)</f>
        <v>6911916.6715979036</v>
      </c>
      <c r="E527" s="20">
        <f t="shared" si="16"/>
        <v>0</v>
      </c>
      <c r="F527" s="20">
        <f t="shared" si="17"/>
        <v>0</v>
      </c>
    </row>
    <row r="528" spans="2:6" x14ac:dyDescent="0.2">
      <c r="B528" s="19">
        <f>Historique!B528</f>
        <v>45148</v>
      </c>
      <c r="C528" s="13">
        <f>RL_NAV*($I$10*Historique!D528+$I$11*Historique!E528+$I$12*Historique!F528+$I$21*Historique!G528)</f>
        <v>-3252751.7210509866</v>
      </c>
      <c r="D528" s="13">
        <f>RL_NAV*($J$10*Historique!D528+$J$11*Historique!E528+$J$12*Historique!F528+$J$21*Historique!G528)</f>
        <v>-3143522.3578965226</v>
      </c>
      <c r="E528" s="20">
        <f t="shared" si="16"/>
        <v>0</v>
      </c>
      <c r="F528" s="20">
        <f t="shared" si="17"/>
        <v>0</v>
      </c>
    </row>
    <row r="529" spans="2:6" x14ac:dyDescent="0.2">
      <c r="B529" s="19">
        <f>Historique!B529</f>
        <v>45149</v>
      </c>
      <c r="C529" s="13">
        <f>RL_NAV*($I$10*Historique!D529+$I$11*Historique!E529+$I$12*Historique!F529+$I$21*Historique!G529)</f>
        <v>13139669.204588687</v>
      </c>
      <c r="D529" s="13">
        <f>RL_NAV*($J$10*Historique!D529+$J$11*Historique!E529+$J$12*Historique!F529+$J$21*Historique!G529)</f>
        <v>12899253.498399505</v>
      </c>
      <c r="E529" s="20">
        <f t="shared" si="16"/>
        <v>0</v>
      </c>
      <c r="F529" s="20">
        <f t="shared" si="17"/>
        <v>0</v>
      </c>
    </row>
    <row r="530" spans="2:6" x14ac:dyDescent="0.2">
      <c r="B530" s="19">
        <f>Historique!B530</f>
        <v>45152</v>
      </c>
      <c r="C530" s="13">
        <f>RL_NAV*($I$10*Historique!D530+$I$11*Historique!E530+$I$12*Historique!F530+$I$21*Historique!G530)</f>
        <v>275071.97877382021</v>
      </c>
      <c r="D530" s="13">
        <f>RL_NAV*($J$10*Historique!D530+$J$11*Historique!E530+$J$12*Historique!F530+$J$21*Historique!G530)</f>
        <v>307147.73809076095</v>
      </c>
      <c r="E530" s="20">
        <f t="shared" si="16"/>
        <v>0</v>
      </c>
      <c r="F530" s="20">
        <f t="shared" si="17"/>
        <v>0</v>
      </c>
    </row>
    <row r="531" spans="2:6" x14ac:dyDescent="0.2">
      <c r="B531" s="19">
        <f>Historique!B531</f>
        <v>45153</v>
      </c>
      <c r="C531" s="13">
        <f>RL_NAV*($I$10*Historique!D531+$I$11*Historique!E531+$I$12*Historique!F531+$I$21*Historique!G531)</f>
        <v>7603229.6138624465</v>
      </c>
      <c r="D531" s="13">
        <f>RL_NAV*($J$10*Historique!D531+$J$11*Historique!E531+$J$12*Historique!F531+$J$21*Historique!G531)</f>
        <v>7515924.957079622</v>
      </c>
      <c r="E531" s="20">
        <f t="shared" si="16"/>
        <v>0</v>
      </c>
      <c r="F531" s="20">
        <f t="shared" si="17"/>
        <v>0</v>
      </c>
    </row>
    <row r="532" spans="2:6" x14ac:dyDescent="0.2">
      <c r="B532" s="19">
        <f>Historique!B532</f>
        <v>45154</v>
      </c>
      <c r="C532" s="13">
        <f>RL_NAV*($I$10*Historique!D532+$I$11*Historique!E532+$I$12*Historique!F532+$I$21*Historique!G532)</f>
        <v>-1532999.9182100699</v>
      </c>
      <c r="D532" s="13">
        <f>RL_NAV*($J$10*Historique!D532+$J$11*Historique!E532+$J$12*Historique!F532+$J$21*Historique!G532)</f>
        <v>-1539441.1424762928</v>
      </c>
      <c r="E532" s="20">
        <f t="shared" si="16"/>
        <v>0</v>
      </c>
      <c r="F532" s="20">
        <f t="shared" si="17"/>
        <v>0</v>
      </c>
    </row>
    <row r="533" spans="2:6" x14ac:dyDescent="0.2">
      <c r="B533" s="19">
        <f>Historique!B533</f>
        <v>45155</v>
      </c>
      <c r="C533" s="13">
        <f>RL_NAV*($I$10*Historique!D533+$I$11*Historique!E533+$I$12*Historique!F533+$I$21*Historique!G533)</f>
        <v>6680267.9425935568</v>
      </c>
      <c r="D533" s="13">
        <f>RL_NAV*($J$10*Historique!D533+$J$11*Historique!E533+$J$12*Historique!F533+$J$21*Historique!G533)</f>
        <v>6547576.5251022903</v>
      </c>
      <c r="E533" s="20">
        <f t="shared" si="16"/>
        <v>0</v>
      </c>
      <c r="F533" s="20">
        <f t="shared" si="17"/>
        <v>0</v>
      </c>
    </row>
    <row r="534" spans="2:6" x14ac:dyDescent="0.2">
      <c r="B534" s="19">
        <f>Historique!B534</f>
        <v>45156</v>
      </c>
      <c r="C534" s="13">
        <f>RL_NAV*($I$10*Historique!D534+$I$11*Historique!E534+$I$12*Historique!F534+$I$21*Historique!G534)</f>
        <v>-3174766.8067317586</v>
      </c>
      <c r="D534" s="13">
        <f>RL_NAV*($J$10*Historique!D534+$J$11*Historique!E534+$J$12*Historique!F534+$J$21*Historique!G534)</f>
        <v>-3226272.0869722534</v>
      </c>
      <c r="E534" s="20">
        <f t="shared" si="16"/>
        <v>0</v>
      </c>
      <c r="F534" s="20">
        <f t="shared" si="17"/>
        <v>0</v>
      </c>
    </row>
    <row r="535" spans="2:6" x14ac:dyDescent="0.2">
      <c r="B535" s="19">
        <f>Historique!B535</f>
        <v>45159</v>
      </c>
      <c r="C535" s="13">
        <f>RL_NAV*($I$10*Historique!D535+$I$11*Historique!E535+$I$12*Historique!F535+$I$21*Historique!G535)</f>
        <v>6223254.6733252611</v>
      </c>
      <c r="D535" s="13">
        <f>RL_NAV*($J$10*Historique!D535+$J$11*Historique!E535+$J$12*Historique!F535+$J$21*Historique!G535)</f>
        <v>6165821.687086164</v>
      </c>
      <c r="E535" s="20">
        <f t="shared" si="16"/>
        <v>0</v>
      </c>
      <c r="F535" s="20">
        <f t="shared" si="17"/>
        <v>0</v>
      </c>
    </row>
    <row r="536" spans="2:6" x14ac:dyDescent="0.2">
      <c r="B536" s="19">
        <f>Historique!B536</f>
        <v>45160</v>
      </c>
      <c r="C536" s="13">
        <f>RL_NAV*($I$10*Historique!D536+$I$11*Historique!E536+$I$12*Historique!F536+$I$21*Historique!G536)</f>
        <v>-1181067.2512064197</v>
      </c>
      <c r="D536" s="13">
        <f>RL_NAV*($J$10*Historique!D536+$J$11*Historique!E536+$J$12*Historique!F536+$J$21*Historique!G536)</f>
        <v>-1160289.9566479377</v>
      </c>
      <c r="E536" s="20">
        <f t="shared" si="16"/>
        <v>0</v>
      </c>
      <c r="F536" s="20">
        <f t="shared" si="17"/>
        <v>0</v>
      </c>
    </row>
    <row r="537" spans="2:6" x14ac:dyDescent="0.2">
      <c r="B537" s="19">
        <f>Historique!B537</f>
        <v>45161</v>
      </c>
      <c r="C537" s="13">
        <f>RL_NAV*($I$10*Historique!D537+$I$11*Historique!E537+$I$12*Historique!F537+$I$21*Historique!G537)</f>
        <v>-9250709.8937808033</v>
      </c>
      <c r="D537" s="13">
        <f>RL_NAV*($J$10*Historique!D537+$J$11*Historique!E537+$J$12*Historique!F537+$J$21*Historique!G537)</f>
        <v>-9250197.8654078394</v>
      </c>
      <c r="E537" s="20">
        <f t="shared" si="16"/>
        <v>0</v>
      </c>
      <c r="F537" s="20">
        <f t="shared" si="17"/>
        <v>0</v>
      </c>
    </row>
    <row r="538" spans="2:6" x14ac:dyDescent="0.2">
      <c r="B538" s="19">
        <f>Historique!B538</f>
        <v>45162</v>
      </c>
      <c r="C538" s="13">
        <f>RL_NAV*($I$10*Historique!D538+$I$11*Historique!E538+$I$12*Historique!F538+$I$21*Historique!G538)</f>
        <v>3515420.9766080701</v>
      </c>
      <c r="D538" s="13">
        <f>RL_NAV*($J$10*Historique!D538+$J$11*Historique!E538+$J$12*Historique!F538+$J$21*Historique!G538)</f>
        <v>3462779.8899068595</v>
      </c>
      <c r="E538" s="20">
        <f t="shared" si="16"/>
        <v>0</v>
      </c>
      <c r="F538" s="20">
        <f t="shared" si="17"/>
        <v>0</v>
      </c>
    </row>
    <row r="539" spans="2:6" x14ac:dyDescent="0.2">
      <c r="B539" s="19">
        <f>Historique!B539</f>
        <v>45163</v>
      </c>
      <c r="C539" s="13">
        <f>RL_NAV*($I$10*Historique!D539+$I$11*Historique!E539+$I$12*Historique!F539+$I$21*Historique!G539)</f>
        <v>332734.59067603777</v>
      </c>
      <c r="D539" s="13">
        <f>RL_NAV*($J$10*Historique!D539+$J$11*Historique!E539+$J$12*Historique!F539+$J$21*Historique!G539)</f>
        <v>382211.05546035501</v>
      </c>
      <c r="E539" s="20">
        <f t="shared" si="16"/>
        <v>0</v>
      </c>
      <c r="F539" s="20">
        <f t="shared" si="17"/>
        <v>0</v>
      </c>
    </row>
    <row r="540" spans="2:6" x14ac:dyDescent="0.2">
      <c r="B540" s="19">
        <f>Historique!B540</f>
        <v>45166</v>
      </c>
      <c r="C540" s="13">
        <f>RL_NAV*($I$10*Historique!D540+$I$11*Historique!E540+$I$12*Historique!F540+$I$21*Historique!G540)</f>
        <v>32673.377683468439</v>
      </c>
      <c r="D540" s="13">
        <f>RL_NAV*($J$10*Historique!D540+$J$11*Historique!E540+$J$12*Historique!F540+$J$21*Historique!G540)</f>
        <v>55136.464199483802</v>
      </c>
      <c r="E540" s="20">
        <f t="shared" si="16"/>
        <v>0</v>
      </c>
      <c r="F540" s="20">
        <f t="shared" si="17"/>
        <v>0</v>
      </c>
    </row>
    <row r="541" spans="2:6" x14ac:dyDescent="0.2">
      <c r="B541" s="19">
        <f>Historique!B541</f>
        <v>45167</v>
      </c>
      <c r="C541" s="13">
        <f>RL_NAV*($I$10*Historique!D541+$I$11*Historique!E541+$I$12*Historique!F541+$I$21*Historique!G541)</f>
        <v>3986981.6977971708</v>
      </c>
      <c r="D541" s="13">
        <f>RL_NAV*($J$10*Historique!D541+$J$11*Historique!E541+$J$12*Historique!F541+$J$21*Historique!G541)</f>
        <v>3932725.9458503602</v>
      </c>
      <c r="E541" s="20">
        <f t="shared" si="16"/>
        <v>0</v>
      </c>
      <c r="F541" s="20">
        <f t="shared" si="17"/>
        <v>0</v>
      </c>
    </row>
    <row r="542" spans="2:6" x14ac:dyDescent="0.2">
      <c r="B542" s="19">
        <f>Historique!B542</f>
        <v>45168</v>
      </c>
      <c r="C542" s="13">
        <f>RL_NAV*($I$10*Historique!D542+$I$11*Historique!E542+$I$12*Historique!F542+$I$21*Historique!G542)</f>
        <v>-5382643.4893370057</v>
      </c>
      <c r="D542" s="13">
        <f>RL_NAV*($J$10*Historique!D542+$J$11*Historique!E542+$J$12*Historique!F542+$J$21*Historique!G542)</f>
        <v>-5330327.8787890235</v>
      </c>
      <c r="E542" s="20">
        <f t="shared" si="16"/>
        <v>0</v>
      </c>
      <c r="F542" s="20">
        <f t="shared" si="17"/>
        <v>0</v>
      </c>
    </row>
    <row r="543" spans="2:6" x14ac:dyDescent="0.2">
      <c r="B543" s="19">
        <f>Historique!B543</f>
        <v>45169</v>
      </c>
      <c r="C543" s="13">
        <f>RL_NAV*($I$10*Historique!D543+$I$11*Historique!E543+$I$12*Historique!F543+$I$21*Historique!G543)</f>
        <v>-1264712.4116327008</v>
      </c>
      <c r="D543" s="13">
        <f>RL_NAV*($J$10*Historique!D543+$J$11*Historique!E543+$J$12*Historique!F543+$J$21*Historique!G543)</f>
        <v>-1292683.700425134</v>
      </c>
      <c r="E543" s="20">
        <f t="shared" si="16"/>
        <v>0</v>
      </c>
      <c r="F543" s="20">
        <f t="shared" si="17"/>
        <v>0</v>
      </c>
    </row>
    <row r="544" spans="2:6" x14ac:dyDescent="0.2">
      <c r="B544" s="19">
        <f>Historique!B544</f>
        <v>45170</v>
      </c>
      <c r="C544" s="13">
        <f>RL_NAV*($I$10*Historique!D544+$I$11*Historique!E544+$I$12*Historique!F544+$I$21*Historique!G544)</f>
        <v>4738009.3399452344</v>
      </c>
      <c r="D544" s="13">
        <f>RL_NAV*($J$10*Historique!D544+$J$11*Historique!E544+$J$12*Historique!F544+$J$21*Historique!G544)</f>
        <v>4620272.0393595165</v>
      </c>
      <c r="E544" s="20">
        <f t="shared" si="16"/>
        <v>0</v>
      </c>
      <c r="F544" s="20">
        <f t="shared" si="17"/>
        <v>0</v>
      </c>
    </row>
    <row r="545" spans="2:6" x14ac:dyDescent="0.2">
      <c r="B545" s="19">
        <f>Historique!B545</f>
        <v>45173</v>
      </c>
      <c r="C545" s="13">
        <f>RL_NAV*($I$10*Historique!D545+$I$11*Historique!E545+$I$12*Historique!F545+$I$21*Historique!G545)</f>
        <v>-1792121.3075832392</v>
      </c>
      <c r="D545" s="13">
        <f>RL_NAV*($J$10*Historique!D545+$J$11*Historique!E545+$J$12*Historique!F545+$J$21*Historique!G545)</f>
        <v>-1687236.4778972708</v>
      </c>
      <c r="E545" s="20">
        <f t="shared" si="16"/>
        <v>0</v>
      </c>
      <c r="F545" s="20">
        <f t="shared" si="17"/>
        <v>0</v>
      </c>
    </row>
    <row r="546" spans="2:6" x14ac:dyDescent="0.2">
      <c r="B546" s="19">
        <f>Historique!B546</f>
        <v>45174</v>
      </c>
      <c r="C546" s="13">
        <f>RL_NAV*($I$10*Historique!D546+$I$11*Historique!E546+$I$12*Historique!F546+$I$21*Historique!G546)</f>
        <v>2527678.7846235703</v>
      </c>
      <c r="D546" s="13">
        <f>RL_NAV*($J$10*Historique!D546+$J$11*Historique!E546+$J$12*Historique!F546+$J$21*Historique!G546)</f>
        <v>2485997.4642195143</v>
      </c>
      <c r="E546" s="20">
        <f t="shared" si="16"/>
        <v>0</v>
      </c>
      <c r="F546" s="20">
        <f t="shared" si="17"/>
        <v>0</v>
      </c>
    </row>
    <row r="547" spans="2:6" x14ac:dyDescent="0.2">
      <c r="B547" s="19">
        <f>Historique!B547</f>
        <v>45175</v>
      </c>
      <c r="C547" s="13">
        <f>RL_NAV*($I$10*Historique!D547+$I$11*Historique!E547+$I$12*Historique!F547+$I$21*Historique!G547)</f>
        <v>4653540.0984628964</v>
      </c>
      <c r="D547" s="13">
        <f>RL_NAV*($J$10*Historique!D547+$J$11*Historique!E547+$J$12*Historique!F547+$J$21*Historique!G547)</f>
        <v>4591367.5766183473</v>
      </c>
      <c r="E547" s="20">
        <f t="shared" si="16"/>
        <v>0</v>
      </c>
      <c r="F547" s="20">
        <f t="shared" si="17"/>
        <v>0</v>
      </c>
    </row>
    <row r="548" spans="2:6" x14ac:dyDescent="0.2">
      <c r="B548" s="19">
        <f>Historique!B548</f>
        <v>45176</v>
      </c>
      <c r="C548" s="13">
        <f>RL_NAV*($I$10*Historique!D548+$I$11*Historique!E548+$I$12*Historique!F548+$I$21*Historique!G548)</f>
        <v>7291699.6242685644</v>
      </c>
      <c r="D548" s="13">
        <f>RL_NAV*($J$10*Historique!D548+$J$11*Historique!E548+$J$12*Historique!F548+$J$21*Historique!G548)</f>
        <v>7193998.639629622</v>
      </c>
      <c r="E548" s="20">
        <f t="shared" si="16"/>
        <v>0</v>
      </c>
      <c r="F548" s="20">
        <f t="shared" si="17"/>
        <v>0</v>
      </c>
    </row>
    <row r="549" spans="2:6" x14ac:dyDescent="0.2">
      <c r="B549" s="19">
        <f>Historique!B549</f>
        <v>45177</v>
      </c>
      <c r="C549" s="13">
        <f>RL_NAV*($I$10*Historique!D549+$I$11*Historique!E549+$I$12*Historique!F549+$I$21*Historique!G549)</f>
        <v>-6326621.066644215</v>
      </c>
      <c r="D549" s="13">
        <f>RL_NAV*($J$10*Historique!D549+$J$11*Historique!E549+$J$12*Historique!F549+$J$21*Historique!G549)</f>
        <v>-6201426.8403385002</v>
      </c>
      <c r="E549" s="20">
        <f t="shared" si="16"/>
        <v>0</v>
      </c>
      <c r="F549" s="20">
        <f t="shared" si="17"/>
        <v>0</v>
      </c>
    </row>
    <row r="550" spans="2:6" x14ac:dyDescent="0.2">
      <c r="B550" s="19">
        <f>Historique!B550</f>
        <v>45180</v>
      </c>
      <c r="C550" s="13">
        <f>RL_NAV*($I$10*Historique!D550+$I$11*Historique!E550+$I$12*Historique!F550+$I$21*Historique!G550)</f>
        <v>-1096279.4811457698</v>
      </c>
      <c r="D550" s="13">
        <f>RL_NAV*($J$10*Historique!D550+$J$11*Historique!E550+$J$12*Historique!F550+$J$21*Historique!G550)</f>
        <v>-1099191.4144203023</v>
      </c>
      <c r="E550" s="20">
        <f t="shared" si="16"/>
        <v>0</v>
      </c>
      <c r="F550" s="20">
        <f t="shared" si="17"/>
        <v>0</v>
      </c>
    </row>
    <row r="551" spans="2:6" x14ac:dyDescent="0.2">
      <c r="B551" s="19">
        <f>Historique!B551</f>
        <v>45181</v>
      </c>
      <c r="C551" s="13">
        <f>RL_NAV*($I$10*Historique!D551+$I$11*Historique!E551+$I$12*Historique!F551+$I$21*Historique!G551)</f>
        <v>-2887694.5411279229</v>
      </c>
      <c r="D551" s="13">
        <f>RL_NAV*($J$10*Historique!D551+$J$11*Historique!E551+$J$12*Historique!F551+$J$21*Historique!G551)</f>
        <v>-2780838.4726275546</v>
      </c>
      <c r="E551" s="20">
        <f t="shared" si="16"/>
        <v>0</v>
      </c>
      <c r="F551" s="20">
        <f t="shared" si="17"/>
        <v>0</v>
      </c>
    </row>
    <row r="552" spans="2:6" x14ac:dyDescent="0.2">
      <c r="B552" s="19">
        <f>Historique!B552</f>
        <v>45182</v>
      </c>
      <c r="C552" s="13">
        <f>RL_NAV*($I$10*Historique!D552+$I$11*Historique!E552+$I$12*Historique!F552+$I$21*Historique!G552)</f>
        <v>-399846.85025799228</v>
      </c>
      <c r="D552" s="13">
        <f>RL_NAV*($J$10*Historique!D552+$J$11*Historique!E552+$J$12*Historique!F552+$J$21*Historique!G552)</f>
        <v>-337747.76203460916</v>
      </c>
      <c r="E552" s="20">
        <f t="shared" si="16"/>
        <v>0</v>
      </c>
      <c r="F552" s="20">
        <f t="shared" si="17"/>
        <v>0</v>
      </c>
    </row>
    <row r="553" spans="2:6" x14ac:dyDescent="0.2">
      <c r="B553" s="19">
        <f>Historique!B553</f>
        <v>45183</v>
      </c>
      <c r="C553" s="13">
        <f>RL_NAV*($I$10*Historique!D553+$I$11*Historique!E553+$I$12*Historique!F553+$I$21*Historique!G553)</f>
        <v>-2616614.6839420111</v>
      </c>
      <c r="D553" s="13">
        <f>RL_NAV*($J$10*Historique!D553+$J$11*Historique!E553+$J$12*Historique!F553+$J$21*Historique!G553)</f>
        <v>-2575657.7423415398</v>
      </c>
      <c r="E553" s="20">
        <f t="shared" si="16"/>
        <v>0</v>
      </c>
      <c r="F553" s="20">
        <f t="shared" si="17"/>
        <v>0</v>
      </c>
    </row>
    <row r="554" spans="2:6" x14ac:dyDescent="0.2">
      <c r="B554" s="19">
        <f>Historique!B554</f>
        <v>45184</v>
      </c>
      <c r="C554" s="13">
        <f>RL_NAV*($I$10*Historique!D554+$I$11*Historique!E554+$I$12*Historique!F554+$I$21*Historique!G554)</f>
        <v>-265143.28406951064</v>
      </c>
      <c r="D554" s="13">
        <f>RL_NAV*($J$10*Historique!D554+$J$11*Historique!E554+$J$12*Historique!F554+$J$21*Historique!G554)</f>
        <v>-174018.89575589763</v>
      </c>
      <c r="E554" s="20">
        <f t="shared" si="16"/>
        <v>0</v>
      </c>
      <c r="F554" s="20">
        <f t="shared" si="17"/>
        <v>0</v>
      </c>
    </row>
    <row r="555" spans="2:6" x14ac:dyDescent="0.2">
      <c r="B555" s="19">
        <f>Historique!B555</f>
        <v>45187</v>
      </c>
      <c r="C555" s="13">
        <f>RL_NAV*($I$10*Historique!D555+$I$11*Historique!E555+$I$12*Historique!F555+$I$21*Historique!G555)</f>
        <v>6055950.200746689</v>
      </c>
      <c r="D555" s="13">
        <f>RL_NAV*($J$10*Historique!D555+$J$11*Historique!E555+$J$12*Historique!F555+$J$21*Historique!G555)</f>
        <v>6014575.4167614942</v>
      </c>
      <c r="E555" s="20">
        <f t="shared" si="16"/>
        <v>0</v>
      </c>
      <c r="F555" s="20">
        <f t="shared" si="17"/>
        <v>0</v>
      </c>
    </row>
    <row r="556" spans="2:6" x14ac:dyDescent="0.2">
      <c r="B556" s="19">
        <f>Historique!B556</f>
        <v>45188</v>
      </c>
      <c r="C556" s="13">
        <f>RL_NAV*($I$10*Historique!D556+$I$11*Historique!E556+$I$12*Historique!F556+$I$21*Historique!G556)</f>
        <v>906553.2703009008</v>
      </c>
      <c r="D556" s="13">
        <f>RL_NAV*($J$10*Historique!D556+$J$11*Historique!E556+$J$12*Historique!F556+$J$21*Historique!G556)</f>
        <v>918656.2663518067</v>
      </c>
      <c r="E556" s="20">
        <f t="shared" si="16"/>
        <v>0</v>
      </c>
      <c r="F556" s="20">
        <f t="shared" si="17"/>
        <v>0</v>
      </c>
    </row>
    <row r="557" spans="2:6" x14ac:dyDescent="0.2">
      <c r="B557" s="19">
        <f>Historique!B557</f>
        <v>45189</v>
      </c>
      <c r="C557" s="13">
        <f>RL_NAV*($I$10*Historique!D557+$I$11*Historique!E557+$I$12*Historique!F557+$I$21*Historique!G557)</f>
        <v>-8566779.7543982901</v>
      </c>
      <c r="D557" s="13">
        <f>RL_NAV*($J$10*Historique!D557+$J$11*Historique!E557+$J$12*Historique!F557+$J$21*Historique!G557)</f>
        <v>-8381650.7107096594</v>
      </c>
      <c r="E557" s="20">
        <f t="shared" si="16"/>
        <v>0</v>
      </c>
      <c r="F557" s="20">
        <f t="shared" si="17"/>
        <v>0</v>
      </c>
    </row>
    <row r="558" spans="2:6" x14ac:dyDescent="0.2">
      <c r="B558" s="19">
        <f>Historique!B558</f>
        <v>45190</v>
      </c>
      <c r="C558" s="13">
        <f>RL_NAV*($I$10*Historique!D558+$I$11*Historique!E558+$I$12*Historique!F558+$I$21*Historique!G558)</f>
        <v>5984690.9742690846</v>
      </c>
      <c r="D558" s="13">
        <f>RL_NAV*($J$10*Historique!D558+$J$11*Historique!E558+$J$12*Historique!F558+$J$21*Historique!G558)</f>
        <v>5864028.3833099352</v>
      </c>
      <c r="E558" s="20">
        <f t="shared" si="16"/>
        <v>0</v>
      </c>
      <c r="F558" s="20">
        <f t="shared" si="17"/>
        <v>0</v>
      </c>
    </row>
    <row r="559" spans="2:6" x14ac:dyDescent="0.2">
      <c r="B559" s="19">
        <f>Historique!B559</f>
        <v>45191</v>
      </c>
      <c r="C559" s="13">
        <f>RL_NAV*($I$10*Historique!D559+$I$11*Historique!E559+$I$12*Historique!F559+$I$21*Historique!G559)</f>
        <v>1001903.7529101511</v>
      </c>
      <c r="D559" s="13">
        <f>RL_NAV*($J$10*Historique!D559+$J$11*Historique!E559+$J$12*Historique!F559+$J$21*Historique!G559)</f>
        <v>927455.58701479831</v>
      </c>
      <c r="E559" s="20">
        <f t="shared" si="16"/>
        <v>0</v>
      </c>
      <c r="F559" s="20">
        <f t="shared" si="17"/>
        <v>0</v>
      </c>
    </row>
    <row r="560" spans="2:6" x14ac:dyDescent="0.2">
      <c r="B560" s="19">
        <f>Historique!B560</f>
        <v>45194</v>
      </c>
      <c r="C560" s="13">
        <f>RL_NAV*($I$10*Historique!D560+$I$11*Historique!E560+$I$12*Historique!F560+$I$21*Historique!G560)</f>
        <v>3147406.1948099192</v>
      </c>
      <c r="D560" s="13">
        <f>RL_NAV*($J$10*Historique!D560+$J$11*Historique!E560+$J$12*Historique!F560+$J$21*Historique!G560)</f>
        <v>3120709.4441414238</v>
      </c>
      <c r="E560" s="20">
        <f t="shared" si="16"/>
        <v>0</v>
      </c>
      <c r="F560" s="20">
        <f t="shared" si="17"/>
        <v>0</v>
      </c>
    </row>
    <row r="561" spans="2:6" x14ac:dyDescent="0.2">
      <c r="B561" s="19">
        <f>Historique!B561</f>
        <v>45195</v>
      </c>
      <c r="C561" s="13">
        <f>RL_NAV*($I$10*Historique!D561+$I$11*Historique!E561+$I$12*Historique!F561+$I$21*Historique!G561)</f>
        <v>-111916.91779421142</v>
      </c>
      <c r="D561" s="13">
        <f>RL_NAV*($J$10*Historique!D561+$J$11*Historique!E561+$J$12*Historique!F561+$J$21*Historique!G561)</f>
        <v>-116166.12030090221</v>
      </c>
      <c r="E561" s="20">
        <f t="shared" si="16"/>
        <v>0</v>
      </c>
      <c r="F561" s="20">
        <f t="shared" si="17"/>
        <v>0</v>
      </c>
    </row>
    <row r="562" spans="2:6" x14ac:dyDescent="0.2">
      <c r="B562" s="19">
        <f>Historique!B562</f>
        <v>45196</v>
      </c>
      <c r="C562" s="13">
        <f>RL_NAV*($I$10*Historique!D562+$I$11*Historique!E562+$I$12*Historique!F562+$I$21*Historique!G562)</f>
        <v>6246515.0814365121</v>
      </c>
      <c r="D562" s="13">
        <f>RL_NAV*($J$10*Historique!D562+$J$11*Historique!E562+$J$12*Historique!F562+$J$21*Historique!G562)</f>
        <v>6054773.2879187353</v>
      </c>
      <c r="E562" s="20">
        <f t="shared" si="16"/>
        <v>0</v>
      </c>
      <c r="F562" s="20">
        <f t="shared" si="17"/>
        <v>0</v>
      </c>
    </row>
    <row r="563" spans="2:6" x14ac:dyDescent="0.2">
      <c r="B563" s="19">
        <f>Historique!B563</f>
        <v>45197</v>
      </c>
      <c r="C563" s="13">
        <f>RL_NAV*($I$10*Historique!D563+$I$11*Historique!E563+$I$12*Historique!F563+$I$21*Historique!G563)</f>
        <v>13902950.949699854</v>
      </c>
      <c r="D563" s="13">
        <f>RL_NAV*($J$10*Historique!D563+$J$11*Historique!E563+$J$12*Historique!F563+$J$21*Historique!G563)</f>
        <v>13773956.447834268</v>
      </c>
      <c r="E563" s="20">
        <f t="shared" si="16"/>
        <v>0</v>
      </c>
      <c r="F563" s="20">
        <f t="shared" si="17"/>
        <v>0</v>
      </c>
    </row>
    <row r="564" spans="2:6" x14ac:dyDescent="0.2">
      <c r="B564" s="19">
        <f>Historique!B564</f>
        <v>45198</v>
      </c>
      <c r="C564" s="13">
        <f>RL_NAV*($I$10*Historique!D564+$I$11*Historique!E564+$I$12*Historique!F564+$I$21*Historique!G564)</f>
        <v>-10994182.585961038</v>
      </c>
      <c r="D564" s="13">
        <f>RL_NAV*($J$10*Historique!D564+$J$11*Historique!E564+$J$12*Historique!F564+$J$21*Historique!G564)</f>
        <v>-10929652.51046551</v>
      </c>
      <c r="E564" s="20">
        <f t="shared" si="16"/>
        <v>0</v>
      </c>
      <c r="F564" s="20">
        <f t="shared" si="17"/>
        <v>0</v>
      </c>
    </row>
    <row r="565" spans="2:6" x14ac:dyDescent="0.2">
      <c r="B565" s="19">
        <f>Historique!B565</f>
        <v>45201</v>
      </c>
      <c r="C565" s="13">
        <f>RL_NAV*($I$10*Historique!D565+$I$11*Historique!E565+$I$12*Historique!F565+$I$21*Historique!G565)</f>
        <v>-4401729.6423134767</v>
      </c>
      <c r="D565" s="13">
        <f>RL_NAV*($J$10*Historique!D565+$J$11*Historique!E565+$J$12*Historique!F565+$J$21*Historique!G565)</f>
        <v>-4231283.0053523164</v>
      </c>
      <c r="E565" s="20">
        <f t="shared" si="16"/>
        <v>0</v>
      </c>
      <c r="F565" s="20">
        <f t="shared" si="17"/>
        <v>0</v>
      </c>
    </row>
    <row r="566" spans="2:6" x14ac:dyDescent="0.2">
      <c r="B566" s="19">
        <f>Historique!B566</f>
        <v>45202</v>
      </c>
      <c r="C566" s="13">
        <f>RL_NAV*($I$10*Historique!D566+$I$11*Historique!E566+$I$12*Historique!F566+$I$21*Historique!G566)</f>
        <v>2490126.3556432645</v>
      </c>
      <c r="D566" s="13">
        <f>RL_NAV*($J$10*Historique!D566+$J$11*Historique!E566+$J$12*Historique!F566+$J$21*Historique!G566)</f>
        <v>2446508.2941917786</v>
      </c>
      <c r="E566" s="20">
        <f t="shared" si="16"/>
        <v>0</v>
      </c>
      <c r="F566" s="20">
        <f t="shared" si="17"/>
        <v>0</v>
      </c>
    </row>
    <row r="567" spans="2:6" x14ac:dyDescent="0.2">
      <c r="B567" s="19">
        <f>Historique!B567</f>
        <v>45203</v>
      </c>
      <c r="C567" s="13">
        <f>RL_NAV*($I$10*Historique!D567+$I$11*Historique!E567+$I$12*Historique!F567+$I$21*Historique!G567)</f>
        <v>10012028.325150488</v>
      </c>
      <c r="D567" s="13">
        <f>RL_NAV*($J$10*Historique!D567+$J$11*Historique!E567+$J$12*Historique!F567+$J$21*Historique!G567)</f>
        <v>9801479.7699015494</v>
      </c>
      <c r="E567" s="20">
        <f t="shared" si="16"/>
        <v>0</v>
      </c>
      <c r="F567" s="20">
        <f t="shared" si="17"/>
        <v>0</v>
      </c>
    </row>
    <row r="568" spans="2:6" x14ac:dyDescent="0.2">
      <c r="B568" s="19">
        <f>Historique!B568</f>
        <v>45204</v>
      </c>
      <c r="C568" s="13">
        <f>RL_NAV*($I$10*Historique!D568+$I$11*Historique!E568+$I$12*Historique!F568+$I$21*Historique!G568)</f>
        <v>-7073592.0896311216</v>
      </c>
      <c r="D568" s="13">
        <f>RL_NAV*($J$10*Historique!D568+$J$11*Historique!E568+$J$12*Historique!F568+$J$21*Historique!G568)</f>
        <v>-7001200.3921156228</v>
      </c>
      <c r="E568" s="20">
        <f t="shared" si="16"/>
        <v>0</v>
      </c>
      <c r="F568" s="20">
        <f t="shared" si="17"/>
        <v>0</v>
      </c>
    </row>
    <row r="569" spans="2:6" x14ac:dyDescent="0.2">
      <c r="B569" s="19">
        <f>Historique!B569</f>
        <v>45205</v>
      </c>
      <c r="C569" s="13">
        <f>RL_NAV*($I$10*Historique!D569+$I$11*Historique!E569+$I$12*Historique!F569+$I$21*Historique!G569)</f>
        <v>7094027.5974113895</v>
      </c>
      <c r="D569" s="13">
        <f>RL_NAV*($J$10*Historique!D569+$J$11*Historique!E569+$J$12*Historique!F569+$J$21*Historique!G569)</f>
        <v>6909326.2787531503</v>
      </c>
      <c r="E569" s="20">
        <f t="shared" si="16"/>
        <v>0</v>
      </c>
      <c r="F569" s="20">
        <f t="shared" si="17"/>
        <v>0</v>
      </c>
    </row>
    <row r="570" spans="2:6" x14ac:dyDescent="0.2">
      <c r="B570" s="19">
        <f>Historique!B570</f>
        <v>45208</v>
      </c>
      <c r="C570" s="13">
        <f>RL_NAV*($I$10*Historique!D570+$I$11*Historique!E570+$I$12*Historique!F570+$I$21*Historique!G570)</f>
        <v>-2571624.9325591787</v>
      </c>
      <c r="D570" s="13">
        <f>RL_NAV*($J$10*Historique!D570+$J$11*Historique!E570+$J$12*Historique!F570+$J$21*Historique!G570)</f>
        <v>-2612836.9047760195</v>
      </c>
      <c r="E570" s="20">
        <f t="shared" si="16"/>
        <v>0</v>
      </c>
      <c r="F570" s="20">
        <f t="shared" si="17"/>
        <v>0</v>
      </c>
    </row>
    <row r="571" spans="2:6" x14ac:dyDescent="0.2">
      <c r="B571" s="19">
        <f>Historique!B571</f>
        <v>45209</v>
      </c>
      <c r="C571" s="13">
        <f>RL_NAV*($I$10*Historique!D571+$I$11*Historique!E571+$I$12*Historique!F571+$I$21*Historique!G571)</f>
        <v>-941529.62712966721</v>
      </c>
      <c r="D571" s="13">
        <f>RL_NAV*($J$10*Historique!D571+$J$11*Historique!E571+$J$12*Historique!F571+$J$21*Historique!G571)</f>
        <v>-927818.79716774658</v>
      </c>
      <c r="E571" s="20">
        <f t="shared" si="16"/>
        <v>0</v>
      </c>
      <c r="F571" s="20">
        <f t="shared" si="17"/>
        <v>0</v>
      </c>
    </row>
    <row r="572" spans="2:6" x14ac:dyDescent="0.2">
      <c r="B572" s="19">
        <f>Historique!B572</f>
        <v>45210</v>
      </c>
      <c r="C572" s="13">
        <f>RL_NAV*($I$10*Historique!D572+$I$11*Historique!E572+$I$12*Historique!F572+$I$21*Historique!G572)</f>
        <v>-6419022.6626201589</v>
      </c>
      <c r="D572" s="13">
        <f>RL_NAV*($J$10*Historique!D572+$J$11*Historique!E572+$J$12*Historique!F572+$J$21*Historique!G572)</f>
        <v>-6311705.4084305959</v>
      </c>
      <c r="E572" s="20">
        <f t="shared" si="16"/>
        <v>0</v>
      </c>
      <c r="F572" s="20">
        <f t="shared" si="17"/>
        <v>0</v>
      </c>
    </row>
    <row r="573" spans="2:6" x14ac:dyDescent="0.2">
      <c r="B573" s="19">
        <f>Historique!B573</f>
        <v>45211</v>
      </c>
      <c r="C573" s="13">
        <f>RL_NAV*($I$10*Historique!D573+$I$11*Historique!E573+$I$12*Historique!F573+$I$21*Historique!G573)</f>
        <v>-2571127.2622052915</v>
      </c>
      <c r="D573" s="13">
        <f>RL_NAV*($J$10*Historique!D573+$J$11*Historique!E573+$J$12*Historique!F573+$J$21*Historique!G573)</f>
        <v>-2458550.8444977663</v>
      </c>
      <c r="E573" s="20">
        <f t="shared" si="16"/>
        <v>0</v>
      </c>
      <c r="F573" s="20">
        <f t="shared" si="17"/>
        <v>0</v>
      </c>
    </row>
    <row r="574" spans="2:6" x14ac:dyDescent="0.2">
      <c r="B574" s="19">
        <f>Historique!B574</f>
        <v>45212</v>
      </c>
      <c r="C574" s="13">
        <f>RL_NAV*($I$10*Historique!D574+$I$11*Historique!E574+$I$12*Historique!F574+$I$21*Historique!G574)</f>
        <v>7312493.1906609228</v>
      </c>
      <c r="D574" s="13">
        <f>RL_NAV*($J$10*Historique!D574+$J$11*Historique!E574+$J$12*Historique!F574+$J$21*Historique!G574)</f>
        <v>7149588.2649490507</v>
      </c>
      <c r="E574" s="20">
        <f t="shared" si="16"/>
        <v>0</v>
      </c>
      <c r="F574" s="20">
        <f t="shared" si="17"/>
        <v>0</v>
      </c>
    </row>
    <row r="575" spans="2:6" x14ac:dyDescent="0.2">
      <c r="B575" s="19">
        <f>Historique!B575</f>
        <v>45215</v>
      </c>
      <c r="C575" s="13">
        <f>RL_NAV*($I$10*Historique!D575+$I$11*Historique!E575+$I$12*Historique!F575+$I$21*Historique!G575)</f>
        <v>-1453479.6000187632</v>
      </c>
      <c r="D575" s="13">
        <f>RL_NAV*($J$10*Historique!D575+$J$11*Historique!E575+$J$12*Historique!F575+$J$21*Historique!G575)</f>
        <v>-1424343.3355732351</v>
      </c>
      <c r="E575" s="20">
        <f t="shared" si="16"/>
        <v>0</v>
      </c>
      <c r="F575" s="20">
        <f t="shared" si="17"/>
        <v>0</v>
      </c>
    </row>
    <row r="576" spans="2:6" x14ac:dyDescent="0.2">
      <c r="B576" s="19">
        <f>Historique!B576</f>
        <v>45216</v>
      </c>
      <c r="C576" s="13">
        <f>RL_NAV*($I$10*Historique!D576+$I$11*Historique!E576+$I$12*Historique!F576+$I$21*Historique!G576)</f>
        <v>8480766.951574184</v>
      </c>
      <c r="D576" s="13">
        <f>RL_NAV*($J$10*Historique!D576+$J$11*Historique!E576+$J$12*Historique!F576+$J$21*Historique!G576)</f>
        <v>8369349.5604530312</v>
      </c>
      <c r="E576" s="20">
        <f t="shared" si="16"/>
        <v>0</v>
      </c>
      <c r="F576" s="20">
        <f t="shared" si="17"/>
        <v>0</v>
      </c>
    </row>
    <row r="577" spans="2:6" x14ac:dyDescent="0.2">
      <c r="B577" s="19">
        <f>Historique!B577</f>
        <v>45217</v>
      </c>
      <c r="C577" s="13">
        <f>RL_NAV*($I$10*Historique!D577+$I$11*Historique!E577+$I$12*Historique!F577+$I$21*Historique!G577)</f>
        <v>-1584839.5057179269</v>
      </c>
      <c r="D577" s="13">
        <f>RL_NAV*($J$10*Historique!D577+$J$11*Historique!E577+$J$12*Historique!F577+$J$21*Historique!G577)</f>
        <v>-1523912.0664622872</v>
      </c>
      <c r="E577" s="20">
        <f t="shared" si="16"/>
        <v>0</v>
      </c>
      <c r="F577" s="20">
        <f t="shared" si="17"/>
        <v>0</v>
      </c>
    </row>
    <row r="578" spans="2:6" x14ac:dyDescent="0.2">
      <c r="B578" s="19">
        <f>Historique!B578</f>
        <v>45218</v>
      </c>
      <c r="C578" s="13">
        <f>RL_NAV*($I$10*Historique!D578+$I$11*Historique!E578+$I$12*Historique!F578+$I$21*Historique!G578)</f>
        <v>11605785.081317443</v>
      </c>
      <c r="D578" s="13">
        <f>RL_NAV*($J$10*Historique!D578+$J$11*Historique!E578+$J$12*Historique!F578+$J$21*Historique!G578)</f>
        <v>11405059.923350563</v>
      </c>
      <c r="E578" s="20">
        <f t="shared" si="16"/>
        <v>0</v>
      </c>
      <c r="F578" s="20">
        <f t="shared" si="17"/>
        <v>0</v>
      </c>
    </row>
    <row r="579" spans="2:6" x14ac:dyDescent="0.2">
      <c r="B579" s="19">
        <f>Historique!B579</f>
        <v>45219</v>
      </c>
      <c r="C579" s="13">
        <f>RL_NAV*($I$10*Historique!D579+$I$11*Historique!E579+$I$12*Historique!F579+$I$21*Historique!G579)</f>
        <v>-616369.66156180471</v>
      </c>
      <c r="D579" s="13">
        <f>RL_NAV*($J$10*Historique!D579+$J$11*Historique!E579+$J$12*Historique!F579+$J$21*Historique!G579)</f>
        <v>-741670.65549900546</v>
      </c>
      <c r="E579" s="20">
        <f t="shared" si="16"/>
        <v>0</v>
      </c>
      <c r="F579" s="20">
        <f t="shared" si="17"/>
        <v>0</v>
      </c>
    </row>
    <row r="580" spans="2:6" x14ac:dyDescent="0.2">
      <c r="B580" s="19">
        <f>Historique!B580</f>
        <v>45222</v>
      </c>
      <c r="C580" s="13">
        <f>RL_NAV*($I$10*Historique!D580+$I$11*Historique!E580+$I$12*Historique!F580+$I$21*Historique!G580)</f>
        <v>-911954.04703354207</v>
      </c>
      <c r="D580" s="13">
        <f>RL_NAV*($J$10*Historique!D580+$J$11*Historique!E580+$J$12*Historique!F580+$J$21*Historique!G580)</f>
        <v>-828752.86448251375</v>
      </c>
      <c r="E580" s="20">
        <f t="shared" si="16"/>
        <v>0</v>
      </c>
      <c r="F580" s="20">
        <f t="shared" si="17"/>
        <v>0</v>
      </c>
    </row>
    <row r="581" spans="2:6" x14ac:dyDescent="0.2">
      <c r="B581" s="19">
        <f>Historique!B581</f>
        <v>45223</v>
      </c>
      <c r="C581" s="13">
        <f>RL_NAV*($I$10*Historique!D581+$I$11*Historique!E581+$I$12*Historique!F581+$I$21*Historique!G581)</f>
        <v>2088806.7205921328</v>
      </c>
      <c r="D581" s="13">
        <f>RL_NAV*($J$10*Historique!D581+$J$11*Historique!E581+$J$12*Historique!F581+$J$21*Historique!G581)</f>
        <v>1918622.5011891134</v>
      </c>
      <c r="E581" s="20">
        <f t="shared" si="16"/>
        <v>0</v>
      </c>
      <c r="F581" s="20">
        <f t="shared" si="17"/>
        <v>0</v>
      </c>
    </row>
    <row r="582" spans="2:6" x14ac:dyDescent="0.2">
      <c r="B582" s="19">
        <f>Historique!B582</f>
        <v>45224</v>
      </c>
      <c r="C582" s="13">
        <f>RL_NAV*($I$10*Historique!D582+$I$11*Historique!E582+$I$12*Historique!F582+$I$21*Historique!G582)</f>
        <v>-10461195.740742596</v>
      </c>
      <c r="D582" s="13">
        <f>RL_NAV*($J$10*Historique!D582+$J$11*Historique!E582+$J$12*Historique!F582+$J$21*Historique!G582)</f>
        <v>-10163038.686354486</v>
      </c>
      <c r="E582" s="20">
        <f t="shared" si="16"/>
        <v>0</v>
      </c>
      <c r="F582" s="20">
        <f t="shared" si="17"/>
        <v>0</v>
      </c>
    </row>
    <row r="583" spans="2:6" x14ac:dyDescent="0.2">
      <c r="B583" s="19">
        <f>Historique!B583</f>
        <v>45225</v>
      </c>
      <c r="C583" s="13">
        <f>RL_NAV*($I$10*Historique!D583+$I$11*Historique!E583+$I$12*Historique!F583+$I$21*Historique!G583)</f>
        <v>-315880.37511801952</v>
      </c>
      <c r="D583" s="13">
        <f>RL_NAV*($J$10*Historique!D583+$J$11*Historique!E583+$J$12*Historique!F583+$J$21*Historique!G583)</f>
        <v>-371761.75847541832</v>
      </c>
      <c r="E583" s="20">
        <f t="shared" ref="E583:E646" si="18">IF(C583&gt;$I$9,1,IF(C583=$I$9,($I$8-$I$18)/$I$19,0))/$I$8</f>
        <v>0</v>
      </c>
      <c r="F583" s="20">
        <f t="shared" ref="F583:F646" si="19">IF(D583&gt;$J$9,1,IF(D583=$J$9,($J$8-$J$18)/$J$19,0))/$J$8</f>
        <v>0</v>
      </c>
    </row>
    <row r="584" spans="2:6" x14ac:dyDescent="0.2">
      <c r="B584" s="19">
        <f>Historique!B584</f>
        <v>45226</v>
      </c>
      <c r="C584" s="13">
        <f>RL_NAV*($I$10*Historique!D584+$I$11*Historique!E584+$I$12*Historique!F584+$I$21*Historique!G584)</f>
        <v>292060.08118041034</v>
      </c>
      <c r="D584" s="13">
        <f>RL_NAV*($J$10*Historique!D584+$J$11*Historique!E584+$J$12*Historique!F584+$J$21*Historique!G584)</f>
        <v>259495.06744582357</v>
      </c>
      <c r="E584" s="20">
        <f t="shared" si="18"/>
        <v>0</v>
      </c>
      <c r="F584" s="20">
        <f t="shared" si="19"/>
        <v>0</v>
      </c>
    </row>
    <row r="585" spans="2:6" x14ac:dyDescent="0.2">
      <c r="B585" s="19">
        <f>Historique!B585</f>
        <v>45229</v>
      </c>
      <c r="C585" s="13">
        <f>RL_NAV*($I$10*Historique!D585+$I$11*Historique!E585+$I$12*Historique!F585+$I$21*Historique!G585)</f>
        <v>-4540840.3071134435</v>
      </c>
      <c r="D585" s="13">
        <f>RL_NAV*($J$10*Historique!D585+$J$11*Historique!E585+$J$12*Historique!F585+$J$21*Historique!G585)</f>
        <v>-4419133.8127447069</v>
      </c>
      <c r="E585" s="20">
        <f t="shared" si="18"/>
        <v>0</v>
      </c>
      <c r="F585" s="20">
        <f t="shared" si="19"/>
        <v>0</v>
      </c>
    </row>
    <row r="586" spans="2:6" x14ac:dyDescent="0.2">
      <c r="B586" s="19">
        <f>Historique!B586</f>
        <v>45230</v>
      </c>
      <c r="C586" s="13">
        <f>RL_NAV*($I$10*Historique!D586+$I$11*Historique!E586+$I$12*Historique!F586+$I$21*Historique!G586)</f>
        <v>-8038947.8505779263</v>
      </c>
      <c r="D586" s="13">
        <f>RL_NAV*($J$10*Historique!D586+$J$11*Historique!E586+$J$12*Historique!F586+$J$21*Historique!G586)</f>
        <v>-7924713.0312360125</v>
      </c>
      <c r="E586" s="20">
        <f t="shared" si="18"/>
        <v>0</v>
      </c>
      <c r="F586" s="20">
        <f t="shared" si="19"/>
        <v>0</v>
      </c>
    </row>
    <row r="587" spans="2:6" x14ac:dyDescent="0.2">
      <c r="B587" s="19">
        <f>Historique!B587</f>
        <v>45231</v>
      </c>
      <c r="C587" s="13">
        <f>RL_NAV*($I$10*Historique!D587+$I$11*Historique!E587+$I$12*Historique!F587+$I$21*Historique!G587)</f>
        <v>-8732077.7667781822</v>
      </c>
      <c r="D587" s="13">
        <f>RL_NAV*($J$10*Historique!D587+$J$11*Historique!E587+$J$12*Historique!F587+$J$21*Historique!G587)</f>
        <v>-8517463.7248668689</v>
      </c>
      <c r="E587" s="20">
        <f t="shared" si="18"/>
        <v>0</v>
      </c>
      <c r="F587" s="20">
        <f t="shared" si="19"/>
        <v>0</v>
      </c>
    </row>
    <row r="588" spans="2:6" x14ac:dyDescent="0.2">
      <c r="B588" s="19">
        <f>Historique!B588</f>
        <v>45232</v>
      </c>
      <c r="C588" s="13">
        <f>RL_NAV*($I$10*Historique!D588+$I$11*Historique!E588+$I$12*Historique!F588+$I$21*Historique!G588)</f>
        <v>-11476123.119810177</v>
      </c>
      <c r="D588" s="13">
        <f>RL_NAV*($J$10*Historique!D588+$J$11*Historique!E588+$J$12*Historique!F588+$J$21*Historique!G588)</f>
        <v>-11249294.224790452</v>
      </c>
      <c r="E588" s="20">
        <f t="shared" si="18"/>
        <v>0</v>
      </c>
      <c r="F588" s="20">
        <f t="shared" si="19"/>
        <v>0</v>
      </c>
    </row>
    <row r="589" spans="2:6" x14ac:dyDescent="0.2">
      <c r="B589" s="19">
        <f>Historique!B589</f>
        <v>45233</v>
      </c>
      <c r="C589" s="13">
        <f>RL_NAV*($I$10*Historique!D589+$I$11*Historique!E589+$I$12*Historique!F589+$I$21*Historique!G589)</f>
        <v>-10528341.089662557</v>
      </c>
      <c r="D589" s="13">
        <f>RL_NAV*($J$10*Historique!D589+$J$11*Historique!E589+$J$12*Historique!F589+$J$21*Historique!G589)</f>
        <v>-10292660.41200519</v>
      </c>
      <c r="E589" s="20">
        <f t="shared" si="18"/>
        <v>0</v>
      </c>
      <c r="F589" s="20">
        <f t="shared" si="19"/>
        <v>0</v>
      </c>
    </row>
    <row r="590" spans="2:6" x14ac:dyDescent="0.2">
      <c r="B590" s="19">
        <f>Historique!B590</f>
        <v>45236</v>
      </c>
      <c r="C590" s="13">
        <f>RL_NAV*($I$10*Historique!D590+$I$11*Historique!E590+$I$12*Historique!F590+$I$21*Historique!G590)</f>
        <v>4291910.6712537594</v>
      </c>
      <c r="D590" s="13">
        <f>RL_NAV*($J$10*Historique!D590+$J$11*Historique!E590+$J$12*Historique!F590+$J$21*Historique!G590)</f>
        <v>4274552.9149198858</v>
      </c>
      <c r="E590" s="20">
        <f t="shared" si="18"/>
        <v>0</v>
      </c>
      <c r="F590" s="20">
        <f t="shared" si="19"/>
        <v>0</v>
      </c>
    </row>
    <row r="591" spans="2:6" x14ac:dyDescent="0.2">
      <c r="B591" s="19">
        <f>Historique!B591</f>
        <v>45237</v>
      </c>
      <c r="C591" s="13">
        <f>RL_NAV*($I$10*Historique!D591+$I$11*Historique!E591+$I$12*Historique!F591+$I$21*Historique!G591)</f>
        <v>3951029.7026869981</v>
      </c>
      <c r="D591" s="13">
        <f>RL_NAV*($J$10*Historique!D591+$J$11*Historique!E591+$J$12*Historique!F591+$J$21*Historique!G591)</f>
        <v>3812423.8264059438</v>
      </c>
      <c r="E591" s="20">
        <f t="shared" si="18"/>
        <v>0</v>
      </c>
      <c r="F591" s="20">
        <f t="shared" si="19"/>
        <v>0</v>
      </c>
    </row>
    <row r="592" spans="2:6" x14ac:dyDescent="0.2">
      <c r="B592" s="19">
        <f>Historique!B592</f>
        <v>45238</v>
      </c>
      <c r="C592" s="13">
        <f>RL_NAV*($I$10*Historique!D592+$I$11*Historique!E592+$I$12*Historique!F592+$I$21*Historique!G592)</f>
        <v>-3967434.8929809663</v>
      </c>
      <c r="D592" s="13">
        <f>RL_NAV*($J$10*Historique!D592+$J$11*Historique!E592+$J$12*Historique!F592+$J$21*Historique!G592)</f>
        <v>-3915613.3777300953</v>
      </c>
      <c r="E592" s="20">
        <f t="shared" si="18"/>
        <v>0</v>
      </c>
      <c r="F592" s="20">
        <f t="shared" si="19"/>
        <v>0</v>
      </c>
    </row>
    <row r="593" spans="2:6" x14ac:dyDescent="0.2">
      <c r="B593" s="19">
        <f>Historique!B593</f>
        <v>45239</v>
      </c>
      <c r="C593" s="13">
        <f>RL_NAV*($I$10*Historique!D593+$I$11*Historique!E593+$I$12*Historique!F593+$I$21*Historique!G593)</f>
        <v>-1661858.9662463649</v>
      </c>
      <c r="D593" s="13">
        <f>RL_NAV*($J$10*Historique!D593+$J$11*Historique!E593+$J$12*Historique!F593+$J$21*Historique!G593)</f>
        <v>-1602095.5173557899</v>
      </c>
      <c r="E593" s="20">
        <f t="shared" si="18"/>
        <v>0</v>
      </c>
      <c r="F593" s="20">
        <f t="shared" si="19"/>
        <v>0</v>
      </c>
    </row>
    <row r="594" spans="2:6" x14ac:dyDescent="0.2">
      <c r="B594" s="19">
        <f>Historique!B594</f>
        <v>45240</v>
      </c>
      <c r="C594" s="13">
        <f>RL_NAV*($I$10*Historique!D594+$I$11*Historique!E594+$I$12*Historique!F594+$I$21*Historique!G594)</f>
        <v>-836077.47082301218</v>
      </c>
      <c r="D594" s="13">
        <f>RL_NAV*($J$10*Historique!D594+$J$11*Historique!E594+$J$12*Historique!F594+$J$21*Historique!G594)</f>
        <v>-748508.00875204382</v>
      </c>
      <c r="E594" s="20">
        <f t="shared" si="18"/>
        <v>0</v>
      </c>
      <c r="F594" s="20">
        <f t="shared" si="19"/>
        <v>0</v>
      </c>
    </row>
    <row r="595" spans="2:6" x14ac:dyDescent="0.2">
      <c r="B595" s="19">
        <f>Historique!B595</f>
        <v>45243</v>
      </c>
      <c r="C595" s="13">
        <f>RL_NAV*($I$10*Historique!D595+$I$11*Historique!E595+$I$12*Historique!F595+$I$21*Historique!G595)</f>
        <v>5703093.2919733077</v>
      </c>
      <c r="D595" s="13">
        <f>RL_NAV*($J$10*Historique!D595+$J$11*Historique!E595+$J$12*Historique!F595+$J$21*Historique!G595)</f>
        <v>5611378.9576596748</v>
      </c>
      <c r="E595" s="20">
        <f t="shared" si="18"/>
        <v>0</v>
      </c>
      <c r="F595" s="20">
        <f t="shared" si="19"/>
        <v>0</v>
      </c>
    </row>
    <row r="596" spans="2:6" x14ac:dyDescent="0.2">
      <c r="B596" s="19">
        <f>Historique!B596</f>
        <v>45244</v>
      </c>
      <c r="C596" s="13">
        <f>RL_NAV*($I$10*Historique!D596+$I$11*Historique!E596+$I$12*Historique!F596+$I$21*Historique!G596)</f>
        <v>-11992993.015115097</v>
      </c>
      <c r="D596" s="13">
        <f>RL_NAV*($J$10*Historique!D596+$J$11*Historique!E596+$J$12*Historique!F596+$J$21*Historique!G596)</f>
        <v>-11801290.1720125</v>
      </c>
      <c r="E596" s="20">
        <f t="shared" si="18"/>
        <v>0</v>
      </c>
      <c r="F596" s="20">
        <f t="shared" si="19"/>
        <v>0</v>
      </c>
    </row>
    <row r="597" spans="2:6" x14ac:dyDescent="0.2">
      <c r="B597" s="19">
        <f>Historique!B597</f>
        <v>45245</v>
      </c>
      <c r="C597" s="13">
        <f>RL_NAV*($I$10*Historique!D597+$I$11*Historique!E597+$I$12*Historique!F597+$I$21*Historique!G597)</f>
        <v>-7974520.1644060183</v>
      </c>
      <c r="D597" s="13">
        <f>RL_NAV*($J$10*Historique!D597+$J$11*Historique!E597+$J$12*Historique!F597+$J$21*Historique!G597)</f>
        <v>-7805578.7668561591</v>
      </c>
      <c r="E597" s="20">
        <f t="shared" si="18"/>
        <v>0</v>
      </c>
      <c r="F597" s="20">
        <f t="shared" si="19"/>
        <v>0</v>
      </c>
    </row>
    <row r="598" spans="2:6" x14ac:dyDescent="0.2">
      <c r="B598" s="19">
        <f>Historique!B598</f>
        <v>45246</v>
      </c>
      <c r="C598" s="13">
        <f>RL_NAV*($I$10*Historique!D598+$I$11*Historique!E598+$I$12*Historique!F598+$I$21*Historique!G598)</f>
        <v>-8786209.5426773075</v>
      </c>
      <c r="D598" s="13">
        <f>RL_NAV*($J$10*Historique!D598+$J$11*Historique!E598+$J$12*Historique!F598+$J$21*Historique!G598)</f>
        <v>-8625926.5298381951</v>
      </c>
      <c r="E598" s="20">
        <f t="shared" si="18"/>
        <v>0</v>
      </c>
      <c r="F598" s="20">
        <f t="shared" si="19"/>
        <v>0</v>
      </c>
    </row>
    <row r="599" spans="2:6" x14ac:dyDescent="0.2">
      <c r="B599" s="19">
        <f>Historique!B599</f>
        <v>45247</v>
      </c>
      <c r="C599" s="13">
        <f>RL_NAV*($I$10*Historique!D599+$I$11*Historique!E599+$I$12*Historique!F599+$I$21*Historique!G599)</f>
        <v>8790954.4494447615</v>
      </c>
      <c r="D599" s="13">
        <f>RL_NAV*($J$10*Historique!D599+$J$11*Historique!E599+$J$12*Historique!F599+$J$21*Historique!G599)</f>
        <v>8534432.1174479723</v>
      </c>
      <c r="E599" s="20">
        <f t="shared" si="18"/>
        <v>0</v>
      </c>
      <c r="F599" s="20">
        <f t="shared" si="19"/>
        <v>0</v>
      </c>
    </row>
    <row r="600" spans="2:6" x14ac:dyDescent="0.2">
      <c r="B600" s="19">
        <f>Historique!B600</f>
        <v>45250</v>
      </c>
      <c r="C600" s="13">
        <f>RL_NAV*($I$10*Historique!D600+$I$11*Historique!E600+$I$12*Historique!F600+$I$21*Historique!G600)</f>
        <v>2387376.4844539142</v>
      </c>
      <c r="D600" s="13">
        <f>RL_NAV*($J$10*Historique!D600+$J$11*Historique!E600+$J$12*Historique!F600+$J$21*Historique!G600)</f>
        <v>2396137.457646552</v>
      </c>
      <c r="E600" s="20">
        <f t="shared" si="18"/>
        <v>0</v>
      </c>
      <c r="F600" s="20">
        <f t="shared" si="19"/>
        <v>0</v>
      </c>
    </row>
    <row r="601" spans="2:6" x14ac:dyDescent="0.2">
      <c r="B601" s="19">
        <f>Historique!B601</f>
        <v>45251</v>
      </c>
      <c r="C601" s="13">
        <f>RL_NAV*($I$10*Historique!D601+$I$11*Historique!E601+$I$12*Historique!F601+$I$21*Historique!G601)</f>
        <v>-4896556.020860251</v>
      </c>
      <c r="D601" s="13">
        <f>RL_NAV*($J$10*Historique!D601+$J$11*Historique!E601+$J$12*Historique!F601+$J$21*Historique!G601)</f>
        <v>-4803283.1980755832</v>
      </c>
      <c r="E601" s="20">
        <f t="shared" si="18"/>
        <v>0</v>
      </c>
      <c r="F601" s="20">
        <f t="shared" si="19"/>
        <v>0</v>
      </c>
    </row>
    <row r="602" spans="2:6" x14ac:dyDescent="0.2">
      <c r="B602" s="19">
        <f>Historique!B602</f>
        <v>45252</v>
      </c>
      <c r="C602" s="13">
        <f>RL_NAV*($I$10*Historique!D602+$I$11*Historique!E602+$I$12*Historique!F602+$I$21*Historique!G602)</f>
        <v>-5195506.5167192947</v>
      </c>
      <c r="D602" s="13">
        <f>RL_NAV*($J$10*Historique!D602+$J$11*Historique!E602+$J$12*Historique!F602+$J$21*Historique!G602)</f>
        <v>-5098382.9258518787</v>
      </c>
      <c r="E602" s="20">
        <f t="shared" si="18"/>
        <v>0</v>
      </c>
      <c r="F602" s="20">
        <f t="shared" si="19"/>
        <v>0</v>
      </c>
    </row>
    <row r="603" spans="2:6" x14ac:dyDescent="0.2">
      <c r="B603" s="19">
        <f>Historique!B603</f>
        <v>45253</v>
      </c>
      <c r="C603" s="13">
        <f>RL_NAV*($I$10*Historique!D603+$I$11*Historique!E603+$I$12*Historique!F603+$I$21*Historique!G603)</f>
        <v>12275865.940603808</v>
      </c>
      <c r="D603" s="13">
        <f>RL_NAV*($J$10*Historique!D603+$J$11*Historique!E603+$J$12*Historique!F603+$J$21*Historique!G603)</f>
        <v>12073265.714963138</v>
      </c>
      <c r="E603" s="20">
        <f t="shared" si="18"/>
        <v>0</v>
      </c>
      <c r="F603" s="20">
        <f t="shared" si="19"/>
        <v>0</v>
      </c>
    </row>
    <row r="604" spans="2:6" x14ac:dyDescent="0.2">
      <c r="B604" s="19">
        <f>Historique!B604</f>
        <v>45254</v>
      </c>
      <c r="C604" s="13">
        <f>RL_NAV*($I$10*Historique!D604+$I$11*Historique!E604+$I$12*Historique!F604+$I$21*Historique!G604)</f>
        <v>-403000.26587853511</v>
      </c>
      <c r="D604" s="13">
        <f>RL_NAV*($J$10*Historique!D604+$J$11*Historique!E604+$J$12*Historique!F604+$J$21*Historique!G604)</f>
        <v>-351814.9666234366</v>
      </c>
      <c r="E604" s="20">
        <f t="shared" si="18"/>
        <v>0</v>
      </c>
      <c r="F604" s="20">
        <f t="shared" si="19"/>
        <v>0</v>
      </c>
    </row>
    <row r="605" spans="2:6" x14ac:dyDescent="0.2">
      <c r="B605" s="19">
        <f>Historique!B605</f>
        <v>45257</v>
      </c>
      <c r="C605" s="13">
        <f>RL_NAV*($I$10*Historique!D605+$I$11*Historique!E605+$I$12*Historique!F605+$I$21*Historique!G605)</f>
        <v>-9797444.6649400033</v>
      </c>
      <c r="D605" s="13">
        <f>RL_NAV*($J$10*Historique!D605+$J$11*Historique!E605+$J$12*Historique!F605+$J$21*Historique!G605)</f>
        <v>-9627595.0662234798</v>
      </c>
      <c r="E605" s="20">
        <f t="shared" si="18"/>
        <v>0</v>
      </c>
      <c r="F605" s="20">
        <f t="shared" si="19"/>
        <v>0</v>
      </c>
    </row>
    <row r="606" spans="2:6" x14ac:dyDescent="0.2">
      <c r="B606" s="19">
        <f>Historique!B606</f>
        <v>45258</v>
      </c>
      <c r="C606" s="13">
        <f>RL_NAV*($I$10*Historique!D606+$I$11*Historique!E606+$I$12*Historique!F606+$I$21*Historique!G606)</f>
        <v>463263.29839508119</v>
      </c>
      <c r="D606" s="13">
        <f>RL_NAV*($J$10*Historique!D606+$J$11*Historique!E606+$J$12*Historique!F606+$J$21*Historique!G606)</f>
        <v>358640.60287746729</v>
      </c>
      <c r="E606" s="20">
        <f t="shared" si="18"/>
        <v>0</v>
      </c>
      <c r="F606" s="20">
        <f t="shared" si="19"/>
        <v>0</v>
      </c>
    </row>
    <row r="607" spans="2:6" x14ac:dyDescent="0.2">
      <c r="B607" s="19">
        <f>Historique!B607</f>
        <v>45259</v>
      </c>
      <c r="C607" s="13">
        <f>RL_NAV*($I$10*Historique!D607+$I$11*Historique!E607+$I$12*Historique!F607+$I$21*Historique!G607)</f>
        <v>-17227822.157826751</v>
      </c>
      <c r="D607" s="13">
        <f>RL_NAV*($J$10*Historique!D607+$J$11*Historique!E607+$J$12*Historique!F607+$J$21*Historique!G607)</f>
        <v>-16981237.631264795</v>
      </c>
      <c r="E607" s="20">
        <f t="shared" si="18"/>
        <v>0</v>
      </c>
      <c r="F607" s="20">
        <f t="shared" si="19"/>
        <v>0</v>
      </c>
    </row>
    <row r="608" spans="2:6" x14ac:dyDescent="0.2">
      <c r="B608" s="19">
        <f>Historique!B608</f>
        <v>45260</v>
      </c>
      <c r="C608" s="13">
        <f>RL_NAV*($I$10*Historique!D608+$I$11*Historique!E608+$I$12*Historique!F608+$I$21*Historique!G608)</f>
        <v>746985.86331349192</v>
      </c>
      <c r="D608" s="13">
        <f>RL_NAV*($J$10*Historique!D608+$J$11*Historique!E608+$J$12*Historique!F608+$J$21*Historique!G608)</f>
        <v>766484.80796236161</v>
      </c>
      <c r="E608" s="20">
        <f t="shared" si="18"/>
        <v>0</v>
      </c>
      <c r="F608" s="20">
        <f t="shared" si="19"/>
        <v>0</v>
      </c>
    </row>
    <row r="609" spans="2:6" x14ac:dyDescent="0.2">
      <c r="B609" s="19">
        <f>Historique!B609</f>
        <v>45261</v>
      </c>
      <c r="C609" s="13">
        <f>RL_NAV*($I$10*Historique!D609+$I$11*Historique!E609+$I$12*Historique!F609+$I$21*Historique!G609)</f>
        <v>-10384487.86662684</v>
      </c>
      <c r="D609" s="13">
        <f>RL_NAV*($J$10*Historique!D609+$J$11*Historique!E609+$J$12*Historique!F609+$J$21*Historique!G609)</f>
        <v>-10261572.396216465</v>
      </c>
      <c r="E609" s="20">
        <f t="shared" si="18"/>
        <v>0</v>
      </c>
      <c r="F609" s="20">
        <f t="shared" si="19"/>
        <v>0</v>
      </c>
    </row>
    <row r="610" spans="2:6" x14ac:dyDescent="0.2">
      <c r="B610" s="19">
        <f>Historique!B610</f>
        <v>45264</v>
      </c>
      <c r="C610" s="13">
        <f>RL_NAV*($I$10*Historique!D610+$I$11*Historique!E610+$I$12*Historique!F610+$I$21*Historique!G610)</f>
        <v>-14341703.226642683</v>
      </c>
      <c r="D610" s="13">
        <f>RL_NAV*($J$10*Historique!D610+$J$11*Historique!E610+$J$12*Historique!F610+$J$21*Historique!G610)</f>
        <v>-14121444.103815278</v>
      </c>
      <c r="E610" s="20">
        <f t="shared" si="18"/>
        <v>0</v>
      </c>
      <c r="F610" s="20">
        <f t="shared" si="19"/>
        <v>0</v>
      </c>
    </row>
    <row r="611" spans="2:6" x14ac:dyDescent="0.2">
      <c r="B611" s="19">
        <f>Historique!B611</f>
        <v>45265</v>
      </c>
      <c r="C611" s="13">
        <f>RL_NAV*($I$10*Historique!D611+$I$11*Historique!E611+$I$12*Historique!F611+$I$21*Historique!G611)</f>
        <v>-6367455.0715603782</v>
      </c>
      <c r="D611" s="13">
        <f>RL_NAV*($J$10*Historique!D611+$J$11*Historique!E611+$J$12*Historique!F611+$J$21*Historique!G611)</f>
        <v>-6239231.6617829762</v>
      </c>
      <c r="E611" s="20">
        <f t="shared" si="18"/>
        <v>0</v>
      </c>
      <c r="F611" s="20">
        <f t="shared" si="19"/>
        <v>0</v>
      </c>
    </row>
    <row r="612" spans="2:6" x14ac:dyDescent="0.2">
      <c r="B612" s="19">
        <f>Historique!B612</f>
        <v>45266</v>
      </c>
      <c r="C612" s="13">
        <f>RL_NAV*($I$10*Historique!D612+$I$11*Historique!E612+$I$12*Historique!F612+$I$21*Historique!G612)</f>
        <v>-4087380.2366615725</v>
      </c>
      <c r="D612" s="13">
        <f>RL_NAV*($J$10*Historique!D612+$J$11*Historique!E612+$J$12*Historique!F612+$J$21*Historique!G612)</f>
        <v>-3981363.4860217329</v>
      </c>
      <c r="E612" s="20">
        <f t="shared" si="18"/>
        <v>0</v>
      </c>
      <c r="F612" s="20">
        <f t="shared" si="19"/>
        <v>0</v>
      </c>
    </row>
    <row r="613" spans="2:6" x14ac:dyDescent="0.2">
      <c r="B613" s="19">
        <f>Historique!B613</f>
        <v>45267</v>
      </c>
      <c r="C613" s="13">
        <f>RL_NAV*($I$10*Historique!D613+$I$11*Historique!E613+$I$12*Historique!F613+$I$21*Historique!G613)</f>
        <v>1073075.5285402953</v>
      </c>
      <c r="D613" s="13">
        <f>RL_NAV*($J$10*Historique!D613+$J$11*Historique!E613+$J$12*Historique!F613+$J$21*Historique!G613)</f>
        <v>932815.7510256836</v>
      </c>
      <c r="E613" s="20">
        <f t="shared" si="18"/>
        <v>0</v>
      </c>
      <c r="F613" s="20">
        <f t="shared" si="19"/>
        <v>0</v>
      </c>
    </row>
    <row r="614" spans="2:6" x14ac:dyDescent="0.2">
      <c r="B614" s="19">
        <f>Historique!B614</f>
        <v>45268</v>
      </c>
      <c r="C614" s="13">
        <f>RL_NAV*($I$10*Historique!D614+$I$11*Historique!E614+$I$12*Historique!F614+$I$21*Historique!G614)</f>
        <v>9181068.4304776322</v>
      </c>
      <c r="D614" s="13">
        <f>RL_NAV*($J$10*Historique!D614+$J$11*Historique!E614+$J$12*Historique!F614+$J$21*Historique!G614)</f>
        <v>9129916.0299490504</v>
      </c>
      <c r="E614" s="20">
        <f t="shared" si="18"/>
        <v>0</v>
      </c>
      <c r="F614" s="20">
        <f t="shared" si="19"/>
        <v>0</v>
      </c>
    </row>
    <row r="615" spans="2:6" x14ac:dyDescent="0.2">
      <c r="B615" s="19">
        <f>Historique!B615</f>
        <v>45271</v>
      </c>
      <c r="C615" s="13">
        <f>RL_NAV*($I$10*Historique!D615+$I$11*Historique!E615+$I$12*Historique!F615+$I$21*Historique!G615)</f>
        <v>-3376350.7888650578</v>
      </c>
      <c r="D615" s="13">
        <f>RL_NAV*($J$10*Historique!D615+$J$11*Historique!E615+$J$12*Historique!F615+$J$21*Historique!G615)</f>
        <v>-3348328.5345312897</v>
      </c>
      <c r="E615" s="20">
        <f t="shared" si="18"/>
        <v>0</v>
      </c>
      <c r="F615" s="20">
        <f t="shared" si="19"/>
        <v>0</v>
      </c>
    </row>
    <row r="616" spans="2:6" x14ac:dyDescent="0.2">
      <c r="B616" s="19">
        <f>Historique!B616</f>
        <v>45272</v>
      </c>
      <c r="C616" s="13">
        <f>RL_NAV*($I$10*Historique!D616+$I$11*Historique!E616+$I$12*Historique!F616+$I$21*Historique!G616)</f>
        <v>-546415.85739069874</v>
      </c>
      <c r="D616" s="13">
        <f>RL_NAV*($J$10*Historique!D616+$J$11*Historique!E616+$J$12*Historique!F616+$J$21*Historique!G616)</f>
        <v>-546733.63292580761</v>
      </c>
      <c r="E616" s="20">
        <f t="shared" si="18"/>
        <v>0</v>
      </c>
      <c r="F616" s="20">
        <f t="shared" si="19"/>
        <v>0</v>
      </c>
    </row>
    <row r="617" spans="2:6" x14ac:dyDescent="0.2">
      <c r="B617" s="19">
        <f>Historique!B617</f>
        <v>45273</v>
      </c>
      <c r="C617" s="13">
        <f>RL_NAV*($I$10*Historique!D617+$I$11*Historique!E617+$I$12*Historique!F617+$I$21*Historique!G617)</f>
        <v>-5791167.9338503815</v>
      </c>
      <c r="D617" s="13">
        <f>RL_NAV*($J$10*Historique!D617+$J$11*Historique!E617+$J$12*Historique!F617+$J$21*Historique!G617)</f>
        <v>-5711664.5459670005</v>
      </c>
      <c r="E617" s="20">
        <f t="shared" si="18"/>
        <v>0</v>
      </c>
      <c r="F617" s="20">
        <f t="shared" si="19"/>
        <v>0</v>
      </c>
    </row>
    <row r="618" spans="2:6" x14ac:dyDescent="0.2">
      <c r="B618" s="19">
        <f>Historique!B618</f>
        <v>45274</v>
      </c>
      <c r="C618" s="13">
        <f>RL_NAV*($I$10*Historique!D618+$I$11*Historique!E618+$I$12*Historique!F618+$I$21*Historique!G618)</f>
        <v>-10456547.58003105</v>
      </c>
      <c r="D618" s="13">
        <f>RL_NAV*($J$10*Historique!D618+$J$11*Historique!E618+$J$12*Historique!F618+$J$21*Historique!G618)</f>
        <v>-10342888.197174154</v>
      </c>
      <c r="E618" s="20">
        <f t="shared" si="18"/>
        <v>0</v>
      </c>
      <c r="F618" s="20">
        <f t="shared" si="19"/>
        <v>0</v>
      </c>
    </row>
    <row r="619" spans="2:6" x14ac:dyDescent="0.2">
      <c r="B619" s="19">
        <f>Historique!B619</f>
        <v>45275</v>
      </c>
      <c r="C619" s="13">
        <f>RL_NAV*($I$10*Historique!D619+$I$11*Historique!E619+$I$12*Historique!F619+$I$21*Historique!G619)</f>
        <v>-10937856.632645862</v>
      </c>
      <c r="D619" s="13">
        <f>RL_NAV*($J$10*Historique!D619+$J$11*Historique!E619+$J$12*Historique!F619+$J$21*Historique!G619)</f>
        <v>-10719036.346601218</v>
      </c>
      <c r="E619" s="20">
        <f t="shared" si="18"/>
        <v>0</v>
      </c>
      <c r="F619" s="20">
        <f t="shared" si="19"/>
        <v>0</v>
      </c>
    </row>
    <row r="620" spans="2:6" x14ac:dyDescent="0.2">
      <c r="B620" s="19">
        <f>Historique!B620</f>
        <v>45278</v>
      </c>
      <c r="C620" s="13">
        <f>RL_NAV*($I$10*Historique!D620+$I$11*Historique!E620+$I$12*Historique!F620+$I$21*Historique!G620)</f>
        <v>-3355667.8987536207</v>
      </c>
      <c r="D620" s="13">
        <f>RL_NAV*($J$10*Historique!D620+$J$11*Historique!E620+$J$12*Historique!F620+$J$21*Historique!G620)</f>
        <v>-3244297.511282335</v>
      </c>
      <c r="E620" s="20">
        <f t="shared" si="18"/>
        <v>0</v>
      </c>
      <c r="F620" s="20">
        <f t="shared" si="19"/>
        <v>0</v>
      </c>
    </row>
    <row r="621" spans="2:6" x14ac:dyDescent="0.2">
      <c r="B621" s="19">
        <f>Historique!B621</f>
        <v>45279</v>
      </c>
      <c r="C621" s="13">
        <f>RL_NAV*($I$10*Historique!D621+$I$11*Historique!E621+$I$12*Historique!F621+$I$21*Historique!G621)</f>
        <v>-3357543.8266541436</v>
      </c>
      <c r="D621" s="13">
        <f>RL_NAV*($J$10*Historique!D621+$J$11*Historique!E621+$J$12*Historique!F621+$J$21*Historique!G621)</f>
        <v>-3348167.5861515598</v>
      </c>
      <c r="E621" s="20">
        <f t="shared" si="18"/>
        <v>0</v>
      </c>
      <c r="F621" s="20">
        <f t="shared" si="19"/>
        <v>0</v>
      </c>
    </row>
    <row r="622" spans="2:6" x14ac:dyDescent="0.2">
      <c r="B622" s="19">
        <f>Historique!B622</f>
        <v>45280</v>
      </c>
      <c r="C622" s="13">
        <f>RL_NAV*($I$10*Historique!D622+$I$11*Historique!E622+$I$12*Historique!F622+$I$21*Historique!G622)</f>
        <v>-7900327.8751652241</v>
      </c>
      <c r="D622" s="13">
        <f>RL_NAV*($J$10*Historique!D622+$J$11*Historique!E622+$J$12*Historique!F622+$J$21*Historique!G622)</f>
        <v>-7751307.4695472931</v>
      </c>
      <c r="E622" s="20">
        <f t="shared" si="18"/>
        <v>0</v>
      </c>
      <c r="F622" s="20">
        <f t="shared" si="19"/>
        <v>0</v>
      </c>
    </row>
    <row r="623" spans="2:6" x14ac:dyDescent="0.2">
      <c r="B623" s="19">
        <f>Historique!B623</f>
        <v>45281</v>
      </c>
      <c r="C623" s="13">
        <f>RL_NAV*($I$10*Historique!D623+$I$11*Historique!E623+$I$12*Historique!F623+$I$21*Historique!G623)</f>
        <v>-2059326.9776027848</v>
      </c>
      <c r="D623" s="13">
        <f>RL_NAV*($J$10*Historique!D623+$J$11*Historique!E623+$J$12*Historique!F623+$J$21*Historique!G623)</f>
        <v>-2054582.7278739826</v>
      </c>
      <c r="E623" s="20">
        <f t="shared" si="18"/>
        <v>0</v>
      </c>
      <c r="F623" s="20">
        <f t="shared" si="19"/>
        <v>0</v>
      </c>
    </row>
    <row r="624" spans="2:6" x14ac:dyDescent="0.2">
      <c r="B624" s="19">
        <f>Historique!B624</f>
        <v>45282</v>
      </c>
      <c r="C624" s="13">
        <f>RL_NAV*($I$10*Historique!D624+$I$11*Historique!E624+$I$12*Historique!F624+$I$21*Historique!G624)</f>
        <v>-6334936.54687538</v>
      </c>
      <c r="D624" s="13">
        <f>RL_NAV*($J$10*Historique!D624+$J$11*Historique!E624+$J$12*Historique!F624+$J$21*Historique!G624)</f>
        <v>-6285080.6957396306</v>
      </c>
      <c r="E624" s="20">
        <f t="shared" si="18"/>
        <v>0</v>
      </c>
      <c r="F624" s="20">
        <f t="shared" si="19"/>
        <v>0</v>
      </c>
    </row>
    <row r="625" spans="2:6" x14ac:dyDescent="0.2">
      <c r="B625" s="19">
        <f>Historique!B625</f>
        <v>45287</v>
      </c>
      <c r="C625" s="13">
        <f>RL_NAV*($I$10*Historique!D625+$I$11*Historique!E625+$I$12*Historique!F625+$I$21*Historique!G625)</f>
        <v>-718370.9658102385</v>
      </c>
      <c r="D625" s="13">
        <f>RL_NAV*($J$10*Historique!D625+$J$11*Historique!E625+$J$12*Historique!F625+$J$21*Historique!G625)</f>
        <v>-716608.41301619669</v>
      </c>
      <c r="E625" s="20">
        <f t="shared" si="18"/>
        <v>0</v>
      </c>
      <c r="F625" s="20">
        <f t="shared" si="19"/>
        <v>0</v>
      </c>
    </row>
    <row r="626" spans="2:6" x14ac:dyDescent="0.2">
      <c r="B626" s="19">
        <f>Historique!B626</f>
        <v>45288</v>
      </c>
      <c r="C626" s="13">
        <f>RL_NAV*($I$10*Historique!D626+$I$11*Historique!E626+$I$12*Historique!F626+$I$21*Historique!G626)</f>
        <v>-1674844.7117370223</v>
      </c>
      <c r="D626" s="13">
        <f>RL_NAV*($J$10*Historique!D626+$J$11*Historique!E626+$J$12*Historique!F626+$J$21*Historique!G626)</f>
        <v>-1650848.6122623289</v>
      </c>
      <c r="E626" s="20">
        <f t="shared" si="18"/>
        <v>0</v>
      </c>
      <c r="F626" s="20">
        <f t="shared" si="19"/>
        <v>0</v>
      </c>
    </row>
    <row r="627" spans="2:6" x14ac:dyDescent="0.2">
      <c r="B627" s="19">
        <f>Historique!B627</f>
        <v>45289</v>
      </c>
      <c r="C627" s="13">
        <f>RL_NAV*($I$10*Historique!D627+$I$11*Historique!E627+$I$12*Historique!F627+$I$21*Historique!G627)</f>
        <v>486768.66297993704</v>
      </c>
      <c r="D627" s="13">
        <f>RL_NAV*($J$10*Historique!D627+$J$11*Historique!E627+$J$12*Historique!F627+$J$21*Historique!G627)</f>
        <v>543599.88141891279</v>
      </c>
      <c r="E627" s="20">
        <f t="shared" si="18"/>
        <v>0</v>
      </c>
      <c r="F627" s="20">
        <f t="shared" si="19"/>
        <v>0</v>
      </c>
    </row>
    <row r="628" spans="2:6" x14ac:dyDescent="0.2">
      <c r="B628" s="19">
        <f>Historique!B628</f>
        <v>45293</v>
      </c>
      <c r="C628" s="13">
        <f>RL_NAV*($I$10*Historique!D628+$I$11*Historique!E628+$I$12*Historique!F628+$I$21*Historique!G628)</f>
        <v>5741301.9356478928</v>
      </c>
      <c r="D628" s="13">
        <f>RL_NAV*($J$10*Historique!D628+$J$11*Historique!E628+$J$12*Historique!F628+$J$21*Historique!G628)</f>
        <v>5642382.2063792488</v>
      </c>
      <c r="E628" s="20">
        <f t="shared" si="18"/>
        <v>0</v>
      </c>
      <c r="F628" s="20">
        <f t="shared" si="19"/>
        <v>0</v>
      </c>
    </row>
    <row r="629" spans="2:6" x14ac:dyDescent="0.2">
      <c r="B629" s="19">
        <f>Historique!B629</f>
        <v>45294</v>
      </c>
      <c r="C629" s="13">
        <f>RL_NAV*($I$10*Historique!D629+$I$11*Historique!E629+$I$12*Historique!F629+$I$21*Historique!G629)</f>
        <v>13054087.58272166</v>
      </c>
      <c r="D629" s="13">
        <f>RL_NAV*($J$10*Historique!D629+$J$11*Historique!E629+$J$12*Historique!F629+$J$21*Historique!G629)</f>
        <v>12716846.504642522</v>
      </c>
      <c r="E629" s="20">
        <f t="shared" si="18"/>
        <v>0</v>
      </c>
      <c r="F629" s="20">
        <f t="shared" si="19"/>
        <v>0</v>
      </c>
    </row>
    <row r="630" spans="2:6" x14ac:dyDescent="0.2">
      <c r="B630" s="19">
        <f>Historique!B630</f>
        <v>45295</v>
      </c>
      <c r="C630" s="13">
        <f>RL_NAV*($I$10*Historique!D630+$I$11*Historique!E630+$I$12*Historique!F630+$I$21*Historique!G630)</f>
        <v>16356494.41831287</v>
      </c>
      <c r="D630" s="13">
        <f>RL_NAV*($J$10*Historique!D630+$J$11*Historique!E630+$J$12*Historique!F630+$J$21*Historique!G630)</f>
        <v>16061246.988870192</v>
      </c>
      <c r="E630" s="20">
        <f t="shared" si="18"/>
        <v>0</v>
      </c>
      <c r="F630" s="20">
        <f t="shared" si="19"/>
        <v>0</v>
      </c>
    </row>
    <row r="631" spans="2:6" x14ac:dyDescent="0.2">
      <c r="B631" s="19">
        <f>Historique!B631</f>
        <v>45296</v>
      </c>
      <c r="C631" s="13">
        <f>RL_NAV*($I$10*Historique!D631+$I$11*Historique!E631+$I$12*Historique!F631+$I$21*Historique!G631)</f>
        <v>7844974.2387522878</v>
      </c>
      <c r="D631" s="13">
        <f>RL_NAV*($J$10*Historique!D631+$J$11*Historique!E631+$J$12*Historique!F631+$J$21*Historique!G631)</f>
        <v>7777181.2273003682</v>
      </c>
      <c r="E631" s="20">
        <f t="shared" si="18"/>
        <v>0</v>
      </c>
      <c r="F631" s="20">
        <f t="shared" si="19"/>
        <v>0</v>
      </c>
    </row>
    <row r="632" spans="2:6" x14ac:dyDescent="0.2">
      <c r="B632" s="19">
        <f>Historique!B632</f>
        <v>45299</v>
      </c>
      <c r="C632" s="13">
        <f>RL_NAV*($I$10*Historique!D632+$I$11*Historique!E632+$I$12*Historique!F632+$I$21*Historique!G632)</f>
        <v>2136059.5249178028</v>
      </c>
      <c r="D632" s="13">
        <f>RL_NAV*($J$10*Historique!D632+$J$11*Historique!E632+$J$12*Historique!F632+$J$21*Historique!G632)</f>
        <v>2036687.7745035789</v>
      </c>
      <c r="E632" s="20">
        <f t="shared" si="18"/>
        <v>0</v>
      </c>
      <c r="F632" s="20">
        <f t="shared" si="19"/>
        <v>0</v>
      </c>
    </row>
    <row r="633" spans="2:6" x14ac:dyDescent="0.2">
      <c r="B633" s="19">
        <f>Historique!B633</f>
        <v>45300</v>
      </c>
      <c r="C633" s="13">
        <f>RL_NAV*($I$10*Historique!D633+$I$11*Historique!E633+$I$12*Historique!F633+$I$21*Historique!G633)</f>
        <v>-5242769.724512062</v>
      </c>
      <c r="D633" s="13">
        <f>RL_NAV*($J$10*Historique!D633+$J$11*Historique!E633+$J$12*Historique!F633+$J$21*Historique!G633)</f>
        <v>-5071862.1281346083</v>
      </c>
      <c r="E633" s="20">
        <f t="shared" si="18"/>
        <v>0</v>
      </c>
      <c r="F633" s="20">
        <f t="shared" si="19"/>
        <v>0</v>
      </c>
    </row>
    <row r="634" spans="2:6" x14ac:dyDescent="0.2">
      <c r="B634" s="19">
        <f>Historique!B634</f>
        <v>45301</v>
      </c>
      <c r="C634" s="13">
        <f>RL_NAV*($I$10*Historique!D634+$I$11*Historique!E634+$I$12*Historique!F634+$I$21*Historique!G634)</f>
        <v>2792914.1154602119</v>
      </c>
      <c r="D634" s="13">
        <f>RL_NAV*($J$10*Historique!D634+$J$11*Historique!E634+$J$12*Historique!F634+$J$21*Historique!G634)</f>
        <v>2766390.8441029666</v>
      </c>
      <c r="E634" s="20">
        <f t="shared" si="18"/>
        <v>0</v>
      </c>
      <c r="F634" s="20">
        <f t="shared" si="19"/>
        <v>0</v>
      </c>
    </row>
    <row r="635" spans="2:6" x14ac:dyDescent="0.2">
      <c r="B635" s="19">
        <f>Historique!B635</f>
        <v>45302</v>
      </c>
      <c r="C635" s="13">
        <f>RL_NAV*($I$10*Historique!D635+$I$11*Historique!E635+$I$12*Historique!F635+$I$21*Historique!G635)</f>
        <v>-8037271.5787135353</v>
      </c>
      <c r="D635" s="13">
        <f>RL_NAV*($J$10*Historique!D635+$J$11*Historique!E635+$J$12*Historique!F635+$J$21*Historique!G635)</f>
        <v>-7847907.4594954373</v>
      </c>
      <c r="E635" s="20">
        <f t="shared" si="18"/>
        <v>0</v>
      </c>
      <c r="F635" s="20">
        <f t="shared" si="19"/>
        <v>0</v>
      </c>
    </row>
    <row r="636" spans="2:6" x14ac:dyDescent="0.2">
      <c r="B636" s="19">
        <f>Historique!B636</f>
        <v>45303</v>
      </c>
      <c r="C636" s="13">
        <f>RL_NAV*($I$10*Historique!D636+$I$11*Historique!E636+$I$12*Historique!F636+$I$21*Historique!G636)</f>
        <v>-7294625.9551810976</v>
      </c>
      <c r="D636" s="13">
        <f>RL_NAV*($J$10*Historique!D636+$J$11*Historique!E636+$J$12*Historique!F636+$J$21*Historique!G636)</f>
        <v>-7199711.436734844</v>
      </c>
      <c r="E636" s="20">
        <f t="shared" si="18"/>
        <v>0</v>
      </c>
      <c r="F636" s="20">
        <f t="shared" si="19"/>
        <v>0</v>
      </c>
    </row>
    <row r="637" spans="2:6" x14ac:dyDescent="0.2">
      <c r="B637" s="19">
        <f>Historique!B637</f>
        <v>45306</v>
      </c>
      <c r="C637" s="13">
        <f>RL_NAV*($I$10*Historique!D637+$I$11*Historique!E637+$I$12*Historique!F637+$I$21*Historique!G637)</f>
        <v>4344058.3960267575</v>
      </c>
      <c r="D637" s="13">
        <f>RL_NAV*($J$10*Historique!D637+$J$11*Historique!E637+$J$12*Historique!F637+$J$21*Historique!G637)</f>
        <v>4305339.0738501335</v>
      </c>
      <c r="E637" s="20">
        <f t="shared" si="18"/>
        <v>0</v>
      </c>
      <c r="F637" s="20">
        <f t="shared" si="19"/>
        <v>0</v>
      </c>
    </row>
    <row r="638" spans="2:6" x14ac:dyDescent="0.2">
      <c r="B638" s="19">
        <f>Historique!B638</f>
        <v>45307</v>
      </c>
      <c r="C638" s="13">
        <f>RL_NAV*($I$10*Historique!D638+$I$11*Historique!E638+$I$12*Historique!F638+$I$21*Historique!G638)</f>
        <v>-324126.60430189193</v>
      </c>
      <c r="D638" s="13">
        <f>RL_NAV*($J$10*Historique!D638+$J$11*Historique!E638+$J$12*Historique!F638+$J$21*Historique!G638)</f>
        <v>-336022.43549727945</v>
      </c>
      <c r="E638" s="20">
        <f t="shared" si="18"/>
        <v>0</v>
      </c>
      <c r="F638" s="20">
        <f t="shared" si="19"/>
        <v>0</v>
      </c>
    </row>
    <row r="639" spans="2:6" x14ac:dyDescent="0.2">
      <c r="B639" s="19">
        <f>Historique!B639</f>
        <v>45308</v>
      </c>
      <c r="C639" s="13">
        <f>RL_NAV*($I$10*Historique!D639+$I$11*Historique!E639+$I$12*Historique!F639+$I$21*Historique!G639)</f>
        <v>10823428.395190855</v>
      </c>
      <c r="D639" s="13">
        <f>RL_NAV*($J$10*Historique!D639+$J$11*Historique!E639+$J$12*Historique!F639+$J$21*Historique!G639)</f>
        <v>10738278.529044058</v>
      </c>
      <c r="E639" s="20">
        <f t="shared" si="18"/>
        <v>0</v>
      </c>
      <c r="F639" s="20">
        <f t="shared" si="19"/>
        <v>0</v>
      </c>
    </row>
    <row r="640" spans="2:6" x14ac:dyDescent="0.2">
      <c r="B640" s="19">
        <f>Historique!B640</f>
        <v>45309</v>
      </c>
      <c r="C640" s="13">
        <f>RL_NAV*($I$10*Historique!D640+$I$11*Historique!E640+$I$12*Historique!F640+$I$21*Historique!G640)</f>
        <v>-551953.55963264813</v>
      </c>
      <c r="D640" s="13">
        <f>RL_NAV*($J$10*Historique!D640+$J$11*Historique!E640+$J$12*Historique!F640+$J$21*Historique!G640)</f>
        <v>-503193.78147810226</v>
      </c>
      <c r="E640" s="20">
        <f t="shared" si="18"/>
        <v>0</v>
      </c>
      <c r="F640" s="20">
        <f t="shared" si="19"/>
        <v>0</v>
      </c>
    </row>
    <row r="641" spans="2:6" x14ac:dyDescent="0.2">
      <c r="B641" s="19">
        <f>Historique!B641</f>
        <v>45310</v>
      </c>
      <c r="C641" s="13">
        <f>RL_NAV*($I$10*Historique!D641+$I$11*Historique!E641+$I$12*Historique!F641+$I$21*Historique!G641)</f>
        <v>163181.73499746888</v>
      </c>
      <c r="D641" s="13">
        <f>RL_NAV*($J$10*Historique!D641+$J$11*Historique!E641+$J$12*Historique!F641+$J$21*Historique!G641)</f>
        <v>174961.8633783696</v>
      </c>
      <c r="E641" s="20">
        <f t="shared" si="18"/>
        <v>0</v>
      </c>
      <c r="F641" s="20">
        <f t="shared" si="19"/>
        <v>0</v>
      </c>
    </row>
    <row r="642" spans="2:6" x14ac:dyDescent="0.2">
      <c r="B642" s="19">
        <f>Historique!B642</f>
        <v>45313</v>
      </c>
      <c r="C642" s="13">
        <f>RL_NAV*($I$10*Historique!D642+$I$11*Historique!E642+$I$12*Historique!F642+$I$21*Historique!G642)</f>
        <v>-6578914.5531607885</v>
      </c>
      <c r="D642" s="13">
        <f>RL_NAV*($J$10*Historique!D642+$J$11*Historique!E642+$J$12*Historique!F642+$J$21*Historique!G642)</f>
        <v>-6465774.6088222293</v>
      </c>
      <c r="E642" s="20">
        <f t="shared" si="18"/>
        <v>0</v>
      </c>
      <c r="F642" s="20">
        <f t="shared" si="19"/>
        <v>0</v>
      </c>
    </row>
    <row r="643" spans="2:6" x14ac:dyDescent="0.2">
      <c r="B643" s="19">
        <f>Historique!B643</f>
        <v>45314</v>
      </c>
      <c r="C643" s="13">
        <f>RL_NAV*($I$10*Historique!D643+$I$11*Historique!E643+$I$12*Historique!F643+$I$21*Historique!G643)</f>
        <v>790563.05980867636</v>
      </c>
      <c r="D643" s="13">
        <f>RL_NAV*($J$10*Historique!D643+$J$11*Historique!E643+$J$12*Historique!F643+$J$21*Historique!G643)</f>
        <v>838418.09739854804</v>
      </c>
      <c r="E643" s="20">
        <f t="shared" si="18"/>
        <v>0</v>
      </c>
      <c r="F643" s="20">
        <f t="shared" si="19"/>
        <v>0</v>
      </c>
    </row>
    <row r="644" spans="2:6" x14ac:dyDescent="0.2">
      <c r="B644" s="19">
        <f>Historique!B644</f>
        <v>45315</v>
      </c>
      <c r="C644" s="13">
        <f>RL_NAV*($I$10*Historique!D644+$I$11*Historique!E644+$I$12*Historique!F644+$I$21*Historique!G644)</f>
        <v>-811916.99355804257</v>
      </c>
      <c r="D644" s="13">
        <f>RL_NAV*($J$10*Historique!D644+$J$11*Historique!E644+$J$12*Historique!F644+$J$21*Historique!G644)</f>
        <v>-804918.57580935606</v>
      </c>
      <c r="E644" s="20">
        <f t="shared" si="18"/>
        <v>0</v>
      </c>
      <c r="F644" s="20">
        <f t="shared" si="19"/>
        <v>0</v>
      </c>
    </row>
    <row r="645" spans="2:6" x14ac:dyDescent="0.2">
      <c r="B645" s="19">
        <f>Historique!B645</f>
        <v>45316</v>
      </c>
      <c r="C645" s="13">
        <f>RL_NAV*($I$10*Historique!D645+$I$11*Historique!E645+$I$12*Historique!F645+$I$21*Historique!G645)</f>
        <v>-7568655.7576862732</v>
      </c>
      <c r="D645" s="13">
        <f>RL_NAV*($J$10*Historique!D645+$J$11*Historique!E645+$J$12*Historique!F645+$J$21*Historique!G645)</f>
        <v>-7454571.8878925657</v>
      </c>
      <c r="E645" s="20">
        <f t="shared" si="18"/>
        <v>0</v>
      </c>
      <c r="F645" s="20">
        <f t="shared" si="19"/>
        <v>0</v>
      </c>
    </row>
    <row r="646" spans="2:6" x14ac:dyDescent="0.2">
      <c r="B646" s="19">
        <f>Historique!B646</f>
        <v>45317</v>
      </c>
      <c r="C646" s="13">
        <f>RL_NAV*($I$10*Historique!D646+$I$11*Historique!E646+$I$12*Historique!F646+$I$21*Historique!G646)</f>
        <v>4230242.0834760992</v>
      </c>
      <c r="D646" s="13">
        <f>RL_NAV*($J$10*Historique!D646+$J$11*Historique!E646+$J$12*Historique!F646+$J$21*Historique!G646)</f>
        <v>4120684.7106281742</v>
      </c>
      <c r="E646" s="20">
        <f t="shared" si="18"/>
        <v>0</v>
      </c>
      <c r="F646" s="20">
        <f t="shared" si="19"/>
        <v>0</v>
      </c>
    </row>
    <row r="647" spans="2:6" x14ac:dyDescent="0.2">
      <c r="B647" s="19">
        <f>Historique!B647</f>
        <v>45320</v>
      </c>
      <c r="C647" s="13">
        <f>RL_NAV*($I$10*Historique!D647+$I$11*Historique!E647+$I$12*Historique!F647+$I$21*Historique!G647)</f>
        <v>-10068028.062802643</v>
      </c>
      <c r="D647" s="13">
        <f>RL_NAV*($J$10*Historique!D647+$J$11*Historique!E647+$J$12*Historique!F647+$J$21*Historique!G647)</f>
        <v>-9929022.1301367823</v>
      </c>
      <c r="E647" s="20">
        <f t="shared" ref="E647:E710" si="20">IF(C647&gt;$I$9,1,IF(C647=$I$9,($I$8-$I$18)/$I$19,0))/$I$8</f>
        <v>0</v>
      </c>
      <c r="F647" s="20">
        <f t="shared" ref="F647:F710" si="21">IF(D647&gt;$J$9,1,IF(D647=$J$9,($J$8-$J$18)/$J$19,0))/$J$8</f>
        <v>0</v>
      </c>
    </row>
    <row r="648" spans="2:6" x14ac:dyDescent="0.2">
      <c r="B648" s="19">
        <f>Historique!B648</f>
        <v>45321</v>
      </c>
      <c r="C648" s="13">
        <f>RL_NAV*($I$10*Historique!D648+$I$11*Historique!E648+$I$12*Historique!F648+$I$21*Historique!G648)</f>
        <v>-3998499.6136553274</v>
      </c>
      <c r="D648" s="13">
        <f>RL_NAV*($J$10*Historique!D648+$J$11*Historique!E648+$J$12*Historique!F648+$J$21*Historique!G648)</f>
        <v>-3884112.1472664285</v>
      </c>
      <c r="E648" s="20">
        <f t="shared" si="20"/>
        <v>0</v>
      </c>
      <c r="F648" s="20">
        <f t="shared" si="21"/>
        <v>0</v>
      </c>
    </row>
    <row r="649" spans="2:6" x14ac:dyDescent="0.2">
      <c r="B649" s="19">
        <f>Historique!B649</f>
        <v>45322</v>
      </c>
      <c r="C649" s="13">
        <f>RL_NAV*($I$10*Historique!D649+$I$11*Historique!E649+$I$12*Historique!F649+$I$21*Historique!G649)</f>
        <v>-3317661.0743493945</v>
      </c>
      <c r="D649" s="13">
        <f>RL_NAV*($J$10*Historique!D649+$J$11*Historique!E649+$J$12*Historique!F649+$J$21*Historique!G649)</f>
        <v>-3342391.9734884659</v>
      </c>
      <c r="E649" s="20">
        <f t="shared" si="20"/>
        <v>0</v>
      </c>
      <c r="F649" s="20">
        <f t="shared" si="21"/>
        <v>0</v>
      </c>
    </row>
    <row r="650" spans="2:6" x14ac:dyDescent="0.2">
      <c r="B650" s="19">
        <f>Historique!B650</f>
        <v>45323</v>
      </c>
      <c r="C650" s="13">
        <f>RL_NAV*($I$10*Historique!D650+$I$11*Historique!E650+$I$12*Historique!F650+$I$21*Historique!G650)</f>
        <v>-2206242.4681566665</v>
      </c>
      <c r="D650" s="13">
        <f>RL_NAV*($J$10*Historique!D650+$J$11*Historique!E650+$J$12*Historique!F650+$J$21*Historique!G650)</f>
        <v>-2149111.4392450396</v>
      </c>
      <c r="E650" s="20">
        <f t="shared" si="20"/>
        <v>0</v>
      </c>
      <c r="F650" s="20">
        <f t="shared" si="21"/>
        <v>0</v>
      </c>
    </row>
    <row r="651" spans="2:6" x14ac:dyDescent="0.2">
      <c r="B651" s="19">
        <f>Historique!B651</f>
        <v>45324</v>
      </c>
      <c r="C651" s="13">
        <f>RL_NAV*($I$10*Historique!D651+$I$11*Historique!E651+$I$12*Historique!F651+$I$21*Historique!G651)</f>
        <v>7959414.742905098</v>
      </c>
      <c r="D651" s="13">
        <f>RL_NAV*($J$10*Historique!D651+$J$11*Historique!E651+$J$12*Historique!F651+$J$21*Historique!G651)</f>
        <v>7875768.8331879983</v>
      </c>
      <c r="E651" s="20">
        <f t="shared" si="20"/>
        <v>0</v>
      </c>
      <c r="F651" s="20">
        <f t="shared" si="21"/>
        <v>0</v>
      </c>
    </row>
    <row r="652" spans="2:6" x14ac:dyDescent="0.2">
      <c r="B652" s="19">
        <f>Historique!B652</f>
        <v>45327</v>
      </c>
      <c r="C652" s="13">
        <f>RL_NAV*($I$10*Historique!D652+$I$11*Historique!E652+$I$12*Historique!F652+$I$21*Historique!G652)</f>
        <v>11882383.67131727</v>
      </c>
      <c r="D652" s="13">
        <f>RL_NAV*($J$10*Historique!D652+$J$11*Historique!E652+$J$12*Historique!F652+$J$21*Historique!G652)</f>
        <v>11725900.449405136</v>
      </c>
      <c r="E652" s="20">
        <f t="shared" si="20"/>
        <v>0</v>
      </c>
      <c r="F652" s="20">
        <f t="shared" si="21"/>
        <v>0</v>
      </c>
    </row>
    <row r="653" spans="2:6" x14ac:dyDescent="0.2">
      <c r="B653" s="19">
        <f>Historique!B653</f>
        <v>45328</v>
      </c>
      <c r="C653" s="13">
        <f>RL_NAV*($I$10*Historique!D653+$I$11*Historique!E653+$I$12*Historique!F653+$I$21*Historique!G653)</f>
        <v>-816578.4044825295</v>
      </c>
      <c r="D653" s="13">
        <f>RL_NAV*($J$10*Historique!D653+$J$11*Historique!E653+$J$12*Historique!F653+$J$21*Historique!G653)</f>
        <v>-784204.34994871716</v>
      </c>
      <c r="E653" s="20">
        <f t="shared" si="20"/>
        <v>0</v>
      </c>
      <c r="F653" s="20">
        <f t="shared" si="21"/>
        <v>0</v>
      </c>
    </row>
    <row r="654" spans="2:6" x14ac:dyDescent="0.2">
      <c r="B654" s="19">
        <f>Historique!B654</f>
        <v>45329</v>
      </c>
      <c r="C654" s="13">
        <f>RL_NAV*($I$10*Historique!D654+$I$11*Historique!E654+$I$12*Historique!F654+$I$21*Historique!G654)</f>
        <v>2848000.669372844</v>
      </c>
      <c r="D654" s="13">
        <f>RL_NAV*($J$10*Historique!D654+$J$11*Historique!E654+$J$12*Historique!F654+$J$21*Historique!G654)</f>
        <v>2742321.3245638618</v>
      </c>
      <c r="E654" s="20">
        <f t="shared" si="20"/>
        <v>0</v>
      </c>
      <c r="F654" s="20">
        <f t="shared" si="21"/>
        <v>0</v>
      </c>
    </row>
    <row r="655" spans="2:6" x14ac:dyDescent="0.2">
      <c r="B655" s="19">
        <f>Historique!B655</f>
        <v>45330</v>
      </c>
      <c r="C655" s="13">
        <f>RL_NAV*($I$10*Historique!D655+$I$11*Historique!E655+$I$12*Historique!F655+$I$21*Historique!G655)</f>
        <v>7457548.2001695195</v>
      </c>
      <c r="D655" s="13">
        <f>RL_NAV*($J$10*Historique!D655+$J$11*Historique!E655+$J$12*Historique!F655+$J$21*Historique!G655)</f>
        <v>7375815.0375753287</v>
      </c>
      <c r="E655" s="20">
        <f t="shared" si="20"/>
        <v>0</v>
      </c>
      <c r="F655" s="20">
        <f t="shared" si="21"/>
        <v>0</v>
      </c>
    </row>
    <row r="656" spans="2:6" x14ac:dyDescent="0.2">
      <c r="B656" s="19">
        <f>Historique!B656</f>
        <v>45331</v>
      </c>
      <c r="C656" s="13">
        <f>RL_NAV*($I$10*Historique!D656+$I$11*Historique!E656+$I$12*Historique!F656+$I$21*Historique!G656)</f>
        <v>4169242.9100136841</v>
      </c>
      <c r="D656" s="13">
        <f>RL_NAV*($J$10*Historique!D656+$J$11*Historique!E656+$J$12*Historique!F656+$J$21*Historique!G656)</f>
        <v>4155516.4377476452</v>
      </c>
      <c r="E656" s="20">
        <f t="shared" si="20"/>
        <v>0</v>
      </c>
      <c r="F656" s="20">
        <f t="shared" si="21"/>
        <v>0</v>
      </c>
    </row>
    <row r="657" spans="2:6" x14ac:dyDescent="0.2">
      <c r="B657" s="19">
        <f>Historique!B657</f>
        <v>45334</v>
      </c>
      <c r="C657" s="13">
        <f>RL_NAV*($I$10*Historique!D657+$I$11*Historique!E657+$I$12*Historique!F657+$I$21*Historique!G657)</f>
        <v>-4313892.8719189586</v>
      </c>
      <c r="D657" s="13">
        <f>RL_NAV*($J$10*Historique!D657+$J$11*Historique!E657+$J$12*Historique!F657+$J$21*Historique!G657)</f>
        <v>-4216123.435156526</v>
      </c>
      <c r="E657" s="20">
        <f t="shared" si="20"/>
        <v>0</v>
      </c>
      <c r="F657" s="20">
        <f t="shared" si="21"/>
        <v>0</v>
      </c>
    </row>
    <row r="658" spans="2:6" x14ac:dyDescent="0.2">
      <c r="B658" s="19">
        <f>Historique!B658</f>
        <v>45335</v>
      </c>
      <c r="C658" s="13">
        <f>RL_NAV*($I$10*Historique!D658+$I$11*Historique!E658+$I$12*Historique!F658+$I$21*Historique!G658)</f>
        <v>1714595.14529721</v>
      </c>
      <c r="D658" s="13">
        <f>RL_NAV*($J$10*Historique!D658+$J$11*Historique!E658+$J$12*Historique!F658+$J$21*Historique!G658)</f>
        <v>1735569.2915122816</v>
      </c>
      <c r="E658" s="20">
        <f t="shared" si="20"/>
        <v>0</v>
      </c>
      <c r="F658" s="20">
        <f t="shared" si="21"/>
        <v>0</v>
      </c>
    </row>
    <row r="659" spans="2:6" x14ac:dyDescent="0.2">
      <c r="B659" s="19">
        <f>Historique!B659</f>
        <v>45336</v>
      </c>
      <c r="C659" s="13">
        <f>RL_NAV*($I$10*Historique!D659+$I$11*Historique!E659+$I$12*Historique!F659+$I$21*Historique!G659)</f>
        <v>2722600.1152472962</v>
      </c>
      <c r="D659" s="13">
        <f>RL_NAV*($J$10*Historique!D659+$J$11*Historique!E659+$J$12*Historique!F659+$J$21*Historique!G659)</f>
        <v>2659912.2571634063</v>
      </c>
      <c r="E659" s="20">
        <f t="shared" si="20"/>
        <v>0</v>
      </c>
      <c r="F659" s="20">
        <f t="shared" si="21"/>
        <v>0</v>
      </c>
    </row>
    <row r="660" spans="2:6" x14ac:dyDescent="0.2">
      <c r="B660" s="19">
        <f>Historique!B660</f>
        <v>45337</v>
      </c>
      <c r="C660" s="13">
        <f>RL_NAV*($I$10*Historique!D660+$I$11*Historique!E660+$I$12*Historique!F660+$I$21*Historique!G660)</f>
        <v>-7269877.6219586283</v>
      </c>
      <c r="D660" s="13">
        <f>RL_NAV*($J$10*Historique!D660+$J$11*Historique!E660+$J$12*Historique!F660+$J$21*Historique!G660)</f>
        <v>-7144235.0852506012</v>
      </c>
      <c r="E660" s="20">
        <f t="shared" si="20"/>
        <v>0</v>
      </c>
      <c r="F660" s="20">
        <f t="shared" si="21"/>
        <v>0</v>
      </c>
    </row>
    <row r="661" spans="2:6" x14ac:dyDescent="0.2">
      <c r="B661" s="19">
        <f>Historique!B661</f>
        <v>45338</v>
      </c>
      <c r="C661" s="13">
        <f>RL_NAV*($I$10*Historique!D661+$I$11*Historique!E661+$I$12*Historique!F661+$I$21*Historique!G661)</f>
        <v>8211790.5014011785</v>
      </c>
      <c r="D661" s="13">
        <f>RL_NAV*($J$10*Historique!D661+$J$11*Historique!E661+$J$12*Historique!F661+$J$21*Historique!G661)</f>
        <v>8165693.9698892022</v>
      </c>
      <c r="E661" s="20">
        <f t="shared" si="20"/>
        <v>0</v>
      </c>
      <c r="F661" s="20">
        <f t="shared" si="21"/>
        <v>0</v>
      </c>
    </row>
    <row r="662" spans="2:6" x14ac:dyDescent="0.2">
      <c r="B662" s="19">
        <f>Historique!B662</f>
        <v>45341</v>
      </c>
      <c r="C662" s="13">
        <f>RL_NAV*($I$10*Historique!D662+$I$11*Historique!E662+$I$12*Historique!F662+$I$21*Historique!G662)</f>
        <v>1471429.6411941627</v>
      </c>
      <c r="D662" s="13">
        <f>RL_NAV*($J$10*Historique!D662+$J$11*Historique!E662+$J$12*Historique!F662+$J$21*Historique!G662)</f>
        <v>1429172.1675728837</v>
      </c>
      <c r="E662" s="20">
        <f t="shared" si="20"/>
        <v>0</v>
      </c>
      <c r="F662" s="20">
        <f t="shared" si="21"/>
        <v>0</v>
      </c>
    </row>
    <row r="663" spans="2:6" x14ac:dyDescent="0.2">
      <c r="B663" s="19">
        <f>Historique!B663</f>
        <v>45342</v>
      </c>
      <c r="C663" s="13">
        <f>RL_NAV*($I$10*Historique!D663+$I$11*Historique!E663+$I$12*Historique!F663+$I$21*Historique!G663)</f>
        <v>-6118580.1488360502</v>
      </c>
      <c r="D663" s="13">
        <f>RL_NAV*($J$10*Historique!D663+$J$11*Historique!E663+$J$12*Historique!F663+$J$21*Historique!G663)</f>
        <v>-6028190.6842540503</v>
      </c>
      <c r="E663" s="20">
        <f t="shared" si="20"/>
        <v>0</v>
      </c>
      <c r="F663" s="20">
        <f t="shared" si="21"/>
        <v>0</v>
      </c>
    </row>
    <row r="664" spans="2:6" x14ac:dyDescent="0.2">
      <c r="B664" s="19">
        <f>Historique!B664</f>
        <v>45343</v>
      </c>
      <c r="C664" s="13">
        <f>RL_NAV*($I$10*Historique!D664+$I$11*Historique!E664+$I$12*Historique!F664+$I$21*Historique!G664)</f>
        <v>1297540.518856877</v>
      </c>
      <c r="D664" s="13">
        <f>RL_NAV*($J$10*Historique!D664+$J$11*Historique!E664+$J$12*Historique!F664+$J$21*Historique!G664)</f>
        <v>1329722.5096113984</v>
      </c>
      <c r="E664" s="20">
        <f t="shared" si="20"/>
        <v>0</v>
      </c>
      <c r="F664" s="20">
        <f t="shared" si="21"/>
        <v>0</v>
      </c>
    </row>
    <row r="665" spans="2:6" x14ac:dyDescent="0.2">
      <c r="B665" s="19">
        <f>Historique!B665</f>
        <v>45344</v>
      </c>
      <c r="C665" s="13">
        <f>RL_NAV*($I$10*Historique!D665+$I$11*Historique!E665+$I$12*Historique!F665+$I$21*Historique!G665)</f>
        <v>2089854.7373068375</v>
      </c>
      <c r="D665" s="13">
        <f>RL_NAV*($J$10*Historique!D665+$J$11*Historique!E665+$J$12*Historique!F665+$J$21*Historique!G665)</f>
        <v>2115613.6191290407</v>
      </c>
      <c r="E665" s="20">
        <f t="shared" si="20"/>
        <v>0</v>
      </c>
      <c r="F665" s="20">
        <f t="shared" si="21"/>
        <v>0</v>
      </c>
    </row>
    <row r="666" spans="2:6" x14ac:dyDescent="0.2">
      <c r="B666" s="19">
        <f>Historique!B666</f>
        <v>45345</v>
      </c>
      <c r="C666" s="13">
        <f>RL_NAV*($I$10*Historique!D666+$I$11*Historique!E666+$I$12*Historique!F666+$I$21*Historique!G666)</f>
        <v>-12212723.459831452</v>
      </c>
      <c r="D666" s="13">
        <f>RL_NAV*($J$10*Historique!D666+$J$11*Historique!E666+$J$12*Historique!F666+$J$21*Historique!G666)</f>
        <v>-11943377.383273771</v>
      </c>
      <c r="E666" s="20">
        <f t="shared" si="20"/>
        <v>0</v>
      </c>
      <c r="F666" s="20">
        <f t="shared" si="21"/>
        <v>0</v>
      </c>
    </row>
    <row r="667" spans="2:6" x14ac:dyDescent="0.2">
      <c r="B667" s="19">
        <f>Historique!B667</f>
        <v>45348</v>
      </c>
      <c r="C667" s="13">
        <f>RL_NAV*($I$10*Historique!D667+$I$11*Historique!E667+$I$12*Historique!F667+$I$21*Historique!G667)</f>
        <v>9528265.9927681684</v>
      </c>
      <c r="D667" s="13">
        <f>RL_NAV*($J$10*Historique!D667+$J$11*Historique!E667+$J$12*Historique!F667+$J$21*Historique!G667)</f>
        <v>9355988.004939422</v>
      </c>
      <c r="E667" s="20">
        <f t="shared" si="20"/>
        <v>0</v>
      </c>
      <c r="F667" s="20">
        <f t="shared" si="21"/>
        <v>0</v>
      </c>
    </row>
    <row r="668" spans="2:6" x14ac:dyDescent="0.2">
      <c r="B668" s="19">
        <f>Historique!B668</f>
        <v>45349</v>
      </c>
      <c r="C668" s="13">
        <f>RL_NAV*($I$10*Historique!D668+$I$11*Historique!E668+$I$12*Historique!F668+$I$21*Historique!G668)</f>
        <v>3610762.6912336843</v>
      </c>
      <c r="D668" s="13">
        <f>RL_NAV*($J$10*Historique!D668+$J$11*Historique!E668+$J$12*Historique!F668+$J$21*Historique!G668)</f>
        <v>3533190.4919908848</v>
      </c>
      <c r="E668" s="20">
        <f t="shared" si="20"/>
        <v>0</v>
      </c>
      <c r="F668" s="20">
        <f t="shared" si="21"/>
        <v>0</v>
      </c>
    </row>
    <row r="669" spans="2:6" x14ac:dyDescent="0.2">
      <c r="B669" s="19">
        <f>Historique!B669</f>
        <v>45350</v>
      </c>
      <c r="C669" s="13">
        <f>RL_NAV*($I$10*Historique!D669+$I$11*Historique!E669+$I$12*Historique!F669+$I$21*Historique!G669)</f>
        <v>2323171.0316750868</v>
      </c>
      <c r="D669" s="13">
        <f>RL_NAV*($J$10*Historique!D669+$J$11*Historique!E669+$J$12*Historique!F669+$J$21*Historique!G669)</f>
        <v>2288937.2530181021</v>
      </c>
      <c r="E669" s="20">
        <f t="shared" si="20"/>
        <v>0</v>
      </c>
      <c r="F669" s="20">
        <f t="shared" si="21"/>
        <v>0</v>
      </c>
    </row>
    <row r="670" spans="2:6" x14ac:dyDescent="0.2">
      <c r="B670" s="19">
        <f>Historique!B670</f>
        <v>45351</v>
      </c>
      <c r="C670" s="13">
        <f>RL_NAV*($I$10*Historique!D670+$I$11*Historique!E670+$I$12*Historique!F670+$I$21*Historique!G670)</f>
        <v>-51674.957833947432</v>
      </c>
      <c r="D670" s="13">
        <f>RL_NAV*($J$10*Historique!D670+$J$11*Historique!E670+$J$12*Historique!F670+$J$21*Historique!G670)</f>
        <v>-83432.955923494665</v>
      </c>
      <c r="E670" s="20">
        <f t="shared" si="20"/>
        <v>0</v>
      </c>
      <c r="F670" s="20">
        <f t="shared" si="21"/>
        <v>0</v>
      </c>
    </row>
    <row r="671" spans="2:6" x14ac:dyDescent="0.2">
      <c r="B671" s="19">
        <f>Historique!B671</f>
        <v>45352</v>
      </c>
      <c r="C671" s="13">
        <f>RL_NAV*($I$10*Historique!D671+$I$11*Historique!E671+$I$12*Historique!F671+$I$21*Historique!G671)</f>
        <v>7521967.7628030945</v>
      </c>
      <c r="D671" s="13">
        <f>RL_NAV*($J$10*Historique!D671+$J$11*Historique!E671+$J$12*Historique!F671+$J$21*Historique!G671)</f>
        <v>7323938.3233622201</v>
      </c>
      <c r="E671" s="20">
        <f t="shared" si="20"/>
        <v>0</v>
      </c>
      <c r="F671" s="20">
        <f t="shared" si="21"/>
        <v>0</v>
      </c>
    </row>
    <row r="672" spans="2:6" x14ac:dyDescent="0.2">
      <c r="B672" s="19">
        <f>Historique!B672</f>
        <v>45355</v>
      </c>
      <c r="C672" s="13">
        <f>RL_NAV*($I$10*Historique!D672+$I$11*Historique!E672+$I$12*Historique!F672+$I$21*Historique!G672)</f>
        <v>-6679474.1923762029</v>
      </c>
      <c r="D672" s="13">
        <f>RL_NAV*($J$10*Historique!D672+$J$11*Historique!E672+$J$12*Historique!F672+$J$21*Historique!G672)</f>
        <v>-6579201.5697560348</v>
      </c>
      <c r="E672" s="20">
        <f t="shared" si="20"/>
        <v>0</v>
      </c>
      <c r="F672" s="20">
        <f t="shared" si="21"/>
        <v>0</v>
      </c>
    </row>
    <row r="673" spans="2:6" x14ac:dyDescent="0.2">
      <c r="B673" s="19">
        <f>Historique!B673</f>
        <v>45356</v>
      </c>
      <c r="C673" s="13">
        <f>RL_NAV*($I$10*Historique!D673+$I$11*Historique!E673+$I$12*Historique!F673+$I$21*Historique!G673)</f>
        <v>-9786070.8239263091</v>
      </c>
      <c r="D673" s="13">
        <f>RL_NAV*($J$10*Historique!D673+$J$11*Historique!E673+$J$12*Historique!F673+$J$21*Historique!G673)</f>
        <v>-9601973.427008288</v>
      </c>
      <c r="E673" s="20">
        <f t="shared" si="20"/>
        <v>0</v>
      </c>
      <c r="F673" s="20">
        <f t="shared" si="21"/>
        <v>0</v>
      </c>
    </row>
    <row r="674" spans="2:6" x14ac:dyDescent="0.2">
      <c r="B674" s="19">
        <f>Historique!B674</f>
        <v>45357</v>
      </c>
      <c r="C674" s="13">
        <f>RL_NAV*($I$10*Historique!D674+$I$11*Historique!E674+$I$12*Historique!F674+$I$21*Historique!G674)</f>
        <v>-737226.45844374376</v>
      </c>
      <c r="D674" s="13">
        <f>RL_NAV*($J$10*Historique!D674+$J$11*Historique!E674+$J$12*Historique!F674+$J$21*Historique!G674)</f>
        <v>-730780.16749170981</v>
      </c>
      <c r="E674" s="20">
        <f t="shared" si="20"/>
        <v>0</v>
      </c>
      <c r="F674" s="20">
        <f t="shared" si="21"/>
        <v>0</v>
      </c>
    </row>
    <row r="675" spans="2:6" x14ac:dyDescent="0.2">
      <c r="B675" s="19">
        <f>Historique!B675</f>
        <v>45358</v>
      </c>
      <c r="C675" s="13">
        <f>RL_NAV*($I$10*Historique!D675+$I$11*Historique!E675+$I$12*Historique!F675+$I$21*Historique!G675)</f>
        <v>1928779.3495158046</v>
      </c>
      <c r="D675" s="13">
        <f>RL_NAV*($J$10*Historique!D675+$J$11*Historique!E675+$J$12*Historique!F675+$J$21*Historique!G675)</f>
        <v>1871441.0818520326</v>
      </c>
      <c r="E675" s="20">
        <f t="shared" si="20"/>
        <v>0</v>
      </c>
      <c r="F675" s="20">
        <f t="shared" si="21"/>
        <v>0</v>
      </c>
    </row>
    <row r="676" spans="2:6" x14ac:dyDescent="0.2">
      <c r="B676" s="19">
        <f>Historique!B676</f>
        <v>45359</v>
      </c>
      <c r="C676" s="13">
        <f>RL_NAV*($I$10*Historique!D676+$I$11*Historique!E676+$I$12*Historique!F676+$I$21*Historique!G676)</f>
        <v>-9426178.5347530004</v>
      </c>
      <c r="D676" s="13">
        <f>RL_NAV*($J$10*Historique!D676+$J$11*Historique!E676+$J$12*Historique!F676+$J$21*Historique!G676)</f>
        <v>-9319718.6494291797</v>
      </c>
      <c r="E676" s="20">
        <f t="shared" si="20"/>
        <v>0</v>
      </c>
      <c r="F676" s="20">
        <f t="shared" si="21"/>
        <v>0</v>
      </c>
    </row>
    <row r="677" spans="2:6" x14ac:dyDescent="0.2">
      <c r="B677" s="19">
        <f>Historique!B677</f>
        <v>45362</v>
      </c>
      <c r="C677" s="13">
        <f>RL_NAV*($I$10*Historique!D677+$I$11*Historique!E677+$I$12*Historique!F677+$I$21*Historique!G677)</f>
        <v>4742257.6687644487</v>
      </c>
      <c r="D677" s="13">
        <f>RL_NAV*($J$10*Historique!D677+$J$11*Historique!E677+$J$12*Historique!F677+$J$21*Historique!G677)</f>
        <v>4701166.047783575</v>
      </c>
      <c r="E677" s="20">
        <f t="shared" si="20"/>
        <v>0</v>
      </c>
      <c r="F677" s="20">
        <f t="shared" si="21"/>
        <v>0</v>
      </c>
    </row>
    <row r="678" spans="2:6" x14ac:dyDescent="0.2">
      <c r="B678" s="19">
        <f>Historique!B678</f>
        <v>45363</v>
      </c>
      <c r="C678" s="13">
        <f>RL_NAV*($I$10*Historique!D678+$I$11*Historique!E678+$I$12*Historique!F678+$I$21*Historique!G678)</f>
        <v>2122923.9729718552</v>
      </c>
      <c r="D678" s="13">
        <f>RL_NAV*($J$10*Historique!D678+$J$11*Historique!E678+$J$12*Historique!F678+$J$21*Historique!G678)</f>
        <v>2133000.4335804386</v>
      </c>
      <c r="E678" s="20">
        <f t="shared" si="20"/>
        <v>0</v>
      </c>
      <c r="F678" s="20">
        <f t="shared" si="21"/>
        <v>0</v>
      </c>
    </row>
    <row r="679" spans="2:6" x14ac:dyDescent="0.2">
      <c r="B679" s="19">
        <f>Historique!B679</f>
        <v>45364</v>
      </c>
      <c r="C679" s="13">
        <f>RL_NAV*($I$10*Historique!D679+$I$11*Historique!E679+$I$12*Historique!F679+$I$21*Historique!G679)</f>
        <v>-1006397.2352895701</v>
      </c>
      <c r="D679" s="13">
        <f>RL_NAV*($J$10*Historique!D679+$J$11*Historique!E679+$J$12*Historique!F679+$J$21*Historique!G679)</f>
        <v>-959462.67580952519</v>
      </c>
      <c r="E679" s="20">
        <f t="shared" si="20"/>
        <v>0</v>
      </c>
      <c r="F679" s="20">
        <f t="shared" si="21"/>
        <v>0</v>
      </c>
    </row>
    <row r="680" spans="2:6" x14ac:dyDescent="0.2">
      <c r="B680" s="19">
        <f>Historique!B680</f>
        <v>45365</v>
      </c>
      <c r="C680" s="13">
        <f>RL_NAV*($I$10*Historique!D680+$I$11*Historique!E680+$I$12*Historique!F680+$I$21*Historique!G680)</f>
        <v>5244715.8030947391</v>
      </c>
      <c r="D680" s="13">
        <f>RL_NAV*($J$10*Historique!D680+$J$11*Historique!E680+$J$12*Historique!F680+$J$21*Historique!G680)</f>
        <v>5208578.2034378387</v>
      </c>
      <c r="E680" s="20">
        <f t="shared" si="20"/>
        <v>0</v>
      </c>
      <c r="F680" s="20">
        <f t="shared" si="21"/>
        <v>0</v>
      </c>
    </row>
    <row r="681" spans="2:6" x14ac:dyDescent="0.2">
      <c r="B681" s="19">
        <f>Historique!B681</f>
        <v>45366</v>
      </c>
      <c r="C681" s="13">
        <f>RL_NAV*($I$10*Historique!D681+$I$11*Historique!E681+$I$12*Historique!F681+$I$21*Historique!G681)</f>
        <v>-560184.43387603527</v>
      </c>
      <c r="D681" s="13">
        <f>RL_NAV*($J$10*Historique!D681+$J$11*Historique!E681+$J$12*Historique!F681+$J$21*Historique!G681)</f>
        <v>-493377.40627174516</v>
      </c>
      <c r="E681" s="20">
        <f t="shared" si="20"/>
        <v>0</v>
      </c>
      <c r="F681" s="20">
        <f t="shared" si="21"/>
        <v>0</v>
      </c>
    </row>
    <row r="682" spans="2:6" x14ac:dyDescent="0.2">
      <c r="B682" s="19">
        <f>Historique!B682</f>
        <v>45369</v>
      </c>
      <c r="C682" s="13">
        <f>RL_NAV*($I$10*Historique!D682+$I$11*Historique!E682+$I$12*Historique!F682+$I$21*Historique!G682)</f>
        <v>-468631.58429364901</v>
      </c>
      <c r="D682" s="13">
        <f>RL_NAV*($J$10*Historique!D682+$J$11*Historique!E682+$J$12*Historique!F682+$J$21*Historique!G682)</f>
        <v>-448219.0242287665</v>
      </c>
      <c r="E682" s="20">
        <f t="shared" si="20"/>
        <v>0</v>
      </c>
      <c r="F682" s="20">
        <f t="shared" si="21"/>
        <v>0</v>
      </c>
    </row>
    <row r="683" spans="2:6" x14ac:dyDescent="0.2">
      <c r="B683" s="19">
        <f>Historique!B683</f>
        <v>45370</v>
      </c>
      <c r="C683" s="13">
        <f>RL_NAV*($I$10*Historique!D683+$I$11*Historique!E683+$I$12*Historique!F683+$I$21*Historique!G683)</f>
        <v>899427.72032647394</v>
      </c>
      <c r="D683" s="13">
        <f>RL_NAV*($J$10*Historique!D683+$J$11*Historique!E683+$J$12*Historique!F683+$J$21*Historique!G683)</f>
        <v>814424.99145348545</v>
      </c>
      <c r="E683" s="20">
        <f t="shared" si="20"/>
        <v>0</v>
      </c>
      <c r="F683" s="20">
        <f t="shared" si="21"/>
        <v>0</v>
      </c>
    </row>
    <row r="684" spans="2:6" x14ac:dyDescent="0.2">
      <c r="B684" s="19">
        <f>Historique!B684</f>
        <v>45371</v>
      </c>
      <c r="C684" s="13">
        <f>RL_NAV*($I$10*Historique!D684+$I$11*Historique!E684+$I$12*Historique!F684+$I$21*Historique!G684)</f>
        <v>1077858.7850287315</v>
      </c>
      <c r="D684" s="13">
        <f>RL_NAV*($J$10*Historique!D684+$J$11*Historique!E684+$J$12*Historique!F684+$J$21*Historique!G684)</f>
        <v>1073135.0776910803</v>
      </c>
      <c r="E684" s="20">
        <f t="shared" si="20"/>
        <v>0</v>
      </c>
      <c r="F684" s="20">
        <f t="shared" si="21"/>
        <v>0</v>
      </c>
    </row>
    <row r="685" spans="2:6" x14ac:dyDescent="0.2">
      <c r="B685" s="19">
        <f>Historique!B685</f>
        <v>45372</v>
      </c>
      <c r="C685" s="13">
        <f>RL_NAV*($I$10*Historique!D685+$I$11*Historique!E685+$I$12*Historique!F685+$I$21*Historique!G685)</f>
        <v>-1904101.4463064321</v>
      </c>
      <c r="D685" s="13">
        <f>RL_NAV*($J$10*Historique!D685+$J$11*Historique!E685+$J$12*Historique!F685+$J$21*Historique!G685)</f>
        <v>-1917219.8285949153</v>
      </c>
      <c r="E685" s="20">
        <f t="shared" si="20"/>
        <v>0</v>
      </c>
      <c r="F685" s="20">
        <f t="shared" si="21"/>
        <v>0</v>
      </c>
    </row>
    <row r="686" spans="2:6" x14ac:dyDescent="0.2">
      <c r="B686" s="19">
        <f>Historique!B686</f>
        <v>45373</v>
      </c>
      <c r="C686" s="13">
        <f>RL_NAV*($I$10*Historique!D686+$I$11*Historique!E686+$I$12*Historique!F686+$I$21*Historique!G686)</f>
        <v>-12914022.835907947</v>
      </c>
      <c r="D686" s="13">
        <f>RL_NAV*($J$10*Historique!D686+$J$11*Historique!E686+$J$12*Historique!F686+$J$21*Historique!G686)</f>
        <v>-12695869.413683001</v>
      </c>
      <c r="E686" s="20">
        <f t="shared" si="20"/>
        <v>0</v>
      </c>
      <c r="F686" s="20">
        <f t="shared" si="21"/>
        <v>0</v>
      </c>
    </row>
    <row r="687" spans="2:6" x14ac:dyDescent="0.2">
      <c r="B687" s="19">
        <f>Historique!B687</f>
        <v>45376</v>
      </c>
      <c r="C687" s="13">
        <f>RL_NAV*($I$10*Historique!D687+$I$11*Historique!E687+$I$12*Historique!F687+$I$21*Historique!G687)</f>
        <v>7746453.2937242724</v>
      </c>
      <c r="D687" s="13">
        <f>RL_NAV*($J$10*Historique!D687+$J$11*Historique!E687+$J$12*Historique!F687+$J$21*Historique!G687)</f>
        <v>7631397.7277036076</v>
      </c>
      <c r="E687" s="20">
        <f t="shared" si="20"/>
        <v>0</v>
      </c>
      <c r="F687" s="20">
        <f t="shared" si="21"/>
        <v>0</v>
      </c>
    </row>
    <row r="688" spans="2:6" x14ac:dyDescent="0.2">
      <c r="B688" s="19">
        <f>Historique!B688</f>
        <v>45377</v>
      </c>
      <c r="C688" s="13">
        <f>RL_NAV*($I$10*Historique!D688+$I$11*Historique!E688+$I$12*Historique!F688+$I$21*Historique!G688)</f>
        <v>-248562.38626640485</v>
      </c>
      <c r="D688" s="13">
        <f>RL_NAV*($J$10*Historique!D688+$J$11*Historique!E688+$J$12*Historique!F688+$J$21*Historique!G688)</f>
        <v>-260683.31635909097</v>
      </c>
      <c r="E688" s="20">
        <f t="shared" si="20"/>
        <v>0</v>
      </c>
      <c r="F688" s="20">
        <f t="shared" si="21"/>
        <v>0</v>
      </c>
    </row>
    <row r="689" spans="2:6" x14ac:dyDescent="0.2">
      <c r="B689" s="19">
        <f>Historique!B689</f>
        <v>45378</v>
      </c>
      <c r="C689" s="13">
        <f>RL_NAV*($I$10*Historique!D689+$I$11*Historique!E689+$I$12*Historique!F689+$I$21*Historique!G689)</f>
        <v>-10361436.599806551</v>
      </c>
      <c r="D689" s="13">
        <f>RL_NAV*($J$10*Historique!D689+$J$11*Historique!E689+$J$12*Historique!F689+$J$21*Historique!G689)</f>
        <v>-10194944.669447759</v>
      </c>
      <c r="E689" s="20">
        <f t="shared" si="20"/>
        <v>0</v>
      </c>
      <c r="F689" s="20">
        <f t="shared" si="21"/>
        <v>0</v>
      </c>
    </row>
    <row r="690" spans="2:6" x14ac:dyDescent="0.2">
      <c r="B690" s="19">
        <f>Historique!B690</f>
        <v>45379</v>
      </c>
      <c r="C690" s="13">
        <f>RL_NAV*($I$10*Historique!D690+$I$11*Historique!E690+$I$12*Historique!F690+$I$21*Historique!G690)</f>
        <v>-448996.31366178265</v>
      </c>
      <c r="D690" s="13">
        <f>RL_NAV*($J$10*Historique!D690+$J$11*Historique!E690+$J$12*Historique!F690+$J$21*Historique!G690)</f>
        <v>-420677.44561311766</v>
      </c>
      <c r="E690" s="20">
        <f t="shared" si="20"/>
        <v>0</v>
      </c>
      <c r="F690" s="20">
        <f t="shared" si="21"/>
        <v>0</v>
      </c>
    </row>
    <row r="691" spans="2:6" x14ac:dyDescent="0.2">
      <c r="B691" s="19">
        <f>Historique!B691</f>
        <v>45384</v>
      </c>
      <c r="C691" s="13">
        <f>RL_NAV*($I$10*Historique!D691+$I$11*Historique!E691+$I$12*Historique!F691+$I$21*Historique!G691)</f>
        <v>7549335.6525491774</v>
      </c>
      <c r="D691" s="13">
        <f>RL_NAV*($J$10*Historique!D691+$J$11*Historique!E691+$J$12*Historique!F691+$J$21*Historique!G691)</f>
        <v>7455032.4912951868</v>
      </c>
      <c r="E691" s="20">
        <f t="shared" si="20"/>
        <v>0</v>
      </c>
      <c r="F691" s="20">
        <f t="shared" si="21"/>
        <v>0</v>
      </c>
    </row>
    <row r="692" spans="2:6" x14ac:dyDescent="0.2">
      <c r="B692" s="19">
        <f>Historique!B692</f>
        <v>45385</v>
      </c>
      <c r="C692" s="13">
        <f>RL_NAV*($I$10*Historique!D692+$I$11*Historique!E692+$I$12*Historique!F692+$I$21*Historique!G692)</f>
        <v>-4128714.7150852247</v>
      </c>
      <c r="D692" s="13">
        <f>RL_NAV*($J$10*Historique!D692+$J$11*Historique!E692+$J$12*Historique!F692+$J$21*Historique!G692)</f>
        <v>-4002314.2772978875</v>
      </c>
      <c r="E692" s="20">
        <f t="shared" si="20"/>
        <v>0</v>
      </c>
      <c r="F692" s="20">
        <f t="shared" si="21"/>
        <v>0</v>
      </c>
    </row>
    <row r="693" spans="2:6" x14ac:dyDescent="0.2">
      <c r="B693" s="19">
        <f>Historique!B693</f>
        <v>45386</v>
      </c>
      <c r="C693" s="13">
        <f>RL_NAV*($I$10*Historique!D693+$I$11*Historique!E693+$I$12*Historique!F693+$I$21*Historique!G693)</f>
        <v>-9143925.8826759104</v>
      </c>
      <c r="D693" s="13">
        <f>RL_NAV*($J$10*Historique!D693+$J$11*Historique!E693+$J$12*Historique!F693+$J$21*Historique!G693)</f>
        <v>-8995950.9387703799</v>
      </c>
      <c r="E693" s="20">
        <f t="shared" si="20"/>
        <v>0</v>
      </c>
      <c r="F693" s="20">
        <f t="shared" si="21"/>
        <v>0</v>
      </c>
    </row>
    <row r="694" spans="2:6" x14ac:dyDescent="0.2">
      <c r="B694" s="19">
        <f>Historique!B694</f>
        <v>45387</v>
      </c>
      <c r="C694" s="13">
        <f>RL_NAV*($I$10*Historique!D694+$I$11*Historique!E694+$I$12*Historique!F694+$I$21*Historique!G694)</f>
        <v>1843529.8155215783</v>
      </c>
      <c r="D694" s="13">
        <f>RL_NAV*($J$10*Historique!D694+$J$11*Historique!E694+$J$12*Historique!F694+$J$21*Historique!G694)</f>
        <v>1846815.0091379262</v>
      </c>
      <c r="E694" s="20">
        <f t="shared" si="20"/>
        <v>0</v>
      </c>
      <c r="F694" s="20">
        <f t="shared" si="21"/>
        <v>0</v>
      </c>
    </row>
    <row r="695" spans="2:6" x14ac:dyDescent="0.2">
      <c r="B695" s="19">
        <f>Historique!B695</f>
        <v>45390</v>
      </c>
      <c r="C695" s="13">
        <f>RL_NAV*($I$10*Historique!D695+$I$11*Historique!E695+$I$12*Historique!F695+$I$21*Historique!G695)</f>
        <v>-85251.907847326365</v>
      </c>
      <c r="D695" s="13">
        <f>RL_NAV*($J$10*Historique!D695+$J$11*Historique!E695+$J$12*Historique!F695+$J$21*Historique!G695)</f>
        <v>-905.59941853013959</v>
      </c>
      <c r="E695" s="20">
        <f t="shared" si="20"/>
        <v>0</v>
      </c>
      <c r="F695" s="20">
        <f t="shared" si="21"/>
        <v>0</v>
      </c>
    </row>
    <row r="696" spans="2:6" x14ac:dyDescent="0.2">
      <c r="B696" s="19">
        <f>Historique!B696</f>
        <v>45391</v>
      </c>
      <c r="C696" s="13">
        <f>RL_NAV*($I$10*Historique!D696+$I$11*Historique!E696+$I$12*Historique!F696+$I$21*Historique!G696)</f>
        <v>-1909690.569197671</v>
      </c>
      <c r="D696" s="13">
        <f>RL_NAV*($J$10*Historique!D696+$J$11*Historique!E696+$J$12*Historique!F696+$J$21*Historique!G696)</f>
        <v>-1908784.9872542769</v>
      </c>
      <c r="E696" s="20">
        <f t="shared" si="20"/>
        <v>0</v>
      </c>
      <c r="F696" s="20">
        <f t="shared" si="21"/>
        <v>0</v>
      </c>
    </row>
    <row r="697" spans="2:6" x14ac:dyDescent="0.2">
      <c r="B697" s="19">
        <f>Historique!B697</f>
        <v>45392</v>
      </c>
      <c r="C697" s="13">
        <f>RL_NAV*($I$10*Historique!D697+$I$11*Historique!E697+$I$12*Historique!F697+$I$21*Historique!G697)</f>
        <v>9026310.820115732</v>
      </c>
      <c r="D697" s="13">
        <f>RL_NAV*($J$10*Historique!D697+$J$11*Historique!E697+$J$12*Historique!F697+$J$21*Historique!G697)</f>
        <v>8865857.1301530078</v>
      </c>
      <c r="E697" s="20">
        <f t="shared" si="20"/>
        <v>0</v>
      </c>
      <c r="F697" s="20">
        <f t="shared" si="21"/>
        <v>0</v>
      </c>
    </row>
    <row r="698" spans="2:6" x14ac:dyDescent="0.2">
      <c r="B698" s="19">
        <f>Historique!B698</f>
        <v>45393</v>
      </c>
      <c r="C698" s="13">
        <f>RL_NAV*($I$10*Historique!D698+$I$11*Historique!E698+$I$12*Historique!F698+$I$21*Historique!G698)</f>
        <v>247136.93043930235</v>
      </c>
      <c r="D698" s="13">
        <f>RL_NAV*($J$10*Historique!D698+$J$11*Historique!E698+$J$12*Historique!F698+$J$21*Historique!G698)</f>
        <v>277097.43836907705</v>
      </c>
      <c r="E698" s="20">
        <f t="shared" si="20"/>
        <v>0</v>
      </c>
      <c r="F698" s="20">
        <f t="shared" si="21"/>
        <v>0</v>
      </c>
    </row>
    <row r="699" spans="2:6" x14ac:dyDescent="0.2">
      <c r="B699" s="19">
        <f>Historique!B699</f>
        <v>45394</v>
      </c>
      <c r="C699" s="13">
        <f>RL_NAV*($I$10*Historique!D699+$I$11*Historique!E699+$I$12*Historique!F699+$I$21*Historique!G699)</f>
        <v>-6530756.5372702256</v>
      </c>
      <c r="D699" s="13">
        <f>RL_NAV*($J$10*Historique!D699+$J$11*Historique!E699+$J$12*Historique!F699+$J$21*Historique!G699)</f>
        <v>-6565795.1342554148</v>
      </c>
      <c r="E699" s="20">
        <f t="shared" si="20"/>
        <v>0</v>
      </c>
      <c r="F699" s="20">
        <f t="shared" si="21"/>
        <v>0</v>
      </c>
    </row>
    <row r="700" spans="2:6" x14ac:dyDescent="0.2">
      <c r="B700" s="19">
        <f>Historique!B700</f>
        <v>45397</v>
      </c>
      <c r="C700" s="13">
        <f>RL_NAV*($I$10*Historique!D700+$I$11*Historique!E700+$I$12*Historique!F700+$I$21*Historique!G700)</f>
        <v>12912084.171943478</v>
      </c>
      <c r="D700" s="13">
        <f>RL_NAV*($J$10*Historique!D700+$J$11*Historique!E700+$J$12*Historique!F700+$J$21*Historique!G700)</f>
        <v>12687576.158287074</v>
      </c>
      <c r="E700" s="20">
        <f t="shared" si="20"/>
        <v>0</v>
      </c>
      <c r="F700" s="20">
        <f t="shared" si="21"/>
        <v>0</v>
      </c>
    </row>
    <row r="701" spans="2:6" x14ac:dyDescent="0.2">
      <c r="B701" s="19">
        <f>Historique!B701</f>
        <v>45398</v>
      </c>
      <c r="C701" s="13">
        <f>RL_NAV*($I$10*Historique!D701+$I$11*Historique!E701+$I$12*Historique!F701+$I$21*Historique!G701)</f>
        <v>9313236.7341540884</v>
      </c>
      <c r="D701" s="13">
        <f>RL_NAV*($J$10*Historique!D701+$J$11*Historique!E701+$J$12*Historique!F701+$J$21*Historique!G701)</f>
        <v>9141030.4653138556</v>
      </c>
      <c r="E701" s="20">
        <f t="shared" si="20"/>
        <v>0</v>
      </c>
      <c r="F701" s="20">
        <f t="shared" si="21"/>
        <v>0</v>
      </c>
    </row>
    <row r="702" spans="2:6" x14ac:dyDescent="0.2">
      <c r="B702" s="19">
        <f>Historique!B702</f>
        <v>45399</v>
      </c>
      <c r="C702" s="13">
        <f>RL_NAV*($I$10*Historique!D702+$I$11*Historique!E702+$I$12*Historique!F702+$I$21*Historique!G702)</f>
        <v>609412.46320637746</v>
      </c>
      <c r="D702" s="13">
        <f>RL_NAV*($J$10*Historique!D702+$J$11*Historique!E702+$J$12*Historique!F702+$J$21*Historique!G702)</f>
        <v>594825.02905037627</v>
      </c>
      <c r="E702" s="20">
        <f t="shared" si="20"/>
        <v>0</v>
      </c>
      <c r="F702" s="20">
        <f t="shared" si="21"/>
        <v>0</v>
      </c>
    </row>
    <row r="703" spans="2:6" x14ac:dyDescent="0.2">
      <c r="B703" s="19">
        <f>Historique!B703</f>
        <v>45400</v>
      </c>
      <c r="C703" s="13">
        <f>RL_NAV*($I$10*Historique!D703+$I$11*Historique!E703+$I$12*Historique!F703+$I$21*Historique!G703)</f>
        <v>2201096.9735293859</v>
      </c>
      <c r="D703" s="13">
        <f>RL_NAV*($J$10*Historique!D703+$J$11*Historique!E703+$J$12*Historique!F703+$J$21*Historique!G703)</f>
        <v>2182795.0205719951</v>
      </c>
      <c r="E703" s="20">
        <f t="shared" si="20"/>
        <v>0</v>
      </c>
      <c r="F703" s="20">
        <f t="shared" si="21"/>
        <v>0</v>
      </c>
    </row>
    <row r="704" spans="2:6" x14ac:dyDescent="0.2">
      <c r="B704" s="19">
        <f>Historique!B704</f>
        <v>45401</v>
      </c>
      <c r="C704" s="13">
        <f>RL_NAV*($I$10*Historique!D704+$I$11*Historique!E704+$I$12*Historique!F704+$I$21*Historique!G704)</f>
        <v>5900168.0753668789</v>
      </c>
      <c r="D704" s="13">
        <f>RL_NAV*($J$10*Historique!D704+$J$11*Historique!E704+$J$12*Historique!F704+$J$21*Historique!G704)</f>
        <v>5820809.8743909439</v>
      </c>
      <c r="E704" s="20">
        <f t="shared" si="20"/>
        <v>0</v>
      </c>
      <c r="F704" s="20">
        <f t="shared" si="21"/>
        <v>0</v>
      </c>
    </row>
    <row r="705" spans="2:6" x14ac:dyDescent="0.2">
      <c r="B705" s="19">
        <f>Historique!B705</f>
        <v>45404</v>
      </c>
      <c r="C705" s="13">
        <f>RL_NAV*($I$10*Historique!D705+$I$11*Historique!E705+$I$12*Historique!F705+$I$21*Historique!G705)</f>
        <v>-9360273.6234717369</v>
      </c>
      <c r="D705" s="13">
        <f>RL_NAV*($J$10*Historique!D705+$J$11*Historique!E705+$J$12*Historique!F705+$J$21*Historique!G705)</f>
        <v>-9175733.691127941</v>
      </c>
      <c r="E705" s="20">
        <f t="shared" si="20"/>
        <v>0</v>
      </c>
      <c r="F705" s="20">
        <f t="shared" si="21"/>
        <v>0</v>
      </c>
    </row>
    <row r="706" spans="2:6" x14ac:dyDescent="0.2">
      <c r="B706" s="19">
        <f>Historique!B706</f>
        <v>45405</v>
      </c>
      <c r="C706" s="13">
        <f>RL_NAV*($I$10*Historique!D706+$I$11*Historique!E706+$I$12*Historique!F706+$I$21*Historique!G706)</f>
        <v>-2044262.9794376642</v>
      </c>
      <c r="D706" s="13">
        <f>RL_NAV*($J$10*Historique!D706+$J$11*Historique!E706+$J$12*Historique!F706+$J$21*Historique!G706)</f>
        <v>-1991647.7409687366</v>
      </c>
      <c r="E706" s="20">
        <f t="shared" si="20"/>
        <v>0</v>
      </c>
      <c r="F706" s="20">
        <f t="shared" si="21"/>
        <v>0</v>
      </c>
    </row>
    <row r="707" spans="2:6" x14ac:dyDescent="0.2">
      <c r="B707" s="19">
        <f>Historique!B707</f>
        <v>45406</v>
      </c>
      <c r="C707" s="13">
        <f>RL_NAV*($I$10*Historique!D707+$I$11*Historique!E707+$I$12*Historique!F707+$I$21*Historique!G707)</f>
        <v>7885948.5576083539</v>
      </c>
      <c r="D707" s="13">
        <f>RL_NAV*($J$10*Historique!D707+$J$11*Historique!E707+$J$12*Historique!F707+$J$21*Historique!G707)</f>
        <v>7804924.711121399</v>
      </c>
      <c r="E707" s="20">
        <f t="shared" si="20"/>
        <v>0</v>
      </c>
      <c r="F707" s="20">
        <f t="shared" si="21"/>
        <v>0</v>
      </c>
    </row>
    <row r="708" spans="2:6" x14ac:dyDescent="0.2">
      <c r="B708" s="19">
        <f>Historique!B708</f>
        <v>45407</v>
      </c>
      <c r="C708" s="13">
        <f>RL_NAV*($I$10*Historique!D708+$I$11*Historique!E708+$I$12*Historique!F708+$I$21*Historique!G708)</f>
        <v>7192198.8341202326</v>
      </c>
      <c r="D708" s="13">
        <f>RL_NAV*($J$10*Historique!D708+$J$11*Historique!E708+$J$12*Historique!F708+$J$21*Historique!G708)</f>
        <v>7110517.5251806136</v>
      </c>
      <c r="E708" s="20">
        <f t="shared" si="20"/>
        <v>0</v>
      </c>
      <c r="F708" s="20">
        <f t="shared" si="21"/>
        <v>0</v>
      </c>
    </row>
    <row r="709" spans="2:6" x14ac:dyDescent="0.2">
      <c r="B709" s="19">
        <f>Historique!B709</f>
        <v>45408</v>
      </c>
      <c r="C709" s="13">
        <f>RL_NAV*($I$10*Historique!D709+$I$11*Historique!E709+$I$12*Historique!F709+$I$21*Historique!G709)</f>
        <v>-5945509.7907471815</v>
      </c>
      <c r="D709" s="13">
        <f>RL_NAV*($J$10*Historique!D709+$J$11*Historique!E709+$J$12*Historique!F709+$J$21*Historique!G709)</f>
        <v>-5880514.2057634685</v>
      </c>
      <c r="E709" s="20">
        <f t="shared" si="20"/>
        <v>0</v>
      </c>
      <c r="F709" s="20">
        <f t="shared" si="21"/>
        <v>0</v>
      </c>
    </row>
    <row r="710" spans="2:6" x14ac:dyDescent="0.2">
      <c r="B710" s="19">
        <f>Historique!B710</f>
        <v>45411</v>
      </c>
      <c r="C710" s="13">
        <f>RL_NAV*($I$10*Historique!D710+$I$11*Historique!E710+$I$12*Historique!F710+$I$21*Historique!G710)</f>
        <v>-4078017.1597500108</v>
      </c>
      <c r="D710" s="13">
        <f>RL_NAV*($J$10*Historique!D710+$J$11*Historique!E710+$J$12*Historique!F710+$J$21*Historique!G710)</f>
        <v>-4031904.3652028162</v>
      </c>
      <c r="E710" s="20">
        <f t="shared" si="20"/>
        <v>0</v>
      </c>
      <c r="F710" s="20">
        <f t="shared" si="21"/>
        <v>0</v>
      </c>
    </row>
    <row r="711" spans="2:6" x14ac:dyDescent="0.2">
      <c r="B711" s="19">
        <f>Historique!B711</f>
        <v>45412</v>
      </c>
      <c r="C711" s="13">
        <f>RL_NAV*($I$10*Historique!D711+$I$11*Historique!E711+$I$12*Historique!F711+$I$21*Historique!G711)</f>
        <v>6198186.4793546479</v>
      </c>
      <c r="D711" s="13">
        <f>RL_NAV*($J$10*Historique!D711+$J$11*Historique!E711+$J$12*Historique!F711+$J$21*Historique!G711)</f>
        <v>6168171.9834624827</v>
      </c>
      <c r="E711" s="20">
        <f t="shared" ref="E711:E774" si="22">IF(C711&gt;$I$9,1,IF(C711=$I$9,($I$8-$I$18)/$I$19,0))/$I$8</f>
        <v>0</v>
      </c>
      <c r="F711" s="20">
        <f t="shared" ref="F711:F774" si="23">IF(D711&gt;$J$9,1,IF(D711=$J$9,($J$8-$J$18)/$J$19,0))/$J$8</f>
        <v>0</v>
      </c>
    </row>
    <row r="712" spans="2:6" x14ac:dyDescent="0.2">
      <c r="B712" s="19">
        <f>Historique!B712</f>
        <v>45414</v>
      </c>
      <c r="C712" s="13">
        <f>RL_NAV*($I$10*Historique!D712+$I$11*Historique!E712+$I$12*Historique!F712+$I$21*Historique!G712)</f>
        <v>233376.3605767366</v>
      </c>
      <c r="D712" s="13">
        <f>RL_NAV*($J$10*Historique!D712+$J$11*Historique!E712+$J$12*Historique!F712+$J$21*Historique!G712)</f>
        <v>178377.83208847619</v>
      </c>
      <c r="E712" s="20">
        <f t="shared" si="22"/>
        <v>0</v>
      </c>
      <c r="F712" s="20">
        <f t="shared" si="23"/>
        <v>0</v>
      </c>
    </row>
    <row r="713" spans="2:6" x14ac:dyDescent="0.2">
      <c r="B713" s="19">
        <f>Historique!B713</f>
        <v>45415</v>
      </c>
      <c r="C713" s="13">
        <f>RL_NAV*($I$10*Historique!D713+$I$11*Historique!E713+$I$12*Historique!F713+$I$21*Historique!G713)</f>
        <v>-10751967.897967523</v>
      </c>
      <c r="D713" s="13">
        <f>RL_NAV*($J$10*Historique!D713+$J$11*Historique!E713+$J$12*Historique!F713+$J$21*Historique!G713)</f>
        <v>-10599162.539761199</v>
      </c>
      <c r="E713" s="20">
        <f t="shared" si="22"/>
        <v>0</v>
      </c>
      <c r="F713" s="20">
        <f t="shared" si="23"/>
        <v>0</v>
      </c>
    </row>
    <row r="714" spans="2:6" x14ac:dyDescent="0.2">
      <c r="B714" s="19">
        <f>Historique!B714</f>
        <v>45418</v>
      </c>
      <c r="C714" s="13">
        <f>RL_NAV*($I$10*Historique!D714+$I$11*Historique!E714+$I$12*Historique!F714+$I$21*Historique!G714)</f>
        <v>360480.63195905881</v>
      </c>
      <c r="D714" s="13">
        <f>RL_NAV*($J$10*Historique!D714+$J$11*Historique!E714+$J$12*Historique!F714+$J$21*Historique!G714)</f>
        <v>322422.16819747537</v>
      </c>
      <c r="E714" s="20">
        <f t="shared" si="22"/>
        <v>0</v>
      </c>
      <c r="F714" s="20">
        <f t="shared" si="23"/>
        <v>0</v>
      </c>
    </row>
    <row r="715" spans="2:6" x14ac:dyDescent="0.2">
      <c r="B715" s="19">
        <f>Historique!B715</f>
        <v>45419</v>
      </c>
      <c r="C715" s="13">
        <f>RL_NAV*($I$10*Historique!D715+$I$11*Historique!E715+$I$12*Historique!F715+$I$21*Historique!G715)</f>
        <v>-6478503.1647365401</v>
      </c>
      <c r="D715" s="13">
        <f>RL_NAV*($J$10*Historique!D715+$J$11*Historique!E715+$J$12*Historique!F715+$J$21*Historique!G715)</f>
        <v>-6342672.6090483749</v>
      </c>
      <c r="E715" s="20">
        <f t="shared" si="22"/>
        <v>0</v>
      </c>
      <c r="F715" s="20">
        <f t="shared" si="23"/>
        <v>0</v>
      </c>
    </row>
    <row r="716" spans="2:6" x14ac:dyDescent="0.2">
      <c r="B716" s="19">
        <f>Historique!B716</f>
        <v>45420</v>
      </c>
      <c r="C716" s="13">
        <f>RL_NAV*($I$10*Historique!D716+$I$11*Historique!E716+$I$12*Historique!F716+$I$21*Historique!G716)</f>
        <v>5731454.9913303377</v>
      </c>
      <c r="D716" s="13">
        <f>RL_NAV*($J$10*Historique!D716+$J$11*Historique!E716+$J$12*Historique!F716+$J$21*Historique!G716)</f>
        <v>5633021.4368287241</v>
      </c>
      <c r="E716" s="20">
        <f t="shared" si="22"/>
        <v>0</v>
      </c>
      <c r="F716" s="20">
        <f t="shared" si="23"/>
        <v>0</v>
      </c>
    </row>
    <row r="717" spans="2:6" x14ac:dyDescent="0.2">
      <c r="B717" s="19">
        <f>Historique!B717</f>
        <v>45421</v>
      </c>
      <c r="C717" s="13">
        <f>RL_NAV*($I$10*Historique!D717+$I$11*Historique!E717+$I$12*Historique!F717+$I$21*Historique!G717)</f>
        <v>-1764122.9462780212</v>
      </c>
      <c r="D717" s="13">
        <f>RL_NAV*($J$10*Historique!D717+$J$11*Historique!E717+$J$12*Historique!F717+$J$21*Historique!G717)</f>
        <v>-1685567.7793895537</v>
      </c>
      <c r="E717" s="20">
        <f t="shared" si="22"/>
        <v>0</v>
      </c>
      <c r="F717" s="20">
        <f t="shared" si="23"/>
        <v>0</v>
      </c>
    </row>
    <row r="718" spans="2:6" x14ac:dyDescent="0.2">
      <c r="B718" s="19">
        <f>Historique!B718</f>
        <v>45422</v>
      </c>
      <c r="C718" s="13">
        <f>RL_NAV*($I$10*Historique!D718+$I$11*Historique!E718+$I$12*Historique!F718+$I$21*Historique!G718)</f>
        <v>5357106.4774227953</v>
      </c>
      <c r="D718" s="13">
        <f>RL_NAV*($J$10*Historique!D718+$J$11*Historique!E718+$J$12*Historique!F718+$J$21*Historique!G718)</f>
        <v>5253192.348493197</v>
      </c>
      <c r="E718" s="20">
        <f t="shared" si="22"/>
        <v>0</v>
      </c>
      <c r="F718" s="20">
        <f t="shared" si="23"/>
        <v>0</v>
      </c>
    </row>
    <row r="719" spans="2:6" x14ac:dyDescent="0.2">
      <c r="B719" s="19">
        <f>Historique!B719</f>
        <v>45425</v>
      </c>
      <c r="C719" s="13">
        <f>RL_NAV*($I$10*Historique!D719+$I$11*Historique!E719+$I$12*Historique!F719+$I$21*Historique!G719)</f>
        <v>-6079056.7205112865</v>
      </c>
      <c r="D719" s="13">
        <f>RL_NAV*($J$10*Historique!D719+$J$11*Historique!E719+$J$12*Historique!F719+$J$21*Historique!G719)</f>
        <v>-5942069.5594556015</v>
      </c>
      <c r="E719" s="20">
        <f t="shared" si="22"/>
        <v>0</v>
      </c>
      <c r="F719" s="20">
        <f t="shared" si="23"/>
        <v>0</v>
      </c>
    </row>
    <row r="720" spans="2:6" x14ac:dyDescent="0.2">
      <c r="B720" s="19">
        <f>Historique!B720</f>
        <v>45426</v>
      </c>
      <c r="C720" s="13">
        <f>RL_NAV*($I$10*Historique!D720+$I$11*Historique!E720+$I$12*Historique!F720+$I$21*Historique!G720)</f>
        <v>11031310.053372884</v>
      </c>
      <c r="D720" s="13">
        <f>RL_NAV*($J$10*Historique!D720+$J$11*Historique!E720+$J$12*Historique!F720+$J$21*Historique!G720)</f>
        <v>10775061.313714253</v>
      </c>
      <c r="E720" s="20">
        <f t="shared" si="22"/>
        <v>0</v>
      </c>
      <c r="F720" s="20">
        <f t="shared" si="23"/>
        <v>0</v>
      </c>
    </row>
    <row r="721" spans="2:6" x14ac:dyDescent="0.2">
      <c r="B721" s="19">
        <f>Historique!B721</f>
        <v>45427</v>
      </c>
      <c r="C721" s="13">
        <f>RL_NAV*($I$10*Historique!D721+$I$11*Historique!E721+$I$12*Historique!F721+$I$21*Historique!G721)</f>
        <v>-8219910.8635840127</v>
      </c>
      <c r="D721" s="13">
        <f>RL_NAV*($J$10*Historique!D721+$J$11*Historique!E721+$J$12*Historique!F721+$J$21*Historique!G721)</f>
        <v>-8132666.0229721013</v>
      </c>
      <c r="E721" s="20">
        <f t="shared" si="22"/>
        <v>0</v>
      </c>
      <c r="F721" s="20">
        <f t="shared" si="23"/>
        <v>0</v>
      </c>
    </row>
    <row r="722" spans="2:6" x14ac:dyDescent="0.2">
      <c r="B722" s="19">
        <f>Historique!B722</f>
        <v>45428</v>
      </c>
      <c r="C722" s="13">
        <f>RL_NAV*($I$10*Historique!D722+$I$11*Historique!E722+$I$12*Historique!F722+$I$21*Historique!G722)</f>
        <v>-620145.9644814824</v>
      </c>
      <c r="D722" s="13">
        <f>RL_NAV*($J$10*Historique!D722+$J$11*Historique!E722+$J$12*Historique!F722+$J$21*Historique!G722)</f>
        <v>-588169.29818131658</v>
      </c>
      <c r="E722" s="20">
        <f t="shared" si="22"/>
        <v>0</v>
      </c>
      <c r="F722" s="20">
        <f t="shared" si="23"/>
        <v>0</v>
      </c>
    </row>
    <row r="723" spans="2:6" x14ac:dyDescent="0.2">
      <c r="B723" s="19">
        <f>Historique!B723</f>
        <v>45429</v>
      </c>
      <c r="C723" s="13">
        <f>RL_NAV*($I$10*Historique!D723+$I$11*Historique!E723+$I$12*Historique!F723+$I$21*Historique!G723)</f>
        <v>7882067.222011785</v>
      </c>
      <c r="D723" s="13">
        <f>RL_NAV*($J$10*Historique!D723+$J$11*Historique!E723+$J$12*Historique!F723+$J$21*Historique!G723)</f>
        <v>7781102.7404806139</v>
      </c>
      <c r="E723" s="20">
        <f t="shared" si="22"/>
        <v>0</v>
      </c>
      <c r="F723" s="20">
        <f t="shared" si="23"/>
        <v>0</v>
      </c>
    </row>
    <row r="724" spans="2:6" x14ac:dyDescent="0.2">
      <c r="B724" s="19">
        <f>Historique!B724</f>
        <v>45432</v>
      </c>
      <c r="C724" s="13">
        <f>RL_NAV*($I$10*Historique!D724+$I$11*Historique!E724+$I$12*Historique!F724+$I$21*Historique!G724)</f>
        <v>-91902.041208243027</v>
      </c>
      <c r="D724" s="13">
        <f>RL_NAV*($J$10*Historique!D724+$J$11*Historique!E724+$J$12*Historique!F724+$J$21*Historique!G724)</f>
        <v>-76744.34380227681</v>
      </c>
      <c r="E724" s="20">
        <f t="shared" si="22"/>
        <v>0</v>
      </c>
      <c r="F724" s="20">
        <f t="shared" si="23"/>
        <v>0</v>
      </c>
    </row>
    <row r="725" spans="2:6" x14ac:dyDescent="0.2">
      <c r="B725" s="19">
        <f>Historique!B725</f>
        <v>45433</v>
      </c>
      <c r="C725" s="13">
        <f>RL_NAV*($I$10*Historique!D725+$I$11*Historique!E725+$I$12*Historique!F725+$I$21*Historique!G725)</f>
        <v>-1477284.5848680658</v>
      </c>
      <c r="D725" s="13">
        <f>RL_NAV*($J$10*Historique!D725+$J$11*Historique!E725+$J$12*Historique!F725+$J$21*Historique!G725)</f>
        <v>-1476109.859084157</v>
      </c>
      <c r="E725" s="20">
        <f t="shared" si="22"/>
        <v>0</v>
      </c>
      <c r="F725" s="20">
        <f t="shared" si="23"/>
        <v>0</v>
      </c>
    </row>
    <row r="726" spans="2:6" x14ac:dyDescent="0.2">
      <c r="B726" s="19">
        <f>Historique!B726</f>
        <v>45434</v>
      </c>
      <c r="C726" s="13">
        <f>RL_NAV*($I$10*Historique!D726+$I$11*Historique!E726+$I$12*Historique!F726+$I$21*Historique!G726)</f>
        <v>2601171.8294137646</v>
      </c>
      <c r="D726" s="13">
        <f>RL_NAV*($J$10*Historique!D726+$J$11*Historique!E726+$J$12*Historique!F726+$J$21*Historique!G726)</f>
        <v>2595836.2285946803</v>
      </c>
      <c r="E726" s="20">
        <f t="shared" si="22"/>
        <v>0</v>
      </c>
      <c r="F726" s="20">
        <f t="shared" si="23"/>
        <v>0</v>
      </c>
    </row>
    <row r="727" spans="2:6" x14ac:dyDescent="0.2">
      <c r="B727" s="19">
        <f>Historique!B727</f>
        <v>45435</v>
      </c>
      <c r="C727" s="13">
        <f>RL_NAV*($I$10*Historique!D727+$I$11*Historique!E727+$I$12*Historique!F727+$I$21*Historique!G727)</f>
        <v>4646957.9504854931</v>
      </c>
      <c r="D727" s="13">
        <f>RL_NAV*($J$10*Historique!D727+$J$11*Historique!E727+$J$12*Historique!F727+$J$21*Historique!G727)</f>
        <v>4652796.7879536571</v>
      </c>
      <c r="E727" s="20">
        <f t="shared" si="22"/>
        <v>0</v>
      </c>
      <c r="F727" s="20">
        <f t="shared" si="23"/>
        <v>0</v>
      </c>
    </row>
    <row r="728" spans="2:6" x14ac:dyDescent="0.2">
      <c r="B728" s="19">
        <f>Historique!B728</f>
        <v>45436</v>
      </c>
      <c r="C728" s="13">
        <f>RL_NAV*($I$10*Historique!D728+$I$11*Historique!E728+$I$12*Historique!F728+$I$21*Historique!G728)</f>
        <v>6934136.7536326209</v>
      </c>
      <c r="D728" s="13">
        <f>RL_NAV*($J$10*Historique!D728+$J$11*Historique!E728+$J$12*Historique!F728+$J$21*Historique!G728)</f>
        <v>6790741.48378151</v>
      </c>
      <c r="E728" s="20">
        <f t="shared" si="22"/>
        <v>0</v>
      </c>
      <c r="F728" s="20">
        <f t="shared" si="23"/>
        <v>0</v>
      </c>
    </row>
    <row r="729" spans="2:6" x14ac:dyDescent="0.2">
      <c r="B729" s="19">
        <f>Historique!B729</f>
        <v>45439</v>
      </c>
      <c r="C729" s="13">
        <f>RL_NAV*($I$10*Historique!D729+$I$11*Historique!E729+$I$12*Historique!F729+$I$21*Historique!G729)</f>
        <v>-10662411.393539097</v>
      </c>
      <c r="D729" s="13">
        <f>RL_NAV*($J$10*Historique!D729+$J$11*Historique!E729+$J$12*Historique!F729+$J$21*Historique!G729)</f>
        <v>-10495123.520635471</v>
      </c>
      <c r="E729" s="20">
        <f t="shared" si="22"/>
        <v>0</v>
      </c>
      <c r="F729" s="20">
        <f t="shared" si="23"/>
        <v>0</v>
      </c>
    </row>
    <row r="730" spans="2:6" x14ac:dyDescent="0.2">
      <c r="B730" s="19">
        <f>Historique!B730</f>
        <v>45440</v>
      </c>
      <c r="C730" s="13">
        <f>RL_NAV*($I$10*Historique!D730+$I$11*Historique!E730+$I$12*Historique!F730+$I$21*Historique!G730)</f>
        <v>500608.82804260479</v>
      </c>
      <c r="D730" s="13">
        <f>RL_NAV*($J$10*Historique!D730+$J$11*Historique!E730+$J$12*Historique!F730+$J$21*Historique!G730)</f>
        <v>505786.03290149715</v>
      </c>
      <c r="E730" s="20">
        <f t="shared" si="22"/>
        <v>0</v>
      </c>
      <c r="F730" s="20">
        <f t="shared" si="23"/>
        <v>0</v>
      </c>
    </row>
    <row r="731" spans="2:6" x14ac:dyDescent="0.2">
      <c r="B731" s="19">
        <f>Historique!B731</f>
        <v>45441</v>
      </c>
      <c r="C731" s="13">
        <f>RL_NAV*($I$10*Historique!D731+$I$11*Historique!E731+$I$12*Historique!F731+$I$21*Historique!G731)</f>
        <v>11525975.125591068</v>
      </c>
      <c r="D731" s="13">
        <f>RL_NAV*($J$10*Historique!D731+$J$11*Historique!E731+$J$12*Historique!F731+$J$21*Historique!G731)</f>
        <v>11346003.178772852</v>
      </c>
      <c r="E731" s="20">
        <f t="shared" si="22"/>
        <v>0</v>
      </c>
      <c r="F731" s="20">
        <f t="shared" si="23"/>
        <v>0</v>
      </c>
    </row>
    <row r="732" spans="2:6" x14ac:dyDescent="0.2">
      <c r="B732" s="19">
        <f>Historique!B732</f>
        <v>45442</v>
      </c>
      <c r="C732" s="13">
        <f>RL_NAV*($I$10*Historique!D732+$I$11*Historique!E732+$I$12*Historique!F732+$I$21*Historique!G732)</f>
        <v>-2302555.233453963</v>
      </c>
      <c r="D732" s="13">
        <f>RL_NAV*($J$10*Historique!D732+$J$11*Historique!E732+$J$12*Historique!F732+$J$21*Historique!G732)</f>
        <v>-2242609.7945451075</v>
      </c>
      <c r="E732" s="20">
        <f t="shared" si="22"/>
        <v>0</v>
      </c>
      <c r="F732" s="20">
        <f t="shared" si="23"/>
        <v>0</v>
      </c>
    </row>
    <row r="733" spans="2:6" x14ac:dyDescent="0.2">
      <c r="B733" s="19">
        <f>Historique!B733</f>
        <v>45443</v>
      </c>
      <c r="C733" s="13">
        <f>RL_NAV*($I$10*Historique!D733+$I$11*Historique!E733+$I$12*Historique!F733+$I$21*Historique!G733)</f>
        <v>-5851095.3244043989</v>
      </c>
      <c r="D733" s="13">
        <f>RL_NAV*($J$10*Historique!D733+$J$11*Historique!E733+$J$12*Historique!F733+$J$21*Historique!G733)</f>
        <v>-5717980.9195184745</v>
      </c>
      <c r="E733" s="20">
        <f t="shared" si="22"/>
        <v>0</v>
      </c>
      <c r="F733" s="20">
        <f t="shared" si="23"/>
        <v>0</v>
      </c>
    </row>
    <row r="734" spans="2:6" x14ac:dyDescent="0.2">
      <c r="B734" s="19">
        <f>Historique!B734</f>
        <v>45446</v>
      </c>
      <c r="C734" s="13">
        <f>RL_NAV*($I$10*Historique!D734+$I$11*Historique!E734+$I$12*Historique!F734+$I$21*Historique!G734)</f>
        <v>2526170.2813983462</v>
      </c>
      <c r="D734" s="13">
        <f>RL_NAV*($J$10*Historique!D734+$J$11*Historique!E734+$J$12*Historique!F734+$J$21*Historique!G734)</f>
        <v>2378852.6738851368</v>
      </c>
      <c r="E734" s="20">
        <f t="shared" si="22"/>
        <v>0</v>
      </c>
      <c r="F734" s="20">
        <f t="shared" si="23"/>
        <v>0</v>
      </c>
    </row>
    <row r="735" spans="2:6" x14ac:dyDescent="0.2">
      <c r="B735" s="19">
        <f>Historique!B735</f>
        <v>45447</v>
      </c>
      <c r="C735" s="13">
        <f>RL_NAV*($I$10*Historique!D735+$I$11*Historique!E735+$I$12*Historique!F735+$I$21*Historique!G735)</f>
        <v>-4296257.991979083</v>
      </c>
      <c r="D735" s="13">
        <f>RL_NAV*($J$10*Historique!D735+$J$11*Historique!E735+$J$12*Historique!F735+$J$21*Historique!G735)</f>
        <v>-4284293.1089145327</v>
      </c>
      <c r="E735" s="20">
        <f t="shared" si="22"/>
        <v>0</v>
      </c>
      <c r="F735" s="20">
        <f t="shared" si="23"/>
        <v>0</v>
      </c>
    </row>
    <row r="736" spans="2:6" x14ac:dyDescent="0.2">
      <c r="B736" s="19">
        <f>Historique!B736</f>
        <v>45448</v>
      </c>
      <c r="C736" s="13">
        <f>RL_NAV*($I$10*Historique!D736+$I$11*Historique!E736+$I$12*Historique!F736+$I$21*Historique!G736)</f>
        <v>-5453566.1684435504</v>
      </c>
      <c r="D736" s="13">
        <f>RL_NAV*($J$10*Historique!D736+$J$11*Historique!E736+$J$12*Historique!F736+$J$21*Historique!G736)</f>
        <v>-5328677.6182683082</v>
      </c>
      <c r="E736" s="20">
        <f t="shared" si="22"/>
        <v>0</v>
      </c>
      <c r="F736" s="20">
        <f t="shared" si="23"/>
        <v>0</v>
      </c>
    </row>
    <row r="737" spans="2:6" x14ac:dyDescent="0.2">
      <c r="B737" s="19">
        <f>Historique!B737</f>
        <v>45449</v>
      </c>
      <c r="C737" s="13">
        <f>RL_NAV*($I$10*Historique!D737+$I$11*Historique!E737+$I$12*Historique!F737+$I$21*Historique!G737)</f>
        <v>9853450.9481161162</v>
      </c>
      <c r="D737" s="13">
        <f>RL_NAV*($J$10*Historique!D737+$J$11*Historique!E737+$J$12*Historique!F737+$J$21*Historique!G737)</f>
        <v>9688063.073337106</v>
      </c>
      <c r="E737" s="20">
        <f t="shared" si="22"/>
        <v>0</v>
      </c>
      <c r="F737" s="20">
        <f t="shared" si="23"/>
        <v>0</v>
      </c>
    </row>
    <row r="738" spans="2:6" x14ac:dyDescent="0.2">
      <c r="B738" s="19">
        <f>Historique!B738</f>
        <v>45450</v>
      </c>
      <c r="C738" s="13">
        <f>RL_NAV*($I$10*Historique!D738+$I$11*Historique!E738+$I$12*Historique!F738+$I$21*Historique!G738)</f>
        <v>5283014.6764931604</v>
      </c>
      <c r="D738" s="13">
        <f>RL_NAV*($J$10*Historique!D738+$J$11*Historique!E738+$J$12*Historique!F738+$J$21*Historique!G738)</f>
        <v>5267395.6199051077</v>
      </c>
      <c r="E738" s="20">
        <f t="shared" si="22"/>
        <v>0</v>
      </c>
      <c r="F738" s="20">
        <f t="shared" si="23"/>
        <v>0</v>
      </c>
    </row>
    <row r="739" spans="2:6" x14ac:dyDescent="0.2">
      <c r="B739" s="19">
        <f>Historique!B739</f>
        <v>45453</v>
      </c>
      <c r="C739" s="13">
        <f>RL_NAV*($I$10*Historique!D739+$I$11*Historique!E739+$I$12*Historique!F739+$I$21*Historique!G739)</f>
        <v>6550935.2374907536</v>
      </c>
      <c r="D739" s="13">
        <f>RL_NAV*($J$10*Historique!D739+$J$11*Historique!E739+$J$12*Historique!F739+$J$21*Historique!G739)</f>
        <v>6397157.5428400999</v>
      </c>
      <c r="E739" s="20">
        <f t="shared" si="22"/>
        <v>0</v>
      </c>
      <c r="F739" s="20">
        <f t="shared" si="23"/>
        <v>0</v>
      </c>
    </row>
    <row r="740" spans="2:6" x14ac:dyDescent="0.2">
      <c r="B740" s="19">
        <f>Historique!B740</f>
        <v>45454</v>
      </c>
      <c r="C740" s="13">
        <f>RL_NAV*($I$10*Historique!D740+$I$11*Historique!E740+$I$12*Historique!F740+$I$21*Historique!G740)</f>
        <v>-7531808.3438727185</v>
      </c>
      <c r="D740" s="13">
        <f>RL_NAV*($J$10*Historique!D740+$J$11*Historique!E740+$J$12*Historique!F740+$J$21*Historique!G740)</f>
        <v>-7437543.1178997625</v>
      </c>
      <c r="E740" s="20">
        <f t="shared" si="22"/>
        <v>0</v>
      </c>
      <c r="F740" s="20">
        <f t="shared" si="23"/>
        <v>0</v>
      </c>
    </row>
    <row r="741" spans="2:6" x14ac:dyDescent="0.2">
      <c r="B741" s="19">
        <f>Historique!B741</f>
        <v>45455</v>
      </c>
      <c r="C741" s="13">
        <f>RL_NAV*($I$10*Historique!D741+$I$11*Historique!E741+$I$12*Historique!F741+$I$21*Historique!G741)</f>
        <v>-7585045.7759261895</v>
      </c>
      <c r="D741" s="13">
        <f>RL_NAV*($J$10*Historique!D741+$J$11*Historique!E741+$J$12*Historique!F741+$J$21*Historique!G741)</f>
        <v>-7509263.3970040157</v>
      </c>
      <c r="E741" s="20">
        <f t="shared" si="22"/>
        <v>0</v>
      </c>
      <c r="F741" s="20">
        <f t="shared" si="23"/>
        <v>0</v>
      </c>
    </row>
    <row r="742" spans="2:6" x14ac:dyDescent="0.2">
      <c r="B742" s="19">
        <f>Historique!B742</f>
        <v>45456</v>
      </c>
      <c r="C742" s="13">
        <f>RL_NAV*($I$10*Historique!D742+$I$11*Historique!E742+$I$12*Historique!F742+$I$21*Historique!G742)</f>
        <v>-3810591.1405168581</v>
      </c>
      <c r="D742" s="13">
        <f>RL_NAV*($J$10*Historique!D742+$J$11*Historique!E742+$J$12*Historique!F742+$J$21*Historique!G742)</f>
        <v>-3749493.1892655408</v>
      </c>
      <c r="E742" s="20">
        <f t="shared" si="22"/>
        <v>0</v>
      </c>
      <c r="F742" s="20">
        <f t="shared" si="23"/>
        <v>0</v>
      </c>
    </row>
    <row r="743" spans="2:6" x14ac:dyDescent="0.2">
      <c r="B743" s="19">
        <f>Historique!B743</f>
        <v>45457</v>
      </c>
      <c r="C743" s="13">
        <f>RL_NAV*($I$10*Historique!D743+$I$11*Historique!E743+$I$12*Historique!F743+$I$21*Historique!G743)</f>
        <v>-10781348.687474709</v>
      </c>
      <c r="D743" s="13">
        <f>RL_NAV*($J$10*Historique!D743+$J$11*Historique!E743+$J$12*Historique!F743+$J$21*Historique!G743)</f>
        <v>-10806888.711539254</v>
      </c>
      <c r="E743" s="20">
        <f t="shared" si="22"/>
        <v>0</v>
      </c>
      <c r="F743" s="20">
        <f t="shared" si="23"/>
        <v>0</v>
      </c>
    </row>
    <row r="744" spans="2:6" x14ac:dyDescent="0.2">
      <c r="B744" s="19">
        <f>Historique!B744</f>
        <v>45460</v>
      </c>
      <c r="C744" s="13">
        <f>RL_NAV*($I$10*Historique!D744+$I$11*Historique!E744+$I$12*Historique!F744+$I$21*Historique!G744)</f>
        <v>16052301.217462225</v>
      </c>
      <c r="D744" s="13">
        <f>RL_NAV*($J$10*Historique!D744+$J$11*Historique!E744+$J$12*Historique!F744+$J$21*Historique!G744)</f>
        <v>15728658.214031689</v>
      </c>
      <c r="E744" s="20">
        <f t="shared" si="22"/>
        <v>0</v>
      </c>
      <c r="F744" s="20">
        <f t="shared" si="23"/>
        <v>0</v>
      </c>
    </row>
    <row r="745" spans="2:6" x14ac:dyDescent="0.2">
      <c r="B745" s="19">
        <f>Historique!B745</f>
        <v>45461</v>
      </c>
      <c r="C745" s="13">
        <f>RL_NAV*($I$10*Historique!D745+$I$11*Historique!E745+$I$12*Historique!F745+$I$21*Historique!G745)</f>
        <v>-704390.08799531765</v>
      </c>
      <c r="D745" s="13">
        <f>RL_NAV*($J$10*Historique!D745+$J$11*Historique!E745+$J$12*Historique!F745+$J$21*Historique!G745)</f>
        <v>-689305.34194822761</v>
      </c>
      <c r="E745" s="20">
        <f t="shared" si="22"/>
        <v>0</v>
      </c>
      <c r="F745" s="20">
        <f t="shared" si="23"/>
        <v>0</v>
      </c>
    </row>
    <row r="746" spans="2:6" x14ac:dyDescent="0.2">
      <c r="B746" s="19">
        <f>Historique!B746</f>
        <v>45462</v>
      </c>
      <c r="C746" s="13">
        <f>RL_NAV*($I$10*Historique!D746+$I$11*Historique!E746+$I$12*Historique!F746+$I$21*Historique!G746)</f>
        <v>785937.98470884725</v>
      </c>
      <c r="D746" s="13">
        <f>RL_NAV*($J$10*Historique!D746+$J$11*Historique!E746+$J$12*Historique!F746+$J$21*Historique!G746)</f>
        <v>784685.51436850009</v>
      </c>
      <c r="E746" s="20">
        <f t="shared" si="22"/>
        <v>0</v>
      </c>
      <c r="F746" s="20">
        <f t="shared" si="23"/>
        <v>0</v>
      </c>
    </row>
    <row r="747" spans="2:6" x14ac:dyDescent="0.2">
      <c r="B747" s="19">
        <f>Historique!B747</f>
        <v>45463</v>
      </c>
      <c r="C747" s="13">
        <f>RL_NAV*($I$10*Historique!D747+$I$11*Historique!E747+$I$12*Historique!F747+$I$21*Historique!G747)</f>
        <v>-1129055.5723914676</v>
      </c>
      <c r="D747" s="13">
        <f>RL_NAV*($J$10*Historique!D747+$J$11*Historique!E747+$J$12*Historique!F747+$J$21*Historique!G747)</f>
        <v>-1053254.8328768155</v>
      </c>
      <c r="E747" s="20">
        <f t="shared" si="22"/>
        <v>0</v>
      </c>
      <c r="F747" s="20">
        <f t="shared" si="23"/>
        <v>0</v>
      </c>
    </row>
    <row r="748" spans="2:6" x14ac:dyDescent="0.2">
      <c r="B748" s="19">
        <f>Historique!B748</f>
        <v>45464</v>
      </c>
      <c r="C748" s="13">
        <f>RL_NAV*($I$10*Historique!D748+$I$11*Historique!E748+$I$12*Historique!F748+$I$21*Historique!G748)</f>
        <v>-2883389.9536097124</v>
      </c>
      <c r="D748" s="13">
        <f>RL_NAV*($J$10*Historique!D748+$J$11*Historique!E748+$J$12*Historique!F748+$J$21*Historique!G748)</f>
        <v>-2918544.3782269252</v>
      </c>
      <c r="E748" s="20">
        <f t="shared" si="22"/>
        <v>0</v>
      </c>
      <c r="F748" s="20">
        <f t="shared" si="23"/>
        <v>0</v>
      </c>
    </row>
    <row r="749" spans="2:6" x14ac:dyDescent="0.2">
      <c r="B749" s="19">
        <f>Historique!B749</f>
        <v>45467</v>
      </c>
      <c r="C749" s="13">
        <f>RL_NAV*($I$10*Historique!D749+$I$11*Historique!E749+$I$12*Historique!F749+$I$21*Historique!G749)</f>
        <v>-3582351.5582210957</v>
      </c>
      <c r="D749" s="13">
        <f>RL_NAV*($J$10*Historique!D749+$J$11*Historique!E749+$J$12*Historique!F749+$J$21*Historique!G749)</f>
        <v>-3419037.669969785</v>
      </c>
      <c r="E749" s="20">
        <f t="shared" si="22"/>
        <v>0</v>
      </c>
      <c r="F749" s="20">
        <f t="shared" si="23"/>
        <v>0</v>
      </c>
    </row>
    <row r="750" spans="2:6" x14ac:dyDescent="0.2">
      <c r="B750" s="19">
        <f>Historique!B750</f>
        <v>45468</v>
      </c>
      <c r="C750" s="13">
        <f>RL_NAV*($I$10*Historique!D750+$I$11*Historique!E750+$I$12*Historique!F750+$I$21*Historique!G750)</f>
        <v>-7858117.1347653717</v>
      </c>
      <c r="D750" s="13">
        <f>RL_NAV*($J$10*Historique!D750+$J$11*Historique!E750+$J$12*Historique!F750+$J$21*Historique!G750)</f>
        <v>-7682717.5402468797</v>
      </c>
      <c r="E750" s="20">
        <f t="shared" si="22"/>
        <v>0</v>
      </c>
      <c r="F750" s="20">
        <f t="shared" si="23"/>
        <v>0</v>
      </c>
    </row>
    <row r="751" spans="2:6" x14ac:dyDescent="0.2">
      <c r="B751" s="19">
        <f>Historique!B751</f>
        <v>45469</v>
      </c>
      <c r="C751" s="13">
        <f>RL_NAV*($I$10*Historique!D751+$I$11*Historique!E751+$I$12*Historique!F751+$I$21*Historique!G751)</f>
        <v>5791740.9973153304</v>
      </c>
      <c r="D751" s="13">
        <f>RL_NAV*($J$10*Historique!D751+$J$11*Historique!E751+$J$12*Historique!F751+$J$21*Historique!G751)</f>
        <v>5685624.0505419979</v>
      </c>
      <c r="E751" s="20">
        <f t="shared" si="22"/>
        <v>0</v>
      </c>
      <c r="F751" s="20">
        <f t="shared" si="23"/>
        <v>0</v>
      </c>
    </row>
    <row r="752" spans="2:6" x14ac:dyDescent="0.2">
      <c r="B752" s="19">
        <f>Historique!B752</f>
        <v>45470</v>
      </c>
      <c r="C752" s="13">
        <f>RL_NAV*($I$10*Historique!D752+$I$11*Historique!E752+$I$12*Historique!F752+$I$21*Historique!G752)</f>
        <v>358641.48516516882</v>
      </c>
      <c r="D752" s="13">
        <f>RL_NAV*($J$10*Historique!D752+$J$11*Historique!E752+$J$12*Historique!F752+$J$21*Historique!G752)</f>
        <v>356803.33157094626</v>
      </c>
      <c r="E752" s="20">
        <f t="shared" si="22"/>
        <v>0</v>
      </c>
      <c r="F752" s="20">
        <f t="shared" si="23"/>
        <v>0</v>
      </c>
    </row>
    <row r="753" spans="2:6" x14ac:dyDescent="0.2">
      <c r="B753" s="19">
        <f>Historique!B753</f>
        <v>45471</v>
      </c>
      <c r="C753" s="13">
        <f>RL_NAV*($I$10*Historique!D753+$I$11*Historique!E753+$I$12*Historique!F753+$I$21*Historique!G753)</f>
        <v>-1353482.2391736219</v>
      </c>
      <c r="D753" s="13">
        <f>RL_NAV*($J$10*Historique!D753+$J$11*Historique!E753+$J$12*Historique!F753+$J$21*Historique!G753)</f>
        <v>-1326928.4485004039</v>
      </c>
      <c r="E753" s="20">
        <f t="shared" si="22"/>
        <v>0</v>
      </c>
      <c r="F753" s="20">
        <f t="shared" si="23"/>
        <v>0</v>
      </c>
    </row>
    <row r="754" spans="2:6" x14ac:dyDescent="0.2">
      <c r="B754" s="19">
        <f>Historique!B754</f>
        <v>45474</v>
      </c>
      <c r="C754" s="13">
        <f>RL_NAV*($I$10*Historique!D754+$I$11*Historique!E754+$I$12*Historique!F754+$I$21*Historique!G754)</f>
        <v>6971342.1348576033</v>
      </c>
      <c r="D754" s="13">
        <f>RL_NAV*($J$10*Historique!D754+$J$11*Historique!E754+$J$12*Historique!F754+$J$21*Historique!G754)</f>
        <v>6983394.9888262963</v>
      </c>
      <c r="E754" s="20">
        <f t="shared" si="22"/>
        <v>0</v>
      </c>
      <c r="F754" s="20">
        <f t="shared" si="23"/>
        <v>0</v>
      </c>
    </row>
    <row r="755" spans="2:6" x14ac:dyDescent="0.2">
      <c r="B755" s="19">
        <f>Historique!B755</f>
        <v>45475</v>
      </c>
      <c r="C755" s="13">
        <f>RL_NAV*($I$10*Historique!D755+$I$11*Historique!E755+$I$12*Historique!F755+$I$21*Historique!G755)</f>
        <v>-181118.84717542489</v>
      </c>
      <c r="D755" s="13">
        <f>RL_NAV*($J$10*Historique!D755+$J$11*Historique!E755+$J$12*Historique!F755+$J$21*Historique!G755)</f>
        <v>-169549.4570490738</v>
      </c>
      <c r="E755" s="20">
        <f t="shared" si="22"/>
        <v>0</v>
      </c>
      <c r="F755" s="20">
        <f t="shared" si="23"/>
        <v>0</v>
      </c>
    </row>
    <row r="756" spans="2:6" x14ac:dyDescent="0.2">
      <c r="B756" s="19">
        <f>Historique!B756</f>
        <v>45476</v>
      </c>
      <c r="C756" s="13">
        <f>RL_NAV*($I$10*Historique!D756+$I$11*Historique!E756+$I$12*Historique!F756+$I$21*Historique!G756)</f>
        <v>-2227256.0178297102</v>
      </c>
      <c r="D756" s="13">
        <f>RL_NAV*($J$10*Historique!D756+$J$11*Historique!E756+$J$12*Historique!F756+$J$21*Historique!G756)</f>
        <v>-2148740.6870571249</v>
      </c>
      <c r="E756" s="20">
        <f t="shared" si="22"/>
        <v>0</v>
      </c>
      <c r="F756" s="20">
        <f t="shared" si="23"/>
        <v>0</v>
      </c>
    </row>
    <row r="757" spans="2:6" x14ac:dyDescent="0.2">
      <c r="B757" s="19">
        <f>Historique!B757</f>
        <v>45477</v>
      </c>
      <c r="C757" s="13">
        <f>RL_NAV*($I$10*Historique!D757+$I$11*Historique!E757+$I$12*Historique!F757+$I$21*Historique!G757)</f>
        <v>-1824504.523305082</v>
      </c>
      <c r="D757" s="13">
        <f>RL_NAV*($J$10*Historique!D757+$J$11*Historique!E757+$J$12*Historique!F757+$J$21*Historique!G757)</f>
        <v>-1777093.7771833977</v>
      </c>
      <c r="E757" s="20">
        <f t="shared" si="22"/>
        <v>0</v>
      </c>
      <c r="F757" s="20">
        <f t="shared" si="23"/>
        <v>0</v>
      </c>
    </row>
    <row r="758" spans="2:6" x14ac:dyDescent="0.2">
      <c r="B758" s="19">
        <f>Historique!B758</f>
        <v>45478</v>
      </c>
      <c r="C758" s="13">
        <f>RL_NAV*($I$10*Historique!D758+$I$11*Historique!E758+$I$12*Historique!F758+$I$21*Historique!G758)</f>
        <v>-4612013.4125917507</v>
      </c>
      <c r="D758" s="13">
        <f>RL_NAV*($J$10*Historique!D758+$J$11*Historique!E758+$J$12*Historique!F758+$J$21*Historique!G758)</f>
        <v>-4533725.6651186859</v>
      </c>
      <c r="E758" s="20">
        <f t="shared" si="22"/>
        <v>0</v>
      </c>
      <c r="F758" s="20">
        <f t="shared" si="23"/>
        <v>0</v>
      </c>
    </row>
    <row r="759" spans="2:6" x14ac:dyDescent="0.2">
      <c r="B759" s="19">
        <f>Historique!B759</f>
        <v>45481</v>
      </c>
      <c r="C759" s="13">
        <f>RL_NAV*($I$10*Historique!D759+$I$11*Historique!E759+$I$12*Historique!F759+$I$21*Historique!G759)</f>
        <v>-5651271.8429357996</v>
      </c>
      <c r="D759" s="13">
        <f>RL_NAV*($J$10*Historique!D759+$J$11*Historique!E759+$J$12*Historique!F759+$J$21*Historique!G759)</f>
        <v>-5564420.879628893</v>
      </c>
      <c r="E759" s="20">
        <f t="shared" si="22"/>
        <v>0</v>
      </c>
      <c r="F759" s="20">
        <f t="shared" si="23"/>
        <v>0</v>
      </c>
    </row>
    <row r="760" spans="2:6" x14ac:dyDescent="0.2">
      <c r="B760" s="19">
        <f>Historique!B760</f>
        <v>45482</v>
      </c>
      <c r="C760" s="13">
        <f>RL_NAV*($I$10*Historique!D760+$I$11*Historique!E760+$I$12*Historique!F760+$I$21*Historique!G760)</f>
        <v>1287665.7631920946</v>
      </c>
      <c r="D760" s="13">
        <f>RL_NAV*($J$10*Historique!D760+$J$11*Historique!E760+$J$12*Historique!F760+$J$21*Historique!G760)</f>
        <v>1294158.5803948033</v>
      </c>
      <c r="E760" s="20">
        <f t="shared" si="22"/>
        <v>0</v>
      </c>
      <c r="F760" s="20">
        <f t="shared" si="23"/>
        <v>0</v>
      </c>
    </row>
    <row r="761" spans="2:6" x14ac:dyDescent="0.2">
      <c r="B761" s="19">
        <f>Historique!B761</f>
        <v>45483</v>
      </c>
      <c r="C761" s="13">
        <f>RL_NAV*($I$10*Historique!D761+$I$11*Historique!E761+$I$12*Historique!F761+$I$21*Historique!G761)</f>
        <v>-1762033.5866845432</v>
      </c>
      <c r="D761" s="13">
        <f>RL_NAV*($J$10*Historique!D761+$J$11*Historique!E761+$J$12*Historique!F761+$J$21*Historique!G761)</f>
        <v>-1751172.4457627384</v>
      </c>
      <c r="E761" s="20">
        <f t="shared" si="22"/>
        <v>0</v>
      </c>
      <c r="F761" s="20">
        <f t="shared" si="23"/>
        <v>0</v>
      </c>
    </row>
    <row r="762" spans="2:6" x14ac:dyDescent="0.2">
      <c r="B762" s="19">
        <f>Historique!B762</f>
        <v>45484</v>
      </c>
      <c r="C762" s="13">
        <f>RL_NAV*($I$10*Historique!D762+$I$11*Historique!E762+$I$12*Historique!F762+$I$21*Historique!G762)</f>
        <v>-10095479.774846267</v>
      </c>
      <c r="D762" s="13">
        <f>RL_NAV*($J$10*Historique!D762+$J$11*Historique!E762+$J$12*Historique!F762+$J$21*Historique!G762)</f>
        <v>-9961365.8044330664</v>
      </c>
      <c r="E762" s="20">
        <f t="shared" si="22"/>
        <v>0</v>
      </c>
      <c r="F762" s="20">
        <f t="shared" si="23"/>
        <v>0</v>
      </c>
    </row>
    <row r="763" spans="2:6" x14ac:dyDescent="0.2">
      <c r="B763" s="19">
        <f>Historique!B763</f>
        <v>45485</v>
      </c>
      <c r="C763" s="13">
        <f>RL_NAV*($I$10*Historique!D763+$I$11*Historique!E763+$I$12*Historique!F763+$I$21*Historique!G763)</f>
        <v>3271100.1079252632</v>
      </c>
      <c r="D763" s="13">
        <f>RL_NAV*($J$10*Historique!D763+$J$11*Historique!E763+$J$12*Historique!F763+$J$21*Historique!G763)</f>
        <v>3240286.9375905311</v>
      </c>
      <c r="E763" s="20">
        <f t="shared" si="22"/>
        <v>0</v>
      </c>
      <c r="F763" s="20">
        <f t="shared" si="23"/>
        <v>0</v>
      </c>
    </row>
    <row r="764" spans="2:6" x14ac:dyDescent="0.2">
      <c r="B764" s="19">
        <f>Historique!B764</f>
        <v>45488</v>
      </c>
      <c r="C764" s="13">
        <f>RL_NAV*($I$10*Historique!D764+$I$11*Historique!E764+$I$12*Historique!F764+$I$21*Historique!G764)</f>
        <v>3045386.1733953226</v>
      </c>
      <c r="D764" s="13">
        <f>RL_NAV*($J$10*Historique!D764+$J$11*Historique!E764+$J$12*Historique!F764+$J$21*Historique!G764)</f>
        <v>2890241.936895031</v>
      </c>
      <c r="E764" s="20">
        <f t="shared" si="22"/>
        <v>0</v>
      </c>
      <c r="F764" s="20">
        <f t="shared" si="23"/>
        <v>0</v>
      </c>
    </row>
    <row r="765" spans="2:6" x14ac:dyDescent="0.2">
      <c r="B765" s="19">
        <f>Historique!B765</f>
        <v>45489</v>
      </c>
      <c r="C765" s="13">
        <f>RL_NAV*($I$10*Historique!D765+$I$11*Historique!E765+$I$12*Historique!F765+$I$21*Historique!G765)</f>
        <v>-7915225.2410315145</v>
      </c>
      <c r="D765" s="13">
        <f>RL_NAV*($J$10*Historique!D765+$J$11*Historique!E765+$J$12*Historique!F765+$J$21*Historique!G765)</f>
        <v>-7760523.4544522855</v>
      </c>
      <c r="E765" s="20">
        <f t="shared" si="22"/>
        <v>0</v>
      </c>
      <c r="F765" s="20">
        <f t="shared" si="23"/>
        <v>0</v>
      </c>
    </row>
    <row r="766" spans="2:6" x14ac:dyDescent="0.2">
      <c r="B766" s="19">
        <f>Historique!B766</f>
        <v>45490</v>
      </c>
      <c r="C766" s="13">
        <f>RL_NAV*($I$10*Historique!D766+$I$11*Historique!E766+$I$12*Historique!F766+$I$21*Historique!G766)</f>
        <v>4373895.6639455771</v>
      </c>
      <c r="D766" s="13">
        <f>RL_NAV*($J$10*Historique!D766+$J$11*Historique!E766+$J$12*Historique!F766+$J$21*Historique!G766)</f>
        <v>4253262.1969513698</v>
      </c>
      <c r="E766" s="20">
        <f t="shared" si="22"/>
        <v>0</v>
      </c>
      <c r="F766" s="20">
        <f t="shared" si="23"/>
        <v>0</v>
      </c>
    </row>
    <row r="767" spans="2:6" x14ac:dyDescent="0.2">
      <c r="B767" s="19">
        <f>Historique!B767</f>
        <v>45491</v>
      </c>
      <c r="C767" s="13">
        <f>RL_NAV*($I$10*Historique!D767+$I$11*Historique!E767+$I$12*Historique!F767+$I$21*Historique!G767)</f>
        <v>-6226613.2456856268</v>
      </c>
      <c r="D767" s="13">
        <f>RL_NAV*($J$10*Historique!D767+$J$11*Historique!E767+$J$12*Historique!F767+$J$21*Historique!G767)</f>
        <v>-6105872.230890749</v>
      </c>
      <c r="E767" s="20">
        <f t="shared" si="22"/>
        <v>0</v>
      </c>
      <c r="F767" s="20">
        <f t="shared" si="23"/>
        <v>0</v>
      </c>
    </row>
    <row r="768" spans="2:6" x14ac:dyDescent="0.2">
      <c r="B768" s="19">
        <f>Historique!B768</f>
        <v>45492</v>
      </c>
      <c r="C768" s="13">
        <f>RL_NAV*($I$10*Historique!D768+$I$11*Historique!E768+$I$12*Historique!F768+$I$21*Historique!G768)</f>
        <v>7438876.3724595485</v>
      </c>
      <c r="D768" s="13">
        <f>RL_NAV*($J$10*Historique!D768+$J$11*Historique!E768+$J$12*Historique!F768+$J$21*Historique!G768)</f>
        <v>7310827.5148019651</v>
      </c>
      <c r="E768" s="20">
        <f t="shared" si="22"/>
        <v>0</v>
      </c>
      <c r="F768" s="20">
        <f t="shared" si="23"/>
        <v>0</v>
      </c>
    </row>
    <row r="769" spans="2:6" x14ac:dyDescent="0.2">
      <c r="B769" s="19">
        <f>Historique!B769</f>
        <v>45495</v>
      </c>
      <c r="C769" s="13">
        <f>RL_NAV*($I$10*Historique!D769+$I$11*Historique!E769+$I$12*Historique!F769+$I$21*Historique!G769)</f>
        <v>-5006214.5421756376</v>
      </c>
      <c r="D769" s="13">
        <f>RL_NAV*($J$10*Historique!D769+$J$11*Historique!E769+$J$12*Historique!F769+$J$21*Historique!G769)</f>
        <v>-4859012.5812994074</v>
      </c>
      <c r="E769" s="20">
        <f t="shared" si="22"/>
        <v>0</v>
      </c>
      <c r="F769" s="20">
        <f t="shared" si="23"/>
        <v>0</v>
      </c>
    </row>
    <row r="770" spans="2:6" x14ac:dyDescent="0.2">
      <c r="B770" s="19">
        <f>Historique!B770</f>
        <v>45496</v>
      </c>
      <c r="C770" s="13">
        <f>RL_NAV*($I$10*Historique!D770+$I$11*Historique!E770+$I$12*Historique!F770+$I$21*Historique!G770)</f>
        <v>-843191.07655323285</v>
      </c>
      <c r="D770" s="13">
        <f>RL_NAV*($J$10*Historique!D770+$J$11*Historique!E770+$J$12*Historique!F770+$J$21*Historique!G770)</f>
        <v>-877391.7112274461</v>
      </c>
      <c r="E770" s="20">
        <f t="shared" si="22"/>
        <v>0</v>
      </c>
      <c r="F770" s="20">
        <f t="shared" si="23"/>
        <v>0</v>
      </c>
    </row>
    <row r="771" spans="2:6" x14ac:dyDescent="0.2">
      <c r="B771" s="19">
        <f>Historique!B771</f>
        <v>45497</v>
      </c>
      <c r="C771" s="13">
        <f>RL_NAV*($I$10*Historique!D771+$I$11*Historique!E771+$I$12*Historique!F771+$I$21*Historique!G771)</f>
        <v>-1302835.571959787</v>
      </c>
      <c r="D771" s="13">
        <f>RL_NAV*($J$10*Historique!D771+$J$11*Historique!E771+$J$12*Historique!F771+$J$21*Historique!G771)</f>
        <v>-1329690.2384917429</v>
      </c>
      <c r="E771" s="20">
        <f t="shared" si="22"/>
        <v>0</v>
      </c>
      <c r="F771" s="20">
        <f t="shared" si="23"/>
        <v>0</v>
      </c>
    </row>
    <row r="772" spans="2:6" x14ac:dyDescent="0.2">
      <c r="B772" s="19">
        <f>Historique!B772</f>
        <v>45498</v>
      </c>
      <c r="C772" s="13">
        <f>RL_NAV*($I$10*Historique!D772+$I$11*Historique!E772+$I$12*Historique!F772+$I$21*Historique!G772)</f>
        <v>-2771627.1605148781</v>
      </c>
      <c r="D772" s="13">
        <f>RL_NAV*($J$10*Historique!D772+$J$11*Historique!E772+$J$12*Historique!F772+$J$21*Historique!G772)</f>
        <v>-2757451.185248524</v>
      </c>
      <c r="E772" s="20">
        <f t="shared" si="22"/>
        <v>0</v>
      </c>
      <c r="F772" s="20">
        <f t="shared" si="23"/>
        <v>0</v>
      </c>
    </row>
    <row r="773" spans="2:6" x14ac:dyDescent="0.2">
      <c r="B773" s="19">
        <f>Historique!B773</f>
        <v>45499</v>
      </c>
      <c r="C773" s="13">
        <f>RL_NAV*($I$10*Historique!D773+$I$11*Historique!E773+$I$12*Historique!F773+$I$21*Historique!G773)</f>
        <v>-2307170.3503196156</v>
      </c>
      <c r="D773" s="13">
        <f>RL_NAV*($J$10*Historique!D773+$J$11*Historique!E773+$J$12*Historique!F773+$J$21*Historique!G773)</f>
        <v>-2252307.6395827332</v>
      </c>
      <c r="E773" s="20">
        <f t="shared" si="22"/>
        <v>0</v>
      </c>
      <c r="F773" s="20">
        <f t="shared" si="23"/>
        <v>0</v>
      </c>
    </row>
    <row r="774" spans="2:6" x14ac:dyDescent="0.2">
      <c r="B774" s="19">
        <f>Historique!B774</f>
        <v>45502</v>
      </c>
      <c r="C774" s="13">
        <f>RL_NAV*($I$10*Historique!D774+$I$11*Historique!E774+$I$12*Historique!F774+$I$21*Historique!G774)</f>
        <v>1893827.0355650582</v>
      </c>
      <c r="D774" s="13">
        <f>RL_NAV*($J$10*Historique!D774+$J$11*Historique!E774+$J$12*Historique!F774+$J$21*Historique!G774)</f>
        <v>1817366.9386540852</v>
      </c>
      <c r="E774" s="20">
        <f t="shared" si="22"/>
        <v>0</v>
      </c>
      <c r="F774" s="20">
        <f t="shared" si="23"/>
        <v>0</v>
      </c>
    </row>
    <row r="775" spans="2:6" x14ac:dyDescent="0.2">
      <c r="B775" s="19">
        <f>Historique!B775</f>
        <v>45503</v>
      </c>
      <c r="C775" s="13">
        <f>RL_NAV*($I$10*Historique!D775+$I$11*Historique!E775+$I$12*Historique!F775+$I$21*Historique!G775)</f>
        <v>-9850624.9392755162</v>
      </c>
      <c r="D775" s="13">
        <f>RL_NAV*($J$10*Historique!D775+$J$11*Historique!E775+$J$12*Historique!F775+$J$21*Historique!G775)</f>
        <v>-9707743.1637016051</v>
      </c>
      <c r="E775" s="20">
        <f t="shared" ref="E775:E838" si="24">IF(C775&gt;$I$9,1,IF(C775=$I$9,($I$8-$I$18)/$I$19,0))/$I$8</f>
        <v>0</v>
      </c>
      <c r="F775" s="20">
        <f t="shared" ref="F775:F838" si="25">IF(D775&gt;$J$9,1,IF(D775=$J$9,($J$8-$J$18)/$J$19,0))/$J$8</f>
        <v>0</v>
      </c>
    </row>
    <row r="776" spans="2:6" x14ac:dyDescent="0.2">
      <c r="B776" s="19">
        <f>Historique!B776</f>
        <v>45504</v>
      </c>
      <c r="C776" s="13">
        <f>RL_NAV*($I$10*Historique!D776+$I$11*Historique!E776+$I$12*Historique!F776+$I$21*Historique!G776)</f>
        <v>-3592957.0868160143</v>
      </c>
      <c r="D776" s="13">
        <f>RL_NAV*($J$10*Historique!D776+$J$11*Historique!E776+$J$12*Historique!F776+$J$21*Historique!G776)</f>
        <v>-3553353.0652163988</v>
      </c>
      <c r="E776" s="20">
        <f t="shared" si="24"/>
        <v>0</v>
      </c>
      <c r="F776" s="20">
        <f t="shared" si="25"/>
        <v>0</v>
      </c>
    </row>
    <row r="777" spans="2:6" x14ac:dyDescent="0.2">
      <c r="B777" s="19">
        <f>Historique!B777</f>
        <v>45505</v>
      </c>
      <c r="C777" s="13">
        <f>RL_NAV*($I$10*Historique!D777+$I$11*Historique!E777+$I$12*Historique!F777+$I$21*Historique!G777)</f>
        <v>-3845385.9697757224</v>
      </c>
      <c r="D777" s="13">
        <f>RL_NAV*($J$10*Historique!D777+$J$11*Historique!E777+$J$12*Historique!F777+$J$21*Historique!G777)</f>
        <v>-3816508.2504095281</v>
      </c>
      <c r="E777" s="20">
        <f t="shared" si="24"/>
        <v>0</v>
      </c>
      <c r="F777" s="20">
        <f t="shared" si="25"/>
        <v>0</v>
      </c>
    </row>
    <row r="778" spans="2:6" x14ac:dyDescent="0.2">
      <c r="B778" s="19">
        <f>Historique!B778</f>
        <v>45506</v>
      </c>
      <c r="C778" s="13">
        <f>RL_NAV*($I$10*Historique!D778+$I$11*Historique!E778+$I$12*Historique!F778+$I$21*Historique!G778)</f>
        <v>-3454401.6269777603</v>
      </c>
      <c r="D778" s="13">
        <f>RL_NAV*($J$10*Historique!D778+$J$11*Historique!E778+$J$12*Historique!F778+$J$21*Historique!G778)</f>
        <v>-3533323.0784085104</v>
      </c>
      <c r="E778" s="20">
        <f t="shared" si="24"/>
        <v>0</v>
      </c>
      <c r="F778" s="20">
        <f t="shared" si="25"/>
        <v>0</v>
      </c>
    </row>
    <row r="779" spans="2:6" x14ac:dyDescent="0.2">
      <c r="B779" s="19">
        <f>Historique!B779</f>
        <v>45509</v>
      </c>
      <c r="C779" s="13">
        <f>RL_NAV*($I$10*Historique!D779+$I$11*Historique!E779+$I$12*Historique!F779+$I$21*Historique!G779)</f>
        <v>15502459.234624526</v>
      </c>
      <c r="D779" s="13">
        <f>RL_NAV*($J$10*Historique!D779+$J$11*Historique!E779+$J$12*Historique!F779+$J$21*Historique!G779)</f>
        <v>14927154.936388003</v>
      </c>
      <c r="E779" s="20">
        <f t="shared" si="24"/>
        <v>0</v>
      </c>
      <c r="F779" s="20">
        <f t="shared" si="25"/>
        <v>0</v>
      </c>
    </row>
    <row r="780" spans="2:6" x14ac:dyDescent="0.2">
      <c r="B780" s="19">
        <f>Historique!B780</f>
        <v>45510</v>
      </c>
      <c r="C780" s="13">
        <f>RL_NAV*($I$10*Historique!D780+$I$11*Historique!E780+$I$12*Historique!F780+$I$21*Historique!G780)</f>
        <v>10423069.737685379</v>
      </c>
      <c r="D780" s="13">
        <f>RL_NAV*($J$10*Historique!D780+$J$11*Historique!E780+$J$12*Historique!F780+$J$21*Historique!G780)</f>
        <v>10216172.150611416</v>
      </c>
      <c r="E780" s="20">
        <f t="shared" si="24"/>
        <v>0</v>
      </c>
      <c r="F780" s="20">
        <f t="shared" si="25"/>
        <v>0</v>
      </c>
    </row>
    <row r="781" spans="2:6" x14ac:dyDescent="0.2">
      <c r="B781" s="19">
        <f>Historique!B781</f>
        <v>45511</v>
      </c>
      <c r="C781" s="13">
        <f>RL_NAV*($I$10*Historique!D781+$I$11*Historique!E781+$I$12*Historique!F781+$I$21*Historique!G781)</f>
        <v>-1542150.2164997044</v>
      </c>
      <c r="D781" s="13">
        <f>RL_NAV*($J$10*Historique!D781+$J$11*Historique!E781+$J$12*Historique!F781+$J$21*Historique!G781)</f>
        <v>-1324160.0457693292</v>
      </c>
      <c r="E781" s="20">
        <f t="shared" si="24"/>
        <v>0</v>
      </c>
      <c r="F781" s="20">
        <f t="shared" si="25"/>
        <v>0</v>
      </c>
    </row>
    <row r="782" spans="2:6" x14ac:dyDescent="0.2">
      <c r="B782" s="19">
        <f>Historique!B782</f>
        <v>45512</v>
      </c>
      <c r="C782" s="13">
        <f>RL_NAV*($I$10*Historique!D782+$I$11*Historique!E782+$I$12*Historique!F782+$I$21*Historique!G782)</f>
        <v>2374290.7980844392</v>
      </c>
      <c r="D782" s="13">
        <f>RL_NAV*($J$10*Historique!D782+$J$11*Historique!E782+$J$12*Historique!F782+$J$21*Historique!G782)</f>
        <v>2295123.4766736212</v>
      </c>
      <c r="E782" s="20">
        <f t="shared" si="24"/>
        <v>0</v>
      </c>
      <c r="F782" s="20">
        <f t="shared" si="25"/>
        <v>0</v>
      </c>
    </row>
    <row r="783" spans="2:6" x14ac:dyDescent="0.2">
      <c r="B783" s="19">
        <f>Historique!B783</f>
        <v>45513</v>
      </c>
      <c r="C783" s="13">
        <f>RL_NAV*($I$10*Historique!D783+$I$11*Historique!E783+$I$12*Historique!F783+$I$21*Historique!G783)</f>
        <v>-9682424.4812603164</v>
      </c>
      <c r="D783" s="13">
        <f>RL_NAV*($J$10*Historique!D783+$J$11*Historique!E783+$J$12*Historique!F783+$J$21*Historique!G783)</f>
        <v>-9490463.2621700298</v>
      </c>
      <c r="E783" s="20">
        <f t="shared" si="24"/>
        <v>0</v>
      </c>
      <c r="F783" s="20">
        <f t="shared" si="25"/>
        <v>0</v>
      </c>
    </row>
    <row r="784" spans="2:6" x14ac:dyDescent="0.2">
      <c r="B784" s="19">
        <f>Historique!B784</f>
        <v>45516</v>
      </c>
      <c r="C784" s="13">
        <f>RL_NAV*($I$10*Historique!D784+$I$11*Historique!E784+$I$12*Historique!F784+$I$21*Historique!G784)</f>
        <v>2351227.8681533141</v>
      </c>
      <c r="D784" s="13">
        <f>RL_NAV*($J$10*Historique!D784+$J$11*Historique!E784+$J$12*Historique!F784+$J$21*Historique!G784)</f>
        <v>2296532.0057145408</v>
      </c>
      <c r="E784" s="20">
        <f t="shared" si="24"/>
        <v>0</v>
      </c>
      <c r="F784" s="20">
        <f t="shared" si="25"/>
        <v>0</v>
      </c>
    </row>
    <row r="785" spans="2:6" x14ac:dyDescent="0.2">
      <c r="B785" s="19">
        <f>Historique!B785</f>
        <v>45517</v>
      </c>
      <c r="C785" s="13">
        <f>RL_NAV*($I$10*Historique!D785+$I$11*Historique!E785+$I$12*Historique!F785+$I$21*Historique!G785)</f>
        <v>-6105582.2994537279</v>
      </c>
      <c r="D785" s="13">
        <f>RL_NAV*($J$10*Historique!D785+$J$11*Historique!E785+$J$12*Historique!F785+$J$21*Historique!G785)</f>
        <v>-6011014.1339268014</v>
      </c>
      <c r="E785" s="20">
        <f t="shared" si="24"/>
        <v>0</v>
      </c>
      <c r="F785" s="20">
        <f t="shared" si="25"/>
        <v>0</v>
      </c>
    </row>
    <row r="786" spans="2:6" x14ac:dyDescent="0.2">
      <c r="B786" s="19">
        <f>Historique!B786</f>
        <v>45518</v>
      </c>
      <c r="C786" s="13">
        <f>RL_NAV*($I$10*Historique!D786+$I$11*Historique!E786+$I$12*Historique!F786+$I$21*Historique!G786)</f>
        <v>-522393.52286108013</v>
      </c>
      <c r="D786" s="13">
        <f>RL_NAV*($J$10*Historique!D786+$J$11*Historique!E786+$J$12*Historique!F786+$J$21*Historique!G786)</f>
        <v>-512277.07238161744</v>
      </c>
      <c r="E786" s="20">
        <f t="shared" si="24"/>
        <v>0</v>
      </c>
      <c r="F786" s="20">
        <f t="shared" si="25"/>
        <v>0</v>
      </c>
    </row>
    <row r="787" spans="2:6" x14ac:dyDescent="0.2">
      <c r="B787" s="19">
        <f>Historique!B787</f>
        <v>45519</v>
      </c>
      <c r="C787" s="13">
        <f>RL_NAV*($I$10*Historique!D787+$I$11*Historique!E787+$I$12*Historique!F787+$I$21*Historique!G787)</f>
        <v>8015555.8489077538</v>
      </c>
      <c r="D787" s="13">
        <f>RL_NAV*($J$10*Historique!D787+$J$11*Historique!E787+$J$12*Historique!F787+$J$21*Historique!G787)</f>
        <v>7952868.2741448833</v>
      </c>
      <c r="E787" s="20">
        <f t="shared" si="24"/>
        <v>0</v>
      </c>
      <c r="F787" s="20">
        <f t="shared" si="25"/>
        <v>0</v>
      </c>
    </row>
    <row r="788" spans="2:6" x14ac:dyDescent="0.2">
      <c r="B788" s="19">
        <f>Historique!B788</f>
        <v>45520</v>
      </c>
      <c r="C788" s="13">
        <f>RL_NAV*($I$10*Historique!D788+$I$11*Historique!E788+$I$12*Historique!F788+$I$21*Historique!G788)</f>
        <v>-5806374.1082979133</v>
      </c>
      <c r="D788" s="13">
        <f>RL_NAV*($J$10*Historique!D788+$J$11*Historique!E788+$J$12*Historique!F788+$J$21*Historique!G788)</f>
        <v>-5657761.2975494321</v>
      </c>
      <c r="E788" s="20">
        <f t="shared" si="24"/>
        <v>0</v>
      </c>
      <c r="F788" s="20">
        <f t="shared" si="25"/>
        <v>0</v>
      </c>
    </row>
    <row r="789" spans="2:6" x14ac:dyDescent="0.2">
      <c r="B789" s="19">
        <f>Historique!B789</f>
        <v>45523</v>
      </c>
      <c r="C789" s="13">
        <f>RL_NAV*($I$10*Historique!D789+$I$11*Historique!E789+$I$12*Historique!F789+$I$21*Historique!G789)</f>
        <v>2893016.2700664825</v>
      </c>
      <c r="D789" s="13">
        <f>RL_NAV*($J$10*Historique!D789+$J$11*Historique!E789+$J$12*Historique!F789+$J$21*Historique!G789)</f>
        <v>2829284.6805636669</v>
      </c>
      <c r="E789" s="20">
        <f t="shared" si="24"/>
        <v>0</v>
      </c>
      <c r="F789" s="20">
        <f t="shared" si="25"/>
        <v>0</v>
      </c>
    </row>
    <row r="790" spans="2:6" x14ac:dyDescent="0.2">
      <c r="B790" s="19">
        <f>Historique!B790</f>
        <v>45524</v>
      </c>
      <c r="C790" s="13">
        <f>RL_NAV*($I$10*Historique!D790+$I$11*Historique!E790+$I$12*Historique!F790+$I$21*Historique!G790)</f>
        <v>-6515611.828064736</v>
      </c>
      <c r="D790" s="13">
        <f>RL_NAV*($J$10*Historique!D790+$J$11*Historique!E790+$J$12*Historique!F790+$J$21*Historique!G790)</f>
        <v>-6394127.4299794333</v>
      </c>
      <c r="E790" s="20">
        <f t="shared" si="24"/>
        <v>0</v>
      </c>
      <c r="F790" s="20">
        <f t="shared" si="25"/>
        <v>0</v>
      </c>
    </row>
    <row r="791" spans="2:6" x14ac:dyDescent="0.2">
      <c r="B791" s="19">
        <f>Historique!B791</f>
        <v>45525</v>
      </c>
      <c r="C791" s="13">
        <f>RL_NAV*($I$10*Historique!D791+$I$11*Historique!E791+$I$12*Historique!F791+$I$21*Historique!G791)</f>
        <v>-1391940.0536819606</v>
      </c>
      <c r="D791" s="13">
        <f>RL_NAV*($J$10*Historique!D791+$J$11*Historique!E791+$J$12*Historique!F791+$J$21*Historique!G791)</f>
        <v>-1401884.4027073835</v>
      </c>
      <c r="E791" s="20">
        <f t="shared" si="24"/>
        <v>0</v>
      </c>
      <c r="F791" s="20">
        <f t="shared" si="25"/>
        <v>0</v>
      </c>
    </row>
    <row r="792" spans="2:6" x14ac:dyDescent="0.2">
      <c r="B792" s="19">
        <f>Historique!B792</f>
        <v>45526</v>
      </c>
      <c r="C792" s="13">
        <f>RL_NAV*($I$10*Historique!D792+$I$11*Historique!E792+$I$12*Historique!F792+$I$21*Historique!G792)</f>
        <v>269055.37414999184</v>
      </c>
      <c r="D792" s="13">
        <f>RL_NAV*($J$10*Historique!D792+$J$11*Historique!E792+$J$12*Historique!F792+$J$21*Historique!G792)</f>
        <v>286739.61030513077</v>
      </c>
      <c r="E792" s="20">
        <f t="shared" si="24"/>
        <v>0</v>
      </c>
      <c r="F792" s="20">
        <f t="shared" si="25"/>
        <v>0</v>
      </c>
    </row>
    <row r="793" spans="2:6" x14ac:dyDescent="0.2">
      <c r="B793" s="19">
        <f>Historique!B793</f>
        <v>45527</v>
      </c>
      <c r="C793" s="13">
        <f>RL_NAV*($I$10*Historique!D793+$I$11*Historique!E793+$I$12*Historique!F793+$I$21*Historique!G793)</f>
        <v>-637189.22170358372</v>
      </c>
      <c r="D793" s="13">
        <f>RL_NAV*($J$10*Historique!D793+$J$11*Historique!E793+$J$12*Historique!F793+$J$21*Historique!G793)</f>
        <v>-598685.55690957862</v>
      </c>
      <c r="E793" s="20">
        <f t="shared" si="24"/>
        <v>0</v>
      </c>
      <c r="F793" s="20">
        <f t="shared" si="25"/>
        <v>0</v>
      </c>
    </row>
    <row r="794" spans="2:6" x14ac:dyDescent="0.2">
      <c r="B794" s="19">
        <f>Historique!B794</f>
        <v>45530</v>
      </c>
      <c r="C794" s="13">
        <f>RL_NAV*($I$10*Historique!D794+$I$11*Historique!E794+$I$12*Historique!F794+$I$21*Historique!G794)</f>
        <v>1609135.2030656913</v>
      </c>
      <c r="D794" s="13">
        <f>RL_NAV*($J$10*Historique!D794+$J$11*Historique!E794+$J$12*Historique!F794+$J$21*Historique!G794)</f>
        <v>1559519.8942565569</v>
      </c>
      <c r="E794" s="20">
        <f t="shared" si="24"/>
        <v>0</v>
      </c>
      <c r="F794" s="20">
        <f t="shared" si="25"/>
        <v>0</v>
      </c>
    </row>
    <row r="795" spans="2:6" x14ac:dyDescent="0.2">
      <c r="B795" s="19">
        <f>Historique!B795</f>
        <v>45531</v>
      </c>
      <c r="C795" s="13">
        <f>RL_NAV*($I$10*Historique!D795+$I$11*Historique!E795+$I$12*Historique!F795+$I$21*Historique!G795)</f>
        <v>2051376.4625841167</v>
      </c>
      <c r="D795" s="13">
        <f>RL_NAV*($J$10*Historique!D795+$J$11*Historique!E795+$J$12*Historique!F795+$J$21*Historique!G795)</f>
        <v>2040386.8596468291</v>
      </c>
      <c r="E795" s="20">
        <f t="shared" si="24"/>
        <v>0</v>
      </c>
      <c r="F795" s="20">
        <f t="shared" si="25"/>
        <v>0</v>
      </c>
    </row>
    <row r="796" spans="2:6" x14ac:dyDescent="0.2">
      <c r="B796" s="19">
        <f>Historique!B796</f>
        <v>45532</v>
      </c>
      <c r="C796" s="13">
        <f>RL_NAV*($I$10*Historique!D796+$I$11*Historique!E796+$I$12*Historique!F796+$I$21*Historique!G796)</f>
        <v>-3302974.867668502</v>
      </c>
      <c r="D796" s="13">
        <f>RL_NAV*($J$10*Historique!D796+$J$11*Historique!E796+$J$12*Historique!F796+$J$21*Historique!G796)</f>
        <v>-3257136.3030518591</v>
      </c>
      <c r="E796" s="20">
        <f t="shared" si="24"/>
        <v>0</v>
      </c>
      <c r="F796" s="20">
        <f t="shared" si="25"/>
        <v>0</v>
      </c>
    </row>
    <row r="797" spans="2:6" x14ac:dyDescent="0.2">
      <c r="B797" s="19">
        <f>Historique!B797</f>
        <v>45533</v>
      </c>
      <c r="C797" s="13">
        <f>RL_NAV*($I$10*Historique!D797+$I$11*Historique!E797+$I$12*Historique!F797+$I$21*Historique!G797)</f>
        <v>2878213.8506415649</v>
      </c>
      <c r="D797" s="13">
        <f>RL_NAV*($J$10*Historique!D797+$J$11*Historique!E797+$J$12*Historique!F797+$J$21*Historique!G797)</f>
        <v>2779920.0936152874</v>
      </c>
      <c r="E797" s="20">
        <f t="shared" si="24"/>
        <v>0</v>
      </c>
      <c r="F797" s="20">
        <f t="shared" si="25"/>
        <v>0</v>
      </c>
    </row>
    <row r="798" spans="2:6" x14ac:dyDescent="0.2">
      <c r="B798" s="19">
        <f>Historique!B798</f>
        <v>45534</v>
      </c>
      <c r="C798" s="13">
        <f>RL_NAV*($I$10*Historique!D798+$I$11*Historique!E798+$I$12*Historique!F798+$I$21*Historique!G798)</f>
        <v>2023708.0948369317</v>
      </c>
      <c r="D798" s="13">
        <f>RL_NAV*($J$10*Historique!D798+$J$11*Historique!E798+$J$12*Historique!F798+$J$21*Historique!G798)</f>
        <v>2007212.8764726764</v>
      </c>
      <c r="E798" s="20">
        <f t="shared" si="24"/>
        <v>0</v>
      </c>
      <c r="F798" s="20">
        <f t="shared" si="25"/>
        <v>0</v>
      </c>
    </row>
    <row r="799" spans="2:6" x14ac:dyDescent="0.2">
      <c r="B799" s="19">
        <f>Historique!B799</f>
        <v>45537</v>
      </c>
      <c r="C799" s="13">
        <f>RL_NAV*($I$10*Historique!D799+$I$11*Historique!E799+$I$12*Historique!F799+$I$21*Historique!G799)</f>
        <v>3623669.6164183971</v>
      </c>
      <c r="D799" s="13">
        <f>RL_NAV*($J$10*Historique!D799+$J$11*Historique!E799+$J$12*Historique!F799+$J$21*Historique!G799)</f>
        <v>3618632.3617691146</v>
      </c>
      <c r="E799" s="20">
        <f t="shared" si="24"/>
        <v>0</v>
      </c>
      <c r="F799" s="20">
        <f t="shared" si="25"/>
        <v>0</v>
      </c>
    </row>
    <row r="800" spans="2:6" x14ac:dyDescent="0.2">
      <c r="B800" s="19">
        <f>Historique!B800</f>
        <v>45538</v>
      </c>
      <c r="C800" s="13">
        <f>RL_NAV*($I$10*Historique!D800+$I$11*Historique!E800+$I$12*Historique!F800+$I$21*Historique!G800)</f>
        <v>-3945721.1622209609</v>
      </c>
      <c r="D800" s="13">
        <f>RL_NAV*($J$10*Historique!D800+$J$11*Historique!E800+$J$12*Historique!F800+$J$21*Historique!G800)</f>
        <v>-3919768.2238457571</v>
      </c>
      <c r="E800" s="20">
        <f t="shared" si="24"/>
        <v>0</v>
      </c>
      <c r="F800" s="20">
        <f t="shared" si="25"/>
        <v>0</v>
      </c>
    </row>
    <row r="801" spans="2:6" x14ac:dyDescent="0.2">
      <c r="B801" s="19">
        <f>Historique!B801</f>
        <v>45539</v>
      </c>
      <c r="C801" s="13">
        <f>RL_NAV*($I$10*Historique!D801+$I$11*Historique!E801+$I$12*Historique!F801+$I$21*Historique!G801)</f>
        <v>-3806149.7265505455</v>
      </c>
      <c r="D801" s="13">
        <f>RL_NAV*($J$10*Historique!D801+$J$11*Historique!E801+$J$12*Historique!F801+$J$21*Historique!G801)</f>
        <v>-3813644.7108823564</v>
      </c>
      <c r="E801" s="20">
        <f t="shared" si="24"/>
        <v>0</v>
      </c>
      <c r="F801" s="20">
        <f t="shared" si="25"/>
        <v>0</v>
      </c>
    </row>
    <row r="802" spans="2:6" x14ac:dyDescent="0.2">
      <c r="B802" s="19">
        <f>Historique!B802</f>
        <v>45540</v>
      </c>
      <c r="C802" s="13">
        <f>RL_NAV*($I$10*Historique!D802+$I$11*Historique!E802+$I$12*Historique!F802+$I$21*Historique!G802)</f>
        <v>-1849621.7225381222</v>
      </c>
      <c r="D802" s="13">
        <f>RL_NAV*($J$10*Historique!D802+$J$11*Historique!E802+$J$12*Historique!F802+$J$21*Historique!G802)</f>
        <v>-1860965.5969628582</v>
      </c>
      <c r="E802" s="20">
        <f t="shared" si="24"/>
        <v>0</v>
      </c>
      <c r="F802" s="20">
        <f t="shared" si="25"/>
        <v>0</v>
      </c>
    </row>
    <row r="803" spans="2:6" x14ac:dyDescent="0.2">
      <c r="B803" s="19">
        <f>Historique!B803</f>
        <v>45541</v>
      </c>
      <c r="C803" s="13">
        <f>RL_NAV*($I$10*Historique!D803+$I$11*Historique!E803+$I$12*Historique!F803+$I$21*Historique!G803)</f>
        <v>968693.27088199451</v>
      </c>
      <c r="D803" s="13">
        <f>RL_NAV*($J$10*Historique!D803+$J$11*Historique!E803+$J$12*Historique!F803+$J$21*Historique!G803)</f>
        <v>921012.40591546858</v>
      </c>
      <c r="E803" s="20">
        <f t="shared" si="24"/>
        <v>0</v>
      </c>
      <c r="F803" s="20">
        <f t="shared" si="25"/>
        <v>0</v>
      </c>
    </row>
    <row r="804" spans="2:6" x14ac:dyDescent="0.2">
      <c r="B804" s="19">
        <f>Historique!B804</f>
        <v>45544</v>
      </c>
      <c r="C804" s="13">
        <f>RL_NAV*($I$10*Historique!D804+$I$11*Historique!E804+$I$12*Historique!F804+$I$21*Historique!G804)</f>
        <v>-11048161.469946597</v>
      </c>
      <c r="D804" s="13">
        <f>RL_NAV*($J$10*Historique!D804+$J$11*Historique!E804+$J$12*Historique!F804+$J$21*Historique!G804)</f>
        <v>-10812457.958851494</v>
      </c>
      <c r="E804" s="20">
        <f t="shared" si="24"/>
        <v>0</v>
      </c>
      <c r="F804" s="20">
        <f t="shared" si="25"/>
        <v>0</v>
      </c>
    </row>
    <row r="805" spans="2:6" x14ac:dyDescent="0.2">
      <c r="B805" s="19">
        <f>Historique!B805</f>
        <v>45545</v>
      </c>
      <c r="C805" s="13">
        <f>RL_NAV*($I$10*Historique!D805+$I$11*Historique!E805+$I$12*Historique!F805+$I$21*Historique!G805)</f>
        <v>6530651.4497183515</v>
      </c>
      <c r="D805" s="13">
        <f>RL_NAV*($J$10*Historique!D805+$J$11*Historique!E805+$J$12*Historique!F805+$J$21*Historique!G805)</f>
        <v>6340182.5289171943</v>
      </c>
      <c r="E805" s="20">
        <f t="shared" si="24"/>
        <v>0</v>
      </c>
      <c r="F805" s="20">
        <f t="shared" si="25"/>
        <v>0</v>
      </c>
    </row>
    <row r="806" spans="2:6" x14ac:dyDescent="0.2">
      <c r="B806" s="19">
        <f>Historique!B806</f>
        <v>45546</v>
      </c>
      <c r="C806" s="13">
        <f>RL_NAV*($I$10*Historique!D806+$I$11*Historique!E806+$I$12*Historique!F806+$I$21*Historique!G806)</f>
        <v>-2588388.3812735453</v>
      </c>
      <c r="D806" s="13">
        <f>RL_NAV*($J$10*Historique!D806+$J$11*Historique!E806+$J$12*Historique!F806+$J$21*Historique!G806)</f>
        <v>-2649395.0658769421</v>
      </c>
      <c r="E806" s="20">
        <f t="shared" si="24"/>
        <v>0</v>
      </c>
      <c r="F806" s="20">
        <f t="shared" si="25"/>
        <v>0</v>
      </c>
    </row>
    <row r="807" spans="2:6" x14ac:dyDescent="0.2">
      <c r="B807" s="19">
        <f>Historique!B807</f>
        <v>45547</v>
      </c>
      <c r="C807" s="13">
        <f>RL_NAV*($I$10*Historique!D807+$I$11*Historique!E807+$I$12*Historique!F807+$I$21*Historique!G807)</f>
        <v>3539517.2128147297</v>
      </c>
      <c r="D807" s="13">
        <f>RL_NAV*($J$10*Historique!D807+$J$11*Historique!E807+$J$12*Historique!F807+$J$21*Historique!G807)</f>
        <v>3499360.8954249867</v>
      </c>
      <c r="E807" s="20">
        <f t="shared" si="24"/>
        <v>0</v>
      </c>
      <c r="F807" s="20">
        <f t="shared" si="25"/>
        <v>0</v>
      </c>
    </row>
    <row r="808" spans="2:6" x14ac:dyDescent="0.2">
      <c r="B808" s="19">
        <f>Historique!B808</f>
        <v>45548</v>
      </c>
      <c r="C808" s="13">
        <f>RL_NAV*($I$10*Historique!D808+$I$11*Historique!E808+$I$12*Historique!F808+$I$21*Historique!G808)</f>
        <v>2257192.46445486</v>
      </c>
      <c r="D808" s="13">
        <f>RL_NAV*($J$10*Historique!D808+$J$11*Historique!E808+$J$12*Historique!F808+$J$21*Historique!G808)</f>
        <v>2226994.2517019003</v>
      </c>
      <c r="E808" s="20">
        <f t="shared" si="24"/>
        <v>0</v>
      </c>
      <c r="F808" s="20">
        <f t="shared" si="25"/>
        <v>0</v>
      </c>
    </row>
    <row r="809" spans="2:6" x14ac:dyDescent="0.2">
      <c r="B809" s="19">
        <f>Historique!B809</f>
        <v>45551</v>
      </c>
      <c r="C809" s="13">
        <f>RL_NAV*($I$10*Historique!D809+$I$11*Historique!E809+$I$12*Historique!F809+$I$21*Historique!G809)</f>
        <v>-5285998.5266637597</v>
      </c>
      <c r="D809" s="13">
        <f>RL_NAV*($J$10*Historique!D809+$J$11*Historique!E809+$J$12*Historique!F809+$J$21*Historique!G809)</f>
        <v>-5144719.8328574197</v>
      </c>
      <c r="E809" s="20">
        <f t="shared" si="24"/>
        <v>0</v>
      </c>
      <c r="F809" s="20">
        <f t="shared" si="25"/>
        <v>0</v>
      </c>
    </row>
    <row r="810" spans="2:6" x14ac:dyDescent="0.2">
      <c r="B810" s="19">
        <f>Historique!B810</f>
        <v>45552</v>
      </c>
      <c r="C810" s="13">
        <f>RL_NAV*($I$10*Historique!D810+$I$11*Historique!E810+$I$12*Historique!F810+$I$21*Historique!G810)</f>
        <v>534943.91520689428</v>
      </c>
      <c r="D810" s="13">
        <f>RL_NAV*($J$10*Historique!D810+$J$11*Historique!E810+$J$12*Historique!F810+$J$21*Historique!G810)</f>
        <v>532912.47468067135</v>
      </c>
      <c r="E810" s="20">
        <f t="shared" si="24"/>
        <v>0</v>
      </c>
      <c r="F810" s="20">
        <f t="shared" si="25"/>
        <v>0</v>
      </c>
    </row>
    <row r="811" spans="2:6" x14ac:dyDescent="0.2">
      <c r="B811" s="19">
        <f>Historique!B811</f>
        <v>45553</v>
      </c>
      <c r="C811" s="13">
        <f>RL_NAV*($I$10*Historique!D811+$I$11*Historique!E811+$I$12*Historique!F811+$I$21*Historique!G811)</f>
        <v>4236894.8782627499</v>
      </c>
      <c r="D811" s="13">
        <f>RL_NAV*($J$10*Historique!D811+$J$11*Historique!E811+$J$12*Historique!F811+$J$21*Historique!G811)</f>
        <v>4204114.4932506913</v>
      </c>
      <c r="E811" s="20">
        <f t="shared" si="24"/>
        <v>0</v>
      </c>
      <c r="F811" s="20">
        <f t="shared" si="25"/>
        <v>0</v>
      </c>
    </row>
    <row r="812" spans="2:6" x14ac:dyDescent="0.2">
      <c r="B812" s="19">
        <f>Historique!B812</f>
        <v>45554</v>
      </c>
      <c r="C812" s="13">
        <f>RL_NAV*($I$10*Historique!D812+$I$11*Historique!E812+$I$12*Historique!F812+$I$21*Historique!G812)</f>
        <v>-5246661.7809795868</v>
      </c>
      <c r="D812" s="13">
        <f>RL_NAV*($J$10*Historique!D812+$J$11*Historique!E812+$J$12*Historique!F812+$J$21*Historique!G812)</f>
        <v>-5127321.629106571</v>
      </c>
      <c r="E812" s="20">
        <f t="shared" si="24"/>
        <v>0</v>
      </c>
      <c r="F812" s="20">
        <f t="shared" si="25"/>
        <v>0</v>
      </c>
    </row>
    <row r="813" spans="2:6" x14ac:dyDescent="0.2">
      <c r="B813" s="19">
        <f>Historique!B813</f>
        <v>45555</v>
      </c>
      <c r="C813" s="13">
        <f>RL_NAV*($I$10*Historique!D813+$I$11*Historique!E813+$I$12*Historique!F813+$I$21*Historique!G813)</f>
        <v>5395073.490923903</v>
      </c>
      <c r="D813" s="13">
        <f>RL_NAV*($J$10*Historique!D813+$J$11*Historique!E813+$J$12*Historique!F813+$J$21*Historique!G813)</f>
        <v>5277124.1680480838</v>
      </c>
      <c r="E813" s="20">
        <f t="shared" si="24"/>
        <v>0</v>
      </c>
      <c r="F813" s="20">
        <f t="shared" si="25"/>
        <v>0</v>
      </c>
    </row>
    <row r="814" spans="2:6" x14ac:dyDescent="0.2">
      <c r="B814" s="19">
        <f>Historique!B814</f>
        <v>45558</v>
      </c>
      <c r="C814" s="13">
        <f>RL_NAV*($I$10*Historique!D814+$I$11*Historique!E814+$I$12*Historique!F814+$I$21*Historique!G814)</f>
        <v>-5065288.3299301695</v>
      </c>
      <c r="D814" s="13">
        <f>RL_NAV*($J$10*Historique!D814+$J$11*Historique!E814+$J$12*Historique!F814+$J$21*Historique!G814)</f>
        <v>-5020791.6743998844</v>
      </c>
      <c r="E814" s="20">
        <f t="shared" si="24"/>
        <v>0</v>
      </c>
      <c r="F814" s="20">
        <f t="shared" si="25"/>
        <v>0</v>
      </c>
    </row>
    <row r="815" spans="2:6" x14ac:dyDescent="0.2">
      <c r="B815" s="19">
        <f>Historique!B815</f>
        <v>45559</v>
      </c>
      <c r="C815" s="13">
        <f>RL_NAV*($I$10*Historique!D815+$I$11*Historique!E815+$I$12*Historique!F815+$I$21*Historique!G815)</f>
        <v>-10832559.687361501</v>
      </c>
      <c r="D815" s="13">
        <f>RL_NAV*($J$10*Historique!D815+$J$11*Historique!E815+$J$12*Historique!F815+$J$21*Historique!G815)</f>
        <v>-10637469.036432674</v>
      </c>
      <c r="E815" s="20">
        <f t="shared" si="24"/>
        <v>0</v>
      </c>
      <c r="F815" s="20">
        <f t="shared" si="25"/>
        <v>0</v>
      </c>
    </row>
    <row r="816" spans="2:6" x14ac:dyDescent="0.2">
      <c r="B816" s="19">
        <f>Historique!B816</f>
        <v>45560</v>
      </c>
      <c r="C816" s="13">
        <f>RL_NAV*($I$10*Historique!D816+$I$11*Historique!E816+$I$12*Historique!F816+$I$21*Historique!G816)</f>
        <v>7815014.1376842475</v>
      </c>
      <c r="D816" s="13">
        <f>RL_NAV*($J$10*Historique!D816+$J$11*Historique!E816+$J$12*Historique!F816+$J$21*Historique!G816)</f>
        <v>7641312.2191916592</v>
      </c>
      <c r="E816" s="20">
        <f t="shared" si="24"/>
        <v>0</v>
      </c>
      <c r="F816" s="20">
        <f t="shared" si="25"/>
        <v>0</v>
      </c>
    </row>
    <row r="817" spans="2:6" x14ac:dyDescent="0.2">
      <c r="B817" s="19">
        <f>Historique!B817</f>
        <v>45561</v>
      </c>
      <c r="C817" s="13">
        <f>RL_NAV*($I$10*Historique!D817+$I$11*Historique!E817+$I$12*Historique!F817+$I$21*Historique!G817)</f>
        <v>-3923947.0367542375</v>
      </c>
      <c r="D817" s="13">
        <f>RL_NAV*($J$10*Historique!D817+$J$11*Historique!E817+$J$12*Historique!F817+$J$21*Historique!G817)</f>
        <v>-3906537.8543179962</v>
      </c>
      <c r="E817" s="20">
        <f t="shared" si="24"/>
        <v>0</v>
      </c>
      <c r="F817" s="20">
        <f t="shared" si="25"/>
        <v>0</v>
      </c>
    </row>
    <row r="818" spans="2:6" x14ac:dyDescent="0.2">
      <c r="B818" s="19">
        <f>Historique!B818</f>
        <v>45562</v>
      </c>
      <c r="C818" s="13">
        <f>RL_NAV*($I$10*Historique!D818+$I$11*Historique!E818+$I$12*Historique!F818+$I$21*Historique!G818)</f>
        <v>791781.26095878612</v>
      </c>
      <c r="D818" s="13">
        <f>RL_NAV*($J$10*Historique!D818+$J$11*Historique!E818+$J$12*Historique!F818+$J$21*Historique!G818)</f>
        <v>754146.12183770584</v>
      </c>
      <c r="E818" s="20">
        <f t="shared" si="24"/>
        <v>0</v>
      </c>
      <c r="F818" s="20">
        <f t="shared" si="25"/>
        <v>0</v>
      </c>
    </row>
    <row r="819" spans="2:6" x14ac:dyDescent="0.2">
      <c r="B819" s="19">
        <f>Historique!B819</f>
        <v>45565</v>
      </c>
      <c r="C819" s="13">
        <f>RL_NAV*($I$10*Historique!D819+$I$11*Historique!E819+$I$12*Historique!F819+$I$21*Historique!G819)</f>
        <v>-5519567.8741720347</v>
      </c>
      <c r="D819" s="13">
        <f>RL_NAV*($J$10*Historique!D819+$J$11*Historique!E819+$J$12*Historique!F819+$J$21*Historique!G819)</f>
        <v>-5374087.3328737048</v>
      </c>
      <c r="E819" s="20">
        <f t="shared" si="24"/>
        <v>0</v>
      </c>
      <c r="F819" s="20">
        <f t="shared" si="25"/>
        <v>0</v>
      </c>
    </row>
    <row r="820" spans="2:6" x14ac:dyDescent="0.2">
      <c r="B820" s="19">
        <f>Historique!B820</f>
        <v>45566</v>
      </c>
      <c r="C820" s="13">
        <f>RL_NAV*($I$10*Historique!D820+$I$11*Historique!E820+$I$12*Historique!F820+$I$21*Historique!G820)</f>
        <v>-6564377.9763210649</v>
      </c>
      <c r="D820" s="13">
        <f>RL_NAV*($J$10*Historique!D820+$J$11*Historique!E820+$J$12*Historique!F820+$J$21*Historique!G820)</f>
        <v>-6550243.337833493</v>
      </c>
      <c r="E820" s="20">
        <f t="shared" si="24"/>
        <v>0</v>
      </c>
      <c r="F820" s="20">
        <f t="shared" si="25"/>
        <v>0</v>
      </c>
    </row>
    <row r="821" spans="2:6" x14ac:dyDescent="0.2">
      <c r="B821" s="19">
        <f>Historique!B821</f>
        <v>45567</v>
      </c>
      <c r="C821" s="13">
        <f>RL_NAV*($I$10*Historique!D821+$I$11*Historique!E821+$I$12*Historique!F821+$I$21*Historique!G821)</f>
        <v>5971656.4788579196</v>
      </c>
      <c r="D821" s="13">
        <f>RL_NAV*($J$10*Historique!D821+$J$11*Historique!E821+$J$12*Historique!F821+$J$21*Historique!G821)</f>
        <v>5929762.1186321499</v>
      </c>
      <c r="E821" s="20">
        <f t="shared" si="24"/>
        <v>0</v>
      </c>
      <c r="F821" s="20">
        <f t="shared" si="25"/>
        <v>0</v>
      </c>
    </row>
    <row r="822" spans="2:6" x14ac:dyDescent="0.2">
      <c r="B822" s="19">
        <f>Historique!B822</f>
        <v>45568</v>
      </c>
      <c r="C822" s="13">
        <f>RL_NAV*($I$10*Historique!D822+$I$11*Historique!E822+$I$12*Historique!F822+$I$21*Historique!G822)</f>
        <v>3249041.2338614957</v>
      </c>
      <c r="D822" s="13">
        <f>RL_NAV*($J$10*Historique!D822+$J$11*Historique!E822+$J$12*Historique!F822+$J$21*Historique!G822)</f>
        <v>3245658.9901114954</v>
      </c>
      <c r="E822" s="20">
        <f t="shared" si="24"/>
        <v>0</v>
      </c>
      <c r="F822" s="20">
        <f t="shared" si="25"/>
        <v>0</v>
      </c>
    </row>
    <row r="823" spans="2:6" x14ac:dyDescent="0.2">
      <c r="B823" s="19">
        <f>Historique!B823</f>
        <v>45569</v>
      </c>
      <c r="C823" s="13">
        <f>RL_NAV*($I$10*Historique!D823+$I$11*Historique!E823+$I$12*Historique!F823+$I$21*Historique!G823)</f>
        <v>6352988.0151895359</v>
      </c>
      <c r="D823" s="13">
        <f>RL_NAV*($J$10*Historique!D823+$J$11*Historique!E823+$J$12*Historique!F823+$J$21*Historique!G823)</f>
        <v>6297863.3228530968</v>
      </c>
      <c r="E823" s="20">
        <f t="shared" si="24"/>
        <v>0</v>
      </c>
      <c r="F823" s="20">
        <f t="shared" si="25"/>
        <v>0</v>
      </c>
    </row>
    <row r="824" spans="2:6" x14ac:dyDescent="0.2">
      <c r="B824" s="19">
        <f>Historique!B824</f>
        <v>45572</v>
      </c>
      <c r="C824" s="13">
        <f>RL_NAV*($I$10*Historique!D824+$I$11*Historique!E824+$I$12*Historique!F824+$I$21*Historique!G824)</f>
        <v>377956.38548618439</v>
      </c>
      <c r="D824" s="13">
        <f>RL_NAV*($J$10*Historique!D824+$J$11*Historique!E824+$J$12*Historique!F824+$J$21*Historique!G824)</f>
        <v>472060.65731777548</v>
      </c>
      <c r="E824" s="20">
        <f t="shared" si="24"/>
        <v>0</v>
      </c>
      <c r="F824" s="20">
        <f t="shared" si="25"/>
        <v>0</v>
      </c>
    </row>
    <row r="825" spans="2:6" x14ac:dyDescent="0.2">
      <c r="B825" s="19">
        <f>Historique!B825</f>
        <v>45573</v>
      </c>
      <c r="C825" s="13">
        <f>RL_NAV*($I$10*Historique!D825+$I$11*Historique!E825+$I$12*Historique!F825+$I$21*Historique!G825)</f>
        <v>1620030.336201872</v>
      </c>
      <c r="D825" s="13">
        <f>RL_NAV*($J$10*Historique!D825+$J$11*Historique!E825+$J$12*Historique!F825+$J$21*Historique!G825)</f>
        <v>1603239.7411448378</v>
      </c>
      <c r="E825" s="20">
        <f t="shared" si="24"/>
        <v>0</v>
      </c>
      <c r="F825" s="20">
        <f t="shared" si="25"/>
        <v>0</v>
      </c>
    </row>
    <row r="826" spans="2:6" x14ac:dyDescent="0.2">
      <c r="B826" s="19">
        <f>Historique!B826</f>
        <v>45574</v>
      </c>
      <c r="C826" s="13">
        <f>RL_NAV*($I$10*Historique!D826+$I$11*Historique!E826+$I$12*Historique!F826+$I$21*Historique!G826)</f>
        <v>2208025.9175492134</v>
      </c>
      <c r="D826" s="13">
        <f>RL_NAV*($J$10*Historique!D826+$J$11*Historique!E826+$J$12*Historique!F826+$J$21*Historique!G826)</f>
        <v>2140411.3578617736</v>
      </c>
      <c r="E826" s="20">
        <f t="shared" si="24"/>
        <v>0</v>
      </c>
      <c r="F826" s="20">
        <f t="shared" si="25"/>
        <v>0</v>
      </c>
    </row>
    <row r="827" spans="2:6" x14ac:dyDescent="0.2">
      <c r="B827" s="19">
        <f>Historique!B827</f>
        <v>45575</v>
      </c>
      <c r="C827" s="13">
        <f>RL_NAV*($I$10*Historique!D827+$I$11*Historique!E827+$I$12*Historique!F827+$I$21*Historique!G827)</f>
        <v>279371.91103260667</v>
      </c>
      <c r="D827" s="13">
        <f>RL_NAV*($J$10*Historique!D827+$J$11*Historique!E827+$J$12*Historique!F827+$J$21*Historique!G827)</f>
        <v>298600.2894657029</v>
      </c>
      <c r="E827" s="20">
        <f t="shared" si="24"/>
        <v>0</v>
      </c>
      <c r="F827" s="20">
        <f t="shared" si="25"/>
        <v>0</v>
      </c>
    </row>
    <row r="828" spans="2:6" x14ac:dyDescent="0.2">
      <c r="B828" s="19">
        <f>Historique!B828</f>
        <v>45576</v>
      </c>
      <c r="C828" s="13">
        <f>RL_NAV*($I$10*Historique!D828+$I$11*Historique!E828+$I$12*Historique!F828+$I$21*Historique!G828)</f>
        <v>-741481.80918657256</v>
      </c>
      <c r="D828" s="13">
        <f>RL_NAV*($J$10*Historique!D828+$J$11*Historique!E828+$J$12*Historique!F828+$J$21*Historique!G828)</f>
        <v>-696222.88779582095</v>
      </c>
      <c r="E828" s="20">
        <f t="shared" si="24"/>
        <v>0</v>
      </c>
      <c r="F828" s="20">
        <f t="shared" si="25"/>
        <v>0</v>
      </c>
    </row>
    <row r="829" spans="2:6" x14ac:dyDescent="0.2">
      <c r="B829" s="19">
        <f>Historique!B829</f>
        <v>45579</v>
      </c>
      <c r="C829" s="13">
        <f>RL_NAV*($I$10*Historique!D829+$I$11*Historique!E829+$I$12*Historique!F829+$I$21*Historique!G829)</f>
        <v>-694891.98576116608</v>
      </c>
      <c r="D829" s="13">
        <f>RL_NAV*($J$10*Historique!D829+$J$11*Historique!E829+$J$12*Historique!F829+$J$21*Historique!G829)</f>
        <v>-691371.0160217504</v>
      </c>
      <c r="E829" s="20">
        <f t="shared" si="24"/>
        <v>0</v>
      </c>
      <c r="F829" s="20">
        <f t="shared" si="25"/>
        <v>0</v>
      </c>
    </row>
    <row r="830" spans="2:6" x14ac:dyDescent="0.2">
      <c r="B830" s="19">
        <f>Historique!B830</f>
        <v>45580</v>
      </c>
      <c r="C830" s="13">
        <f>RL_NAV*($I$10*Historique!D830+$I$11*Historique!E830+$I$12*Historique!F830+$I$21*Historique!G830)</f>
        <v>-3423694.6243206747</v>
      </c>
      <c r="D830" s="13">
        <f>RL_NAV*($J$10*Historique!D830+$J$11*Historique!E830+$J$12*Historique!F830+$J$21*Historique!G830)</f>
        <v>-3408727.5302351378</v>
      </c>
      <c r="E830" s="20">
        <f t="shared" si="24"/>
        <v>0</v>
      </c>
      <c r="F830" s="20">
        <f t="shared" si="25"/>
        <v>0</v>
      </c>
    </row>
    <row r="831" spans="2:6" x14ac:dyDescent="0.2">
      <c r="B831" s="19">
        <f>Historique!B831</f>
        <v>45581</v>
      </c>
      <c r="C831" s="13">
        <f>RL_NAV*($I$10*Historique!D831+$I$11*Historique!E831+$I$12*Historique!F831+$I$21*Historique!G831)</f>
        <v>-6051809.6369937826</v>
      </c>
      <c r="D831" s="13">
        <f>RL_NAV*($J$10*Historique!D831+$J$11*Historique!E831+$J$12*Historique!F831+$J$21*Historique!G831)</f>
        <v>-5976212.8913050704</v>
      </c>
      <c r="E831" s="20">
        <f t="shared" si="24"/>
        <v>0</v>
      </c>
      <c r="F831" s="20">
        <f t="shared" si="25"/>
        <v>0</v>
      </c>
    </row>
    <row r="832" spans="2:6" x14ac:dyDescent="0.2">
      <c r="B832" s="19">
        <f>Historique!B832</f>
        <v>45582</v>
      </c>
      <c r="C832" s="13">
        <f>RL_NAV*($I$10*Historique!D832+$I$11*Historique!E832+$I$12*Historique!F832+$I$21*Historique!G832)</f>
        <v>-3168151.8596462077</v>
      </c>
      <c r="D832" s="13">
        <f>RL_NAV*($J$10*Historique!D832+$J$11*Historique!E832+$J$12*Historique!F832+$J$21*Historique!G832)</f>
        <v>-3076809.1400069497</v>
      </c>
      <c r="E832" s="20">
        <f t="shared" si="24"/>
        <v>0</v>
      </c>
      <c r="F832" s="20">
        <f t="shared" si="25"/>
        <v>0</v>
      </c>
    </row>
    <row r="833" spans="2:6" x14ac:dyDescent="0.2">
      <c r="B833" s="19">
        <f>Historique!B833</f>
        <v>45583</v>
      </c>
      <c r="C833" s="13">
        <f>RL_NAV*($I$10*Historique!D833+$I$11*Historique!E833+$I$12*Historique!F833+$I$21*Historique!G833)</f>
        <v>-6065820.5590168731</v>
      </c>
      <c r="D833" s="13">
        <f>RL_NAV*($J$10*Historique!D833+$J$11*Historique!E833+$J$12*Historique!F833+$J$21*Historique!G833)</f>
        <v>-5988255.9782953141</v>
      </c>
      <c r="E833" s="20">
        <f t="shared" si="24"/>
        <v>0</v>
      </c>
      <c r="F833" s="20">
        <f t="shared" si="25"/>
        <v>0</v>
      </c>
    </row>
    <row r="834" spans="2:6" x14ac:dyDescent="0.2">
      <c r="B834" s="19">
        <f>Historique!B834</f>
        <v>45586</v>
      </c>
      <c r="C834" s="13">
        <f>RL_NAV*($I$10*Historique!D834+$I$11*Historique!E834+$I$12*Historique!F834+$I$21*Historique!G834)</f>
        <v>8022389.862572398</v>
      </c>
      <c r="D834" s="13">
        <f>RL_NAV*($J$10*Historique!D834+$J$11*Historique!E834+$J$12*Historique!F834+$J$21*Historique!G834)</f>
        <v>7973614.2105063386</v>
      </c>
      <c r="E834" s="20">
        <f t="shared" si="24"/>
        <v>0</v>
      </c>
      <c r="F834" s="20">
        <f t="shared" si="25"/>
        <v>0</v>
      </c>
    </row>
    <row r="835" spans="2:6" x14ac:dyDescent="0.2">
      <c r="B835" s="19">
        <f>Historique!B835</f>
        <v>45587</v>
      </c>
      <c r="C835" s="13">
        <f>RL_NAV*($I$10*Historique!D835+$I$11*Historique!E835+$I$12*Historique!F835+$I$21*Historique!G835)</f>
        <v>-177579.75888443025</v>
      </c>
      <c r="D835" s="13">
        <f>RL_NAV*($J$10*Historique!D835+$J$11*Historique!E835+$J$12*Historique!F835+$J$21*Historique!G835)</f>
        <v>-161835.26050007797</v>
      </c>
      <c r="E835" s="20">
        <f t="shared" si="24"/>
        <v>0</v>
      </c>
      <c r="F835" s="20">
        <f t="shared" si="25"/>
        <v>0</v>
      </c>
    </row>
    <row r="836" spans="2:6" x14ac:dyDescent="0.2">
      <c r="B836" s="19">
        <f>Historique!B836</f>
        <v>45588</v>
      </c>
      <c r="C836" s="13">
        <f>RL_NAV*($I$10*Historique!D836+$I$11*Historique!E836+$I$12*Historique!F836+$I$21*Historique!G836)</f>
        <v>-762816.40231061797</v>
      </c>
      <c r="D836" s="13">
        <f>RL_NAV*($J$10*Historique!D836+$J$11*Historique!E836+$J$12*Historique!F836+$J$21*Historique!G836)</f>
        <v>-763255.5848605003</v>
      </c>
      <c r="E836" s="20">
        <f t="shared" si="24"/>
        <v>0</v>
      </c>
      <c r="F836" s="20">
        <f t="shared" si="25"/>
        <v>0</v>
      </c>
    </row>
    <row r="837" spans="2:6" x14ac:dyDescent="0.2">
      <c r="B837" s="19">
        <f>Historique!B837</f>
        <v>45589</v>
      </c>
      <c r="C837" s="13">
        <f>RL_NAV*($I$10*Historique!D837+$I$11*Historique!E837+$I$12*Historique!F837+$I$21*Historique!G837)</f>
        <v>-4110721.598362287</v>
      </c>
      <c r="D837" s="13">
        <f>RL_NAV*($J$10*Historique!D837+$J$11*Historique!E837+$J$12*Historique!F837+$J$21*Historique!G837)</f>
        <v>-4063841.3661082429</v>
      </c>
      <c r="E837" s="20">
        <f t="shared" si="24"/>
        <v>0</v>
      </c>
      <c r="F837" s="20">
        <f t="shared" si="25"/>
        <v>0</v>
      </c>
    </row>
    <row r="838" spans="2:6" x14ac:dyDescent="0.2">
      <c r="B838" s="19">
        <f>Historique!B838</f>
        <v>45590</v>
      </c>
      <c r="C838" s="13">
        <f>RL_NAV*($I$10*Historique!D838+$I$11*Historique!E838+$I$12*Historique!F838+$I$21*Historique!G838)</f>
        <v>2277755.6149317343</v>
      </c>
      <c r="D838" s="13">
        <f>RL_NAV*($J$10*Historique!D838+$J$11*Historique!E838+$J$12*Historique!F838+$J$21*Historique!G838)</f>
        <v>2278772.3981184331</v>
      </c>
      <c r="E838" s="20">
        <f t="shared" si="24"/>
        <v>0</v>
      </c>
      <c r="F838" s="20">
        <f t="shared" si="25"/>
        <v>0</v>
      </c>
    </row>
    <row r="839" spans="2:6" x14ac:dyDescent="0.2">
      <c r="B839" s="19">
        <f>Historique!B839</f>
        <v>45593</v>
      </c>
      <c r="C839" s="13">
        <f>RL_NAV*($I$10*Historique!D839+$I$11*Historique!E839+$I$12*Historique!F839+$I$21*Historique!G839)</f>
        <v>-1226232.8772570081</v>
      </c>
      <c r="D839" s="13">
        <f>RL_NAV*($J$10*Historique!D839+$J$11*Historique!E839+$J$12*Historique!F839+$J$21*Historique!G839)</f>
        <v>-1241204.299637381</v>
      </c>
      <c r="E839" s="20">
        <f t="shared" ref="E839:E902" si="26">IF(C839&gt;$I$9,1,IF(C839=$I$9,($I$8-$I$18)/$I$19,0))/$I$8</f>
        <v>0</v>
      </c>
      <c r="F839" s="20">
        <f t="shared" ref="F839:F902" si="27">IF(D839&gt;$J$9,1,IF(D839=$J$9,($J$8-$J$18)/$J$19,0))/$J$8</f>
        <v>0</v>
      </c>
    </row>
    <row r="840" spans="2:6" x14ac:dyDescent="0.2">
      <c r="B840" s="19">
        <f>Historique!B840</f>
        <v>45594</v>
      </c>
      <c r="C840" s="13">
        <f>RL_NAV*($I$10*Historique!D840+$I$11*Historique!E840+$I$12*Historique!F840+$I$21*Historique!G840)</f>
        <v>1882306.2429347117</v>
      </c>
      <c r="D840" s="13">
        <f>RL_NAV*($J$10*Historique!D840+$J$11*Historique!E840+$J$12*Historique!F840+$J$21*Historique!G840)</f>
        <v>1928480.5703084702</v>
      </c>
      <c r="E840" s="20">
        <f t="shared" si="26"/>
        <v>0</v>
      </c>
      <c r="F840" s="20">
        <f t="shared" si="27"/>
        <v>0</v>
      </c>
    </row>
    <row r="841" spans="2:6" x14ac:dyDescent="0.2">
      <c r="B841" s="19">
        <f>Historique!B841</f>
        <v>45595</v>
      </c>
      <c r="C841" s="13">
        <f>RL_NAV*($I$10*Historique!D841+$I$11*Historique!E841+$I$12*Historique!F841+$I$21*Historique!G841)</f>
        <v>12308385.038090561</v>
      </c>
      <c r="D841" s="13">
        <f>RL_NAV*($J$10*Historique!D841+$J$11*Historique!E841+$J$12*Historique!F841+$J$21*Historique!G841)</f>
        <v>12116453.381404303</v>
      </c>
      <c r="E841" s="20">
        <f t="shared" si="26"/>
        <v>0</v>
      </c>
      <c r="F841" s="20">
        <f t="shared" si="27"/>
        <v>0</v>
      </c>
    </row>
    <row r="842" spans="2:6" x14ac:dyDescent="0.2">
      <c r="B842" s="19">
        <f>Historique!B842</f>
        <v>45596</v>
      </c>
      <c r="C842" s="13">
        <f>RL_NAV*($I$10*Historique!D842+$I$11*Historique!E842+$I$12*Historique!F842+$I$21*Historique!G842)</f>
        <v>7907167.318296412</v>
      </c>
      <c r="D842" s="13">
        <f>RL_NAV*($J$10*Historique!D842+$J$11*Historique!E842+$J$12*Historique!F842+$J$21*Historique!G842)</f>
        <v>7828766.3581613358</v>
      </c>
      <c r="E842" s="20">
        <f t="shared" si="26"/>
        <v>0</v>
      </c>
      <c r="F842" s="20">
        <f t="shared" si="27"/>
        <v>0</v>
      </c>
    </row>
    <row r="843" spans="2:6" x14ac:dyDescent="0.2">
      <c r="B843" s="19">
        <f>Historique!B843</f>
        <v>45597</v>
      </c>
      <c r="C843" s="13">
        <f>RL_NAV*($I$10*Historique!D843+$I$11*Historique!E843+$I$12*Historique!F843+$I$21*Historique!G843)</f>
        <v>-8222104.1276027123</v>
      </c>
      <c r="D843" s="13">
        <f>RL_NAV*($J$10*Historique!D843+$J$11*Historique!E843+$J$12*Historique!F843+$J$21*Historique!G843)</f>
        <v>-8087836.4886419531</v>
      </c>
      <c r="E843" s="20">
        <f t="shared" si="26"/>
        <v>0</v>
      </c>
      <c r="F843" s="20">
        <f t="shared" si="27"/>
        <v>0</v>
      </c>
    </row>
    <row r="844" spans="2:6" x14ac:dyDescent="0.2">
      <c r="B844" s="19">
        <f>Historique!B844</f>
        <v>45600</v>
      </c>
      <c r="C844" s="13">
        <f>RL_NAV*($I$10*Historique!D844+$I$11*Historique!E844+$I$12*Historique!F844+$I$21*Historique!G844)</f>
        <v>-165110.73104218894</v>
      </c>
      <c r="D844" s="13">
        <f>RL_NAV*($J$10*Historique!D844+$J$11*Historique!E844+$J$12*Historique!F844+$J$21*Historique!G844)</f>
        <v>-124316.51579802805</v>
      </c>
      <c r="E844" s="20">
        <f t="shared" si="26"/>
        <v>0</v>
      </c>
      <c r="F844" s="20">
        <f t="shared" si="27"/>
        <v>0</v>
      </c>
    </row>
    <row r="845" spans="2:6" x14ac:dyDescent="0.2">
      <c r="B845" s="19">
        <f>Historique!B845</f>
        <v>45601</v>
      </c>
      <c r="C845" s="13">
        <f>RL_NAV*($I$10*Historique!D845+$I$11*Historique!E845+$I$12*Historique!F845+$I$21*Historique!G845)</f>
        <v>4176309.1647178042</v>
      </c>
      <c r="D845" s="13">
        <f>RL_NAV*($J$10*Historique!D845+$J$11*Historique!E845+$J$12*Historique!F845+$J$21*Historique!G845)</f>
        <v>4076740.7185535515</v>
      </c>
      <c r="E845" s="20">
        <f t="shared" si="26"/>
        <v>0</v>
      </c>
      <c r="F845" s="20">
        <f t="shared" si="27"/>
        <v>0</v>
      </c>
    </row>
    <row r="846" spans="2:6" x14ac:dyDescent="0.2">
      <c r="B846" s="19">
        <f>Historique!B846</f>
        <v>45602</v>
      </c>
      <c r="C846" s="13">
        <f>RL_NAV*($I$10*Historique!D846+$I$11*Historique!E846+$I$12*Historique!F846+$I$21*Historique!G846)</f>
        <v>-4328930.7156857681</v>
      </c>
      <c r="D846" s="13">
        <f>RL_NAV*($J$10*Historique!D846+$J$11*Historique!E846+$J$12*Historique!F846+$J$21*Historique!G846)</f>
        <v>-4295058.8515556296</v>
      </c>
      <c r="E846" s="20">
        <f t="shared" si="26"/>
        <v>0</v>
      </c>
      <c r="F846" s="20">
        <f t="shared" si="27"/>
        <v>0</v>
      </c>
    </row>
    <row r="847" spans="2:6" x14ac:dyDescent="0.2">
      <c r="B847" s="19">
        <f>Historique!B847</f>
        <v>45603</v>
      </c>
      <c r="C847" s="13">
        <f>RL_NAV*($I$10*Historique!D847+$I$11*Historique!E847+$I$12*Historique!F847+$I$21*Historique!G847)</f>
        <v>-6720798.2632720862</v>
      </c>
      <c r="D847" s="13">
        <f>RL_NAV*($J$10*Historique!D847+$J$11*Historique!E847+$J$12*Historique!F847+$J$21*Historique!G847)</f>
        <v>-6529953.6302597094</v>
      </c>
      <c r="E847" s="20">
        <f t="shared" si="26"/>
        <v>0</v>
      </c>
      <c r="F847" s="20">
        <f t="shared" si="27"/>
        <v>0</v>
      </c>
    </row>
    <row r="848" spans="2:6" x14ac:dyDescent="0.2">
      <c r="B848" s="19">
        <f>Historique!B848</f>
        <v>45604</v>
      </c>
      <c r="C848" s="13">
        <f>RL_NAV*($I$10*Historique!D848+$I$11*Historique!E848+$I$12*Historique!F848+$I$21*Historique!G848)</f>
        <v>1718464.6738026636</v>
      </c>
      <c r="D848" s="13">
        <f>RL_NAV*($J$10*Historique!D848+$J$11*Historique!E848+$J$12*Historique!F848+$J$21*Historique!G848)</f>
        <v>1627287.5403985342</v>
      </c>
      <c r="E848" s="20">
        <f t="shared" si="26"/>
        <v>0</v>
      </c>
      <c r="F848" s="20">
        <f t="shared" si="27"/>
        <v>0</v>
      </c>
    </row>
    <row r="849" spans="2:6" x14ac:dyDescent="0.2">
      <c r="B849" s="19">
        <f>Historique!B849</f>
        <v>45607</v>
      </c>
      <c r="C849" s="13">
        <f>RL_NAV*($I$10*Historique!D849+$I$11*Historique!E849+$I$12*Historique!F849+$I$21*Historique!G849)</f>
        <v>-1597168.3169398215</v>
      </c>
      <c r="D849" s="13">
        <f>RL_NAV*($J$10*Historique!D849+$J$11*Historique!E849+$J$12*Historique!F849+$J$21*Historique!G849)</f>
        <v>-1635021.0535639664</v>
      </c>
      <c r="E849" s="20">
        <f t="shared" si="26"/>
        <v>0</v>
      </c>
      <c r="F849" s="20">
        <f t="shared" si="27"/>
        <v>0</v>
      </c>
    </row>
    <row r="850" spans="2:6" x14ac:dyDescent="0.2">
      <c r="B850" s="19">
        <f>Historique!B850</f>
        <v>45608</v>
      </c>
      <c r="C850" s="13">
        <f>RL_NAV*($I$10*Historique!D850+$I$11*Historique!E850+$I$12*Historique!F850+$I$21*Historique!G850)</f>
        <v>-2022152.5740455976</v>
      </c>
      <c r="D850" s="13">
        <f>RL_NAV*($J$10*Historique!D850+$J$11*Historique!E850+$J$12*Historique!F850+$J$21*Historique!G850)</f>
        <v>-2000107.2762338789</v>
      </c>
      <c r="E850" s="20">
        <f t="shared" si="26"/>
        <v>0</v>
      </c>
      <c r="F850" s="20">
        <f t="shared" si="27"/>
        <v>0</v>
      </c>
    </row>
    <row r="851" spans="2:6" x14ac:dyDescent="0.2">
      <c r="B851" s="19">
        <f>Historique!B851</f>
        <v>45609</v>
      </c>
      <c r="C851" s="13">
        <f>RL_NAV*($I$10*Historique!D851+$I$11*Historique!E851+$I$12*Historique!F851+$I$21*Historique!G851)</f>
        <v>3939651.484294428</v>
      </c>
      <c r="D851" s="13">
        <f>RL_NAV*($J$10*Historique!D851+$J$11*Historique!E851+$J$12*Historique!F851+$J$21*Historique!G851)</f>
        <v>3912301.9571711952</v>
      </c>
      <c r="E851" s="20">
        <f t="shared" si="26"/>
        <v>0</v>
      </c>
      <c r="F851" s="20">
        <f t="shared" si="27"/>
        <v>0</v>
      </c>
    </row>
    <row r="852" spans="2:6" x14ac:dyDescent="0.2">
      <c r="B852" s="19">
        <f>Historique!B852</f>
        <v>45610</v>
      </c>
      <c r="C852" s="13">
        <f>RL_NAV*($I$10*Historique!D852+$I$11*Historique!E852+$I$12*Historique!F852+$I$21*Historique!G852)</f>
        <v>-5037746.4680602765</v>
      </c>
      <c r="D852" s="13">
        <f>RL_NAV*($J$10*Historique!D852+$J$11*Historique!E852+$J$12*Historique!F852+$J$21*Historique!G852)</f>
        <v>-4955653.9594743308</v>
      </c>
      <c r="E852" s="20">
        <f t="shared" si="26"/>
        <v>0</v>
      </c>
      <c r="F852" s="20">
        <f t="shared" si="27"/>
        <v>0</v>
      </c>
    </row>
    <row r="853" spans="2:6" x14ac:dyDescent="0.2">
      <c r="B853" s="19">
        <f>Historique!B853</f>
        <v>45611</v>
      </c>
      <c r="C853" s="13">
        <f>RL_NAV*($I$10*Historique!D853+$I$11*Historique!E853+$I$12*Historique!F853+$I$21*Historique!G853)</f>
        <v>5068577.1174654383</v>
      </c>
      <c r="D853" s="13">
        <f>RL_NAV*($J$10*Historique!D853+$J$11*Historique!E853+$J$12*Historique!F853+$J$21*Historique!G853)</f>
        <v>4968465.5877558477</v>
      </c>
      <c r="E853" s="20">
        <f t="shared" si="26"/>
        <v>0</v>
      </c>
      <c r="F853" s="20">
        <f t="shared" si="27"/>
        <v>0</v>
      </c>
    </row>
    <row r="854" spans="2:6" x14ac:dyDescent="0.2">
      <c r="B854" s="19">
        <f>Historique!B854</f>
        <v>45614</v>
      </c>
      <c r="C854" s="13">
        <f>RL_NAV*($I$10*Historique!D854+$I$11*Historique!E854+$I$12*Historique!F854+$I$21*Historique!G854)</f>
        <v>373739.29883276619</v>
      </c>
      <c r="D854" s="13">
        <f>RL_NAV*($J$10*Historique!D854+$J$11*Historique!E854+$J$12*Historique!F854+$J$21*Historique!G854)</f>
        <v>428007.24475295213</v>
      </c>
      <c r="E854" s="20">
        <f t="shared" si="26"/>
        <v>0</v>
      </c>
      <c r="F854" s="20">
        <f t="shared" si="27"/>
        <v>0</v>
      </c>
    </row>
    <row r="855" spans="2:6" x14ac:dyDescent="0.2">
      <c r="B855" s="19">
        <f>Historique!B855</f>
        <v>45615</v>
      </c>
      <c r="C855" s="13">
        <f>RL_NAV*($I$10*Historique!D855+$I$11*Historique!E855+$I$12*Historique!F855+$I$21*Historique!G855)</f>
        <v>5313204.5618523741</v>
      </c>
      <c r="D855" s="13">
        <f>RL_NAV*($J$10*Historique!D855+$J$11*Historique!E855+$J$12*Historique!F855+$J$21*Historique!G855)</f>
        <v>5087236.1092484295</v>
      </c>
      <c r="E855" s="20">
        <f t="shared" si="26"/>
        <v>0</v>
      </c>
      <c r="F855" s="20">
        <f t="shared" si="27"/>
        <v>0</v>
      </c>
    </row>
    <row r="856" spans="2:6" x14ac:dyDescent="0.2">
      <c r="B856" s="19">
        <f>Historique!B856</f>
        <v>45616</v>
      </c>
      <c r="C856" s="13">
        <f>RL_NAV*($I$10*Historique!D856+$I$11*Historique!E856+$I$12*Historique!F856+$I$21*Historique!G856)</f>
        <v>-1450407.4788149011</v>
      </c>
      <c r="D856" s="13">
        <f>RL_NAV*($J$10*Historique!D856+$J$11*Historique!E856+$J$12*Historique!F856+$J$21*Historique!G856)</f>
        <v>-1390873.3872034</v>
      </c>
      <c r="E856" s="20">
        <f t="shared" si="26"/>
        <v>0</v>
      </c>
      <c r="F856" s="20">
        <f t="shared" si="27"/>
        <v>0</v>
      </c>
    </row>
    <row r="857" spans="2:6" x14ac:dyDescent="0.2">
      <c r="B857" s="19">
        <f>Historique!B857</f>
        <v>45617</v>
      </c>
      <c r="C857" s="13">
        <f>RL_NAV*($I$10*Historique!D857+$I$11*Historique!E857+$I$12*Historique!F857+$I$21*Historique!G857)</f>
        <v>-3109315.1169812228</v>
      </c>
      <c r="D857" s="13">
        <f>RL_NAV*($J$10*Historique!D857+$J$11*Historique!E857+$J$12*Historique!F857+$J$21*Historique!G857)</f>
        <v>-3118689.1418438805</v>
      </c>
      <c r="E857" s="20">
        <f t="shared" si="26"/>
        <v>0</v>
      </c>
      <c r="F857" s="20">
        <f t="shared" si="27"/>
        <v>0</v>
      </c>
    </row>
    <row r="858" spans="2:6" x14ac:dyDescent="0.2">
      <c r="B858" s="19">
        <f>Historique!B858</f>
        <v>45618</v>
      </c>
      <c r="C858" s="13">
        <f>RL_NAV*($I$10*Historique!D858+$I$11*Historique!E858+$I$12*Historique!F858+$I$21*Historique!G858)</f>
        <v>-1234993.0660004334</v>
      </c>
      <c r="D858" s="13">
        <f>RL_NAV*($J$10*Historique!D858+$J$11*Historique!E858+$J$12*Historique!F858+$J$21*Historique!G858)</f>
        <v>-1294113.6726387483</v>
      </c>
      <c r="E858" s="20">
        <f t="shared" si="26"/>
        <v>0</v>
      </c>
      <c r="F858" s="20">
        <f t="shared" si="27"/>
        <v>0</v>
      </c>
    </row>
    <row r="859" spans="2:6" x14ac:dyDescent="0.2">
      <c r="B859" s="19">
        <f>Historique!B859</f>
        <v>45621</v>
      </c>
      <c r="C859" s="13">
        <f>RL_NAV*($I$10*Historique!D859+$I$11*Historique!E859+$I$12*Historique!F859+$I$21*Historique!G859)</f>
        <v>-8567245.7105613295</v>
      </c>
      <c r="D859" s="13">
        <f>RL_NAV*($J$10*Historique!D859+$J$11*Historique!E859+$J$12*Historique!F859+$J$21*Historique!G859)</f>
        <v>-8404543.5356034823</v>
      </c>
      <c r="E859" s="20">
        <f t="shared" si="26"/>
        <v>0</v>
      </c>
      <c r="F859" s="20">
        <f t="shared" si="27"/>
        <v>0</v>
      </c>
    </row>
    <row r="860" spans="2:6" x14ac:dyDescent="0.2">
      <c r="B860" s="19">
        <f>Historique!B860</f>
        <v>45622</v>
      </c>
      <c r="C860" s="13">
        <f>RL_NAV*($I$10*Historique!D860+$I$11*Historique!E860+$I$12*Historique!F860+$I$21*Historique!G860)</f>
        <v>4778938.7742720591</v>
      </c>
      <c r="D860" s="13">
        <f>RL_NAV*($J$10*Historique!D860+$J$11*Historique!E860+$J$12*Historique!F860+$J$21*Historique!G860)</f>
        <v>4694126.6107759159</v>
      </c>
      <c r="E860" s="20">
        <f t="shared" si="26"/>
        <v>0</v>
      </c>
      <c r="F860" s="20">
        <f t="shared" si="27"/>
        <v>0</v>
      </c>
    </row>
    <row r="861" spans="2:6" x14ac:dyDescent="0.2">
      <c r="B861" s="19">
        <f>Historique!B861</f>
        <v>45623</v>
      </c>
      <c r="C861" s="13">
        <f>RL_NAV*($I$10*Historique!D861+$I$11*Historique!E861+$I$12*Historique!F861+$I$21*Historique!G861)</f>
        <v>844495.41994516982</v>
      </c>
      <c r="D861" s="13">
        <f>RL_NAV*($J$10*Historique!D861+$J$11*Historique!E861+$J$12*Historique!F861+$J$21*Historique!G861)</f>
        <v>773670.79624680453</v>
      </c>
      <c r="E861" s="20">
        <f t="shared" si="26"/>
        <v>0</v>
      </c>
      <c r="F861" s="20">
        <f t="shared" si="27"/>
        <v>0</v>
      </c>
    </row>
    <row r="862" spans="2:6" x14ac:dyDescent="0.2">
      <c r="B862" s="19">
        <f>Historique!B862</f>
        <v>45624</v>
      </c>
      <c r="C862" s="13">
        <f>RL_NAV*($I$10*Historique!D862+$I$11*Historique!E862+$I$12*Historique!F862+$I$21*Historique!G862)</f>
        <v>-8504752.2160871997</v>
      </c>
      <c r="D862" s="13">
        <f>RL_NAV*($J$10*Historique!D862+$J$11*Historique!E862+$J$12*Historique!F862+$J$21*Historique!G862)</f>
        <v>-8326122.6229721755</v>
      </c>
      <c r="E862" s="20">
        <f t="shared" si="26"/>
        <v>0</v>
      </c>
      <c r="F862" s="20">
        <f t="shared" si="27"/>
        <v>0</v>
      </c>
    </row>
    <row r="863" spans="2:6" x14ac:dyDescent="0.2">
      <c r="B863" s="19">
        <f>Historique!B863</f>
        <v>45625</v>
      </c>
      <c r="C863" s="13">
        <f>RL_NAV*($I$10*Historique!D863+$I$11*Historique!E863+$I$12*Historique!F863+$I$21*Historique!G863)</f>
        <v>-4435218.5132819386</v>
      </c>
      <c r="D863" s="13">
        <f>RL_NAV*($J$10*Historique!D863+$J$11*Historique!E863+$J$12*Historique!F863+$J$21*Historique!G863)</f>
        <v>-4414154.1653494332</v>
      </c>
      <c r="E863" s="20">
        <f t="shared" si="26"/>
        <v>0</v>
      </c>
      <c r="F863" s="20">
        <f t="shared" si="27"/>
        <v>0</v>
      </c>
    </row>
    <row r="864" spans="2:6" x14ac:dyDescent="0.2">
      <c r="B864" s="19">
        <f>Historique!B864</f>
        <v>45628</v>
      </c>
      <c r="C864" s="13">
        <f>RL_NAV*($I$10*Historique!D864+$I$11*Historique!E864+$I$12*Historique!F864+$I$21*Historique!G864)</f>
        <v>-4368718.8302317923</v>
      </c>
      <c r="D864" s="13">
        <f>RL_NAV*($J$10*Historique!D864+$J$11*Historique!E864+$J$12*Historique!F864+$J$21*Historique!G864)</f>
        <v>-4376736.2973410012</v>
      </c>
      <c r="E864" s="20">
        <f t="shared" si="26"/>
        <v>0</v>
      </c>
      <c r="F864" s="20">
        <f t="shared" si="27"/>
        <v>0</v>
      </c>
    </row>
    <row r="865" spans="2:6" x14ac:dyDescent="0.2">
      <c r="B865" s="19">
        <f>Historique!B865</f>
        <v>45629</v>
      </c>
      <c r="C865" s="13">
        <f>RL_NAV*($I$10*Historique!D865+$I$11*Historique!E865+$I$12*Historique!F865+$I$21*Historique!G865)</f>
        <v>-1785311.0825221753</v>
      </c>
      <c r="D865" s="13">
        <f>RL_NAV*($J$10*Historique!D865+$J$11*Historique!E865+$J$12*Historique!F865+$J$21*Historique!G865)</f>
        <v>-1689108.4030967674</v>
      </c>
      <c r="E865" s="20">
        <f t="shared" si="26"/>
        <v>0</v>
      </c>
      <c r="F865" s="20">
        <f t="shared" si="27"/>
        <v>0</v>
      </c>
    </row>
    <row r="866" spans="2:6" x14ac:dyDescent="0.2">
      <c r="B866" s="19">
        <f>Historique!B866</f>
        <v>45630</v>
      </c>
      <c r="C866" s="13">
        <f>RL_NAV*($I$10*Historique!D866+$I$11*Historique!E866+$I$12*Historique!F866+$I$21*Historique!G866)</f>
        <v>4487039.7028591614</v>
      </c>
      <c r="D866" s="13">
        <f>RL_NAV*($J$10*Historique!D866+$J$11*Historique!E866+$J$12*Historique!F866+$J$21*Historique!G866)</f>
        <v>4432033.2361151464</v>
      </c>
      <c r="E866" s="20">
        <f t="shared" si="26"/>
        <v>0</v>
      </c>
      <c r="F866" s="20">
        <f t="shared" si="27"/>
        <v>0</v>
      </c>
    </row>
    <row r="867" spans="2:6" x14ac:dyDescent="0.2">
      <c r="B867" s="19">
        <f>Historique!B867</f>
        <v>45631</v>
      </c>
      <c r="C867" s="13">
        <f>RL_NAV*($I$10*Historique!D867+$I$11*Historique!E867+$I$12*Historique!F867+$I$21*Historique!G867)</f>
        <v>643853.98613208497</v>
      </c>
      <c r="D867" s="13">
        <f>RL_NAV*($J$10*Historique!D867+$J$11*Historique!E867+$J$12*Historique!F867+$J$21*Historique!G867)</f>
        <v>714353.44839879882</v>
      </c>
      <c r="E867" s="20">
        <f t="shared" si="26"/>
        <v>0</v>
      </c>
      <c r="F867" s="20">
        <f t="shared" si="27"/>
        <v>0</v>
      </c>
    </row>
    <row r="868" spans="2:6" x14ac:dyDescent="0.2">
      <c r="B868" s="19">
        <f>Historique!B868</f>
        <v>45632</v>
      </c>
      <c r="C868" s="13">
        <f>RL_NAV*($I$10*Historique!D868+$I$11*Historique!E868+$I$12*Historique!F868+$I$21*Historique!G868)</f>
        <v>-7537402.8792022523</v>
      </c>
      <c r="D868" s="13">
        <f>RL_NAV*($J$10*Historique!D868+$J$11*Historique!E868+$J$12*Historique!F868+$J$21*Historique!G868)</f>
        <v>-7367698.5165023217</v>
      </c>
      <c r="E868" s="20">
        <f t="shared" si="26"/>
        <v>0</v>
      </c>
      <c r="F868" s="20">
        <f t="shared" si="27"/>
        <v>0</v>
      </c>
    </row>
    <row r="869" spans="2:6" x14ac:dyDescent="0.2">
      <c r="B869" s="19">
        <f>Historique!B869</f>
        <v>45635</v>
      </c>
      <c r="C869" s="13">
        <f>RL_NAV*($I$10*Historique!D869+$I$11*Historique!E869+$I$12*Historique!F869+$I$21*Historique!G869)</f>
        <v>-1057651.3399922305</v>
      </c>
      <c r="D869" s="13">
        <f>RL_NAV*($J$10*Historique!D869+$J$11*Historique!E869+$J$12*Historique!F869+$J$21*Historique!G869)</f>
        <v>-1041924.0264204571</v>
      </c>
      <c r="E869" s="20">
        <f t="shared" si="26"/>
        <v>0</v>
      </c>
      <c r="F869" s="20">
        <f t="shared" si="27"/>
        <v>0</v>
      </c>
    </row>
    <row r="870" spans="2:6" x14ac:dyDescent="0.2">
      <c r="B870" s="19">
        <f>Historique!B870</f>
        <v>45636</v>
      </c>
      <c r="C870" s="13">
        <f>RL_NAV*($I$10*Historique!D870+$I$11*Historique!E870+$I$12*Historique!F870+$I$21*Historique!G870)</f>
        <v>-4576303.8887646245</v>
      </c>
      <c r="D870" s="13">
        <f>RL_NAV*($J$10*Historique!D870+$J$11*Historique!E870+$J$12*Historique!F870+$J$21*Historique!G870)</f>
        <v>-4503474.9781593224</v>
      </c>
      <c r="E870" s="20">
        <f t="shared" si="26"/>
        <v>0</v>
      </c>
      <c r="F870" s="20">
        <f t="shared" si="27"/>
        <v>0</v>
      </c>
    </row>
    <row r="871" spans="2:6" x14ac:dyDescent="0.2">
      <c r="B871" s="19">
        <f>Historique!B871</f>
        <v>45637</v>
      </c>
      <c r="C871" s="13">
        <f>RL_NAV*($I$10*Historique!D871+$I$11*Historique!E871+$I$12*Historique!F871+$I$21*Historique!G871)</f>
        <v>1256560.0201718912</v>
      </c>
      <c r="D871" s="13">
        <f>RL_NAV*($J$10*Historique!D871+$J$11*Historique!E871+$J$12*Historique!F871+$J$21*Historique!G871)</f>
        <v>1204219.8048184298</v>
      </c>
      <c r="E871" s="20">
        <f t="shared" si="26"/>
        <v>0</v>
      </c>
      <c r="F871" s="20">
        <f t="shared" si="27"/>
        <v>0</v>
      </c>
    </row>
    <row r="872" spans="2:6" x14ac:dyDescent="0.2">
      <c r="B872" s="19">
        <f>Historique!B872</f>
        <v>45638</v>
      </c>
      <c r="C872" s="13">
        <f>RL_NAV*($I$10*Historique!D872+$I$11*Historique!E872+$I$12*Historique!F872+$I$21*Historique!G872)</f>
        <v>5396315.1069520349</v>
      </c>
      <c r="D872" s="13">
        <f>RL_NAV*($J$10*Historique!D872+$J$11*Historique!E872+$J$12*Historique!F872+$J$21*Historique!G872)</f>
        <v>5395395.2907106951</v>
      </c>
      <c r="E872" s="20">
        <f t="shared" si="26"/>
        <v>0</v>
      </c>
      <c r="F872" s="20">
        <f t="shared" si="27"/>
        <v>0</v>
      </c>
    </row>
    <row r="873" spans="2:6" x14ac:dyDescent="0.2">
      <c r="B873" s="19">
        <f>Historique!B873</f>
        <v>45639</v>
      </c>
      <c r="C873" s="13">
        <f>RL_NAV*($I$10*Historique!D873+$I$11*Historique!E873+$I$12*Historique!F873+$I$21*Historique!G873)</f>
        <v>8920514.5639149994</v>
      </c>
      <c r="D873" s="13">
        <f>RL_NAV*($J$10*Historique!D873+$J$11*Historique!E873+$J$12*Historique!F873+$J$21*Historique!G873)</f>
        <v>8736860.3871912155</v>
      </c>
      <c r="E873" s="20">
        <f t="shared" si="26"/>
        <v>0</v>
      </c>
      <c r="F873" s="20">
        <f t="shared" si="27"/>
        <v>0</v>
      </c>
    </row>
    <row r="874" spans="2:6" x14ac:dyDescent="0.2">
      <c r="B874" s="19">
        <f>Historique!B874</f>
        <v>45642</v>
      </c>
      <c r="C874" s="13">
        <f>RL_NAV*($I$10*Historique!D874+$I$11*Historique!E874+$I$12*Historique!F874+$I$21*Historique!G874)</f>
        <v>-1754698.342403346</v>
      </c>
      <c r="D874" s="13">
        <f>RL_NAV*($J$10*Historique!D874+$J$11*Historique!E874+$J$12*Historique!F874+$J$21*Historique!G874)</f>
        <v>-1714101.4350711901</v>
      </c>
      <c r="E874" s="20">
        <f t="shared" si="26"/>
        <v>0</v>
      </c>
      <c r="F874" s="20">
        <f t="shared" si="27"/>
        <v>0</v>
      </c>
    </row>
    <row r="875" spans="2:6" x14ac:dyDescent="0.2">
      <c r="B875" s="19">
        <f>Historique!B875</f>
        <v>45643</v>
      </c>
      <c r="C875" s="13">
        <f>RL_NAV*($I$10*Historique!D875+$I$11*Historique!E875+$I$12*Historique!F875+$I$21*Historique!G875)</f>
        <v>2136525.6532347519</v>
      </c>
      <c r="D875" s="13">
        <f>RL_NAV*($J$10*Historique!D875+$J$11*Historique!E875+$J$12*Historique!F875+$J$21*Historique!G875)</f>
        <v>2077428.7909394673</v>
      </c>
      <c r="E875" s="20">
        <f t="shared" si="26"/>
        <v>0</v>
      </c>
      <c r="F875" s="20">
        <f t="shared" si="27"/>
        <v>0</v>
      </c>
    </row>
    <row r="876" spans="2:6" x14ac:dyDescent="0.2">
      <c r="B876" s="19">
        <f>Historique!B876</f>
        <v>45644</v>
      </c>
      <c r="C876" s="13">
        <f>RL_NAV*($I$10*Historique!D876+$I$11*Historique!E876+$I$12*Historique!F876+$I$21*Historique!G876)</f>
        <v>607865.94602294464</v>
      </c>
      <c r="D876" s="13">
        <f>RL_NAV*($J$10*Historique!D876+$J$11*Historique!E876+$J$12*Historique!F876+$J$21*Historique!G876)</f>
        <v>613875.58203090425</v>
      </c>
      <c r="E876" s="20">
        <f t="shared" si="26"/>
        <v>0</v>
      </c>
      <c r="F876" s="20">
        <f t="shared" si="27"/>
        <v>0</v>
      </c>
    </row>
    <row r="877" spans="2:6" x14ac:dyDescent="0.2">
      <c r="B877" s="19">
        <f>Historique!B877</f>
        <v>45645</v>
      </c>
      <c r="C877" s="13">
        <f>RL_NAV*($I$10*Historique!D877+$I$11*Historique!E877+$I$12*Historique!F877+$I$21*Historique!G877)</f>
        <v>12177014.406680526</v>
      </c>
      <c r="D877" s="13">
        <f>RL_NAV*($J$10*Historique!D877+$J$11*Historique!E877+$J$12*Historique!F877+$J$21*Historique!G877)</f>
        <v>11953517.918057719</v>
      </c>
      <c r="E877" s="20">
        <f t="shared" si="26"/>
        <v>0</v>
      </c>
      <c r="F877" s="20">
        <f t="shared" si="27"/>
        <v>0</v>
      </c>
    </row>
    <row r="878" spans="2:6" x14ac:dyDescent="0.2">
      <c r="B878" s="19">
        <f>Historique!B878</f>
        <v>45646</v>
      </c>
      <c r="C878" s="13">
        <f>RL_NAV*($I$10*Historique!D878+$I$11*Historique!E878+$I$12*Historique!F878+$I$21*Historique!G878)</f>
        <v>-5163293.8091904726</v>
      </c>
      <c r="D878" s="13">
        <f>RL_NAV*($J$10*Historique!D878+$J$11*Historique!E878+$J$12*Historique!F878+$J$21*Historique!G878)</f>
        <v>-5113172.353364516</v>
      </c>
      <c r="E878" s="20">
        <f t="shared" si="26"/>
        <v>0</v>
      </c>
      <c r="F878" s="20">
        <f t="shared" si="27"/>
        <v>0</v>
      </c>
    </row>
    <row r="879" spans="2:6" x14ac:dyDescent="0.2">
      <c r="B879" s="19">
        <f>Historique!B879</f>
        <v>45649</v>
      </c>
      <c r="C879" s="13">
        <f>RL_NAV*($I$10*Historique!D879+$I$11*Historique!E879+$I$12*Historique!F879+$I$21*Historique!G879)</f>
        <v>4188691.5284587159</v>
      </c>
      <c r="D879" s="13">
        <f>RL_NAV*($J$10*Historique!D879+$J$11*Historique!E879+$J$12*Historique!F879+$J$21*Historique!G879)</f>
        <v>4144844.692135185</v>
      </c>
      <c r="E879" s="20">
        <f t="shared" si="26"/>
        <v>0</v>
      </c>
      <c r="F879" s="20">
        <f t="shared" si="27"/>
        <v>0</v>
      </c>
    </row>
    <row r="880" spans="2:6" x14ac:dyDescent="0.2">
      <c r="B880" s="19">
        <f>Historique!B880</f>
        <v>45653</v>
      </c>
      <c r="C880" s="13">
        <f>RL_NAV*($I$10*Historique!D880+$I$11*Historique!E880+$I$12*Historique!F880+$I$21*Historique!G880)</f>
        <v>-2137172.6266461979</v>
      </c>
      <c r="D880" s="13">
        <f>RL_NAV*($J$10*Historique!D880+$J$11*Historique!E880+$J$12*Historique!F880+$J$21*Historique!G880)</f>
        <v>-2015788.0236610807</v>
      </c>
      <c r="E880" s="20">
        <f t="shared" si="26"/>
        <v>0</v>
      </c>
      <c r="F880" s="20">
        <f t="shared" si="27"/>
        <v>0</v>
      </c>
    </row>
    <row r="881" spans="2:6" x14ac:dyDescent="0.2">
      <c r="B881" s="19">
        <f>Historique!B881</f>
        <v>45656</v>
      </c>
      <c r="C881" s="13">
        <f>RL_NAV*($I$10*Historique!D881+$I$11*Historique!E881+$I$12*Historique!F881+$I$21*Historique!G881)</f>
        <v>7238746.099764823</v>
      </c>
      <c r="D881" s="13">
        <f>RL_NAV*($J$10*Historique!D881+$J$11*Historique!E881+$J$12*Historique!F881+$J$21*Historique!G881)</f>
        <v>7050749.7068405189</v>
      </c>
      <c r="E881" s="20">
        <f t="shared" si="26"/>
        <v>0</v>
      </c>
      <c r="F881" s="20">
        <f t="shared" si="27"/>
        <v>0</v>
      </c>
    </row>
    <row r="882" spans="2:6" x14ac:dyDescent="0.2">
      <c r="B882" s="19">
        <f>Historique!B882</f>
        <v>45659</v>
      </c>
      <c r="C882" s="13">
        <f>RL_NAV*($I$10*Historique!D882+$I$11*Historique!E882+$I$12*Historique!F882+$I$21*Historique!G882)</f>
        <v>-1727903.6850977726</v>
      </c>
      <c r="D882" s="13">
        <f>RL_NAV*($J$10*Historique!D882+$J$11*Historique!E882+$J$12*Historique!F882+$J$21*Historique!G882)</f>
        <v>-1706574.1235867455</v>
      </c>
      <c r="E882" s="20">
        <f t="shared" si="26"/>
        <v>0</v>
      </c>
      <c r="F882" s="20">
        <f t="shared" si="27"/>
        <v>0</v>
      </c>
    </row>
    <row r="883" spans="2:6" x14ac:dyDescent="0.2">
      <c r="B883" s="19">
        <f>Historique!B883</f>
        <v>45660</v>
      </c>
      <c r="C883" s="13">
        <f>RL_NAV*($I$10*Historique!D883+$I$11*Historique!E883+$I$12*Historique!F883+$I$21*Historique!G883)</f>
        <v>7830900.3173988955</v>
      </c>
      <c r="D883" s="13">
        <f>RL_NAV*($J$10*Historique!D883+$J$11*Historique!E883+$J$12*Historique!F883+$J$21*Historique!G883)</f>
        <v>7743158.3933582008</v>
      </c>
      <c r="E883" s="20">
        <f t="shared" si="26"/>
        <v>0</v>
      </c>
      <c r="F883" s="20">
        <f t="shared" si="27"/>
        <v>0</v>
      </c>
    </row>
    <row r="884" spans="2:6" x14ac:dyDescent="0.2">
      <c r="B884" s="19">
        <f>Historique!B884</f>
        <v>45663</v>
      </c>
      <c r="C884" s="13">
        <f>RL_NAV*($I$10*Historique!D884+$I$11*Historique!E884+$I$12*Historique!F884+$I$21*Historique!G884)</f>
        <v>4325212.8454673914</v>
      </c>
      <c r="D884" s="13">
        <f>RL_NAV*($J$10*Historique!D884+$J$11*Historique!E884+$J$12*Historique!F884+$J$21*Historique!G884)</f>
        <v>4328196.1457200116</v>
      </c>
      <c r="E884" s="20">
        <f t="shared" si="26"/>
        <v>0</v>
      </c>
      <c r="F884" s="20">
        <f t="shared" si="27"/>
        <v>0</v>
      </c>
    </row>
    <row r="885" spans="2:6" x14ac:dyDescent="0.2">
      <c r="B885" s="19">
        <f>Historique!B885</f>
        <v>45664</v>
      </c>
      <c r="C885" s="13">
        <f>RL_NAV*($I$10*Historique!D885+$I$11*Historique!E885+$I$12*Historique!F885+$I$21*Historique!G885)</f>
        <v>-19749.764114846734</v>
      </c>
      <c r="D885" s="13">
        <f>RL_NAV*($J$10*Historique!D885+$J$11*Historique!E885+$J$12*Historique!F885+$J$21*Historique!G885)</f>
        <v>-65966.043678764428</v>
      </c>
      <c r="E885" s="20">
        <f t="shared" si="26"/>
        <v>0</v>
      </c>
      <c r="F885" s="20">
        <f t="shared" si="27"/>
        <v>0</v>
      </c>
    </row>
    <row r="886" spans="2:6" x14ac:dyDescent="0.2">
      <c r="B886" s="19">
        <f>Historique!B886</f>
        <v>45665</v>
      </c>
      <c r="C886" s="13">
        <f>RL_NAV*($I$10*Historique!D886+$I$11*Historique!E886+$I$12*Historique!F886+$I$21*Historique!G886)</f>
        <v>7408951.7140303152</v>
      </c>
      <c r="D886" s="13">
        <f>RL_NAV*($J$10*Historique!D886+$J$11*Historique!E886+$J$12*Historique!F886+$J$21*Historique!G886)</f>
        <v>7284089.434162016</v>
      </c>
      <c r="E886" s="20">
        <f t="shared" si="26"/>
        <v>0</v>
      </c>
      <c r="F886" s="20">
        <f t="shared" si="27"/>
        <v>0</v>
      </c>
    </row>
    <row r="887" spans="2:6" x14ac:dyDescent="0.2">
      <c r="B887" s="19">
        <f>Historique!B887</f>
        <v>45666</v>
      </c>
      <c r="C887" s="13">
        <f>RL_NAV*($I$10*Historique!D887+$I$11*Historique!E887+$I$12*Historique!F887+$I$21*Historique!G887)</f>
        <v>42129.69972092141</v>
      </c>
      <c r="D887" s="13">
        <f>RL_NAV*($J$10*Historique!D887+$J$11*Historique!E887+$J$12*Historique!F887+$J$21*Historique!G887)</f>
        <v>66769.152271571817</v>
      </c>
      <c r="E887" s="20">
        <f t="shared" si="26"/>
        <v>0</v>
      </c>
      <c r="F887" s="20">
        <f t="shared" si="27"/>
        <v>0</v>
      </c>
    </row>
    <row r="888" spans="2:6" x14ac:dyDescent="0.2">
      <c r="B888" s="19">
        <f>Historique!B888</f>
        <v>45667</v>
      </c>
      <c r="C888" s="13">
        <f>RL_NAV*($I$10*Historique!D888+$I$11*Historique!E888+$I$12*Historique!F888+$I$21*Historique!G888)</f>
        <v>6296834.8488698676</v>
      </c>
      <c r="D888" s="13">
        <f>RL_NAV*($J$10*Historique!D888+$J$11*Historique!E888+$J$12*Historique!F888+$J$21*Historique!G888)</f>
        <v>6232864.1070385361</v>
      </c>
      <c r="E888" s="20">
        <f t="shared" si="26"/>
        <v>0</v>
      </c>
      <c r="F888" s="20">
        <f t="shared" si="27"/>
        <v>0</v>
      </c>
    </row>
    <row r="889" spans="2:6" x14ac:dyDescent="0.2">
      <c r="B889" s="19">
        <f>Historique!B889</f>
        <v>45670</v>
      </c>
      <c r="C889" s="13">
        <f>RL_NAV*($I$10*Historique!D889+$I$11*Historique!E889+$I$12*Historique!F889+$I$21*Historique!G889)</f>
        <v>3462987.791004071</v>
      </c>
      <c r="D889" s="13">
        <f>RL_NAV*($J$10*Historique!D889+$J$11*Historique!E889+$J$12*Historique!F889+$J$21*Historique!G889)</f>
        <v>3423305.9375302503</v>
      </c>
      <c r="E889" s="20">
        <f t="shared" si="26"/>
        <v>0</v>
      </c>
      <c r="F889" s="20">
        <f t="shared" si="27"/>
        <v>0</v>
      </c>
    </row>
    <row r="890" spans="2:6" x14ac:dyDescent="0.2">
      <c r="B890" s="19">
        <f>Historique!B890</f>
        <v>45671</v>
      </c>
      <c r="C890" s="13">
        <f>RL_NAV*($I$10*Historique!D890+$I$11*Historique!E890+$I$12*Historique!F890+$I$21*Historique!G890)</f>
        <v>4612062.6464659749</v>
      </c>
      <c r="D890" s="13">
        <f>RL_NAV*($J$10*Historique!D890+$J$11*Historique!E890+$J$12*Historique!F890+$J$21*Historique!G890)</f>
        <v>4556514.3378390372</v>
      </c>
      <c r="E890" s="20">
        <f t="shared" si="26"/>
        <v>0</v>
      </c>
      <c r="F890" s="20">
        <f t="shared" si="27"/>
        <v>0</v>
      </c>
    </row>
    <row r="891" spans="2:6" x14ac:dyDescent="0.2">
      <c r="B891" s="19">
        <f>Historique!B891</f>
        <v>45672</v>
      </c>
      <c r="C891" s="13">
        <f>RL_NAV*($I$10*Historique!D891+$I$11*Historique!E891+$I$12*Historique!F891+$I$21*Historique!G891)</f>
        <v>-14180267.544367153</v>
      </c>
      <c r="D891" s="13">
        <f>RL_NAV*($J$10*Historique!D891+$J$11*Historique!E891+$J$12*Historique!F891+$J$21*Historique!G891)</f>
        <v>-13962906.23013382</v>
      </c>
      <c r="E891" s="20">
        <f t="shared" si="26"/>
        <v>0</v>
      </c>
      <c r="F891" s="20">
        <f t="shared" si="27"/>
        <v>0</v>
      </c>
    </row>
    <row r="892" spans="2:6" x14ac:dyDescent="0.2">
      <c r="B892" s="19">
        <f>Historique!B892</f>
        <v>45673</v>
      </c>
      <c r="C892" s="13">
        <f>RL_NAV*($I$10*Historique!D892+$I$11*Historique!E892+$I$12*Historique!F892+$I$21*Historique!G892)</f>
        <v>1197229.7104252169</v>
      </c>
      <c r="D892" s="13">
        <f>RL_NAV*($J$10*Historique!D892+$J$11*Historique!E892+$J$12*Historique!F892+$J$21*Historique!G892)</f>
        <v>1199006.397582216</v>
      </c>
      <c r="E892" s="20">
        <f t="shared" si="26"/>
        <v>0</v>
      </c>
      <c r="F892" s="20">
        <f t="shared" si="27"/>
        <v>0</v>
      </c>
    </row>
    <row r="893" spans="2:6" x14ac:dyDescent="0.2">
      <c r="B893" s="19">
        <f>Historique!B893</f>
        <v>45674</v>
      </c>
      <c r="C893" s="13">
        <f>RL_NAV*($I$10*Historique!D893+$I$11*Historique!E893+$I$12*Historique!F893+$I$21*Historique!G893)</f>
        <v>-8038402.8852488901</v>
      </c>
      <c r="D893" s="13">
        <f>RL_NAV*($J$10*Historique!D893+$J$11*Historique!E893+$J$12*Historique!F893+$J$21*Historique!G893)</f>
        <v>-7912384.5571768815</v>
      </c>
      <c r="E893" s="20">
        <f t="shared" si="26"/>
        <v>0</v>
      </c>
      <c r="F893" s="20">
        <f t="shared" si="27"/>
        <v>0</v>
      </c>
    </row>
    <row r="894" spans="2:6" x14ac:dyDescent="0.2">
      <c r="B894" s="19">
        <f>Historique!B894</f>
        <v>45677</v>
      </c>
      <c r="C894" s="13">
        <f>RL_NAV*($I$10*Historique!D894+$I$11*Historique!E894+$I$12*Historique!F894+$I$21*Historique!G894)</f>
        <v>-2568902.1668511094</v>
      </c>
      <c r="D894" s="13">
        <f>RL_NAV*($J$10*Historique!D894+$J$11*Historique!E894+$J$12*Historique!F894+$J$21*Historique!G894)</f>
        <v>-2486408.2017998449</v>
      </c>
      <c r="E894" s="20">
        <f t="shared" si="26"/>
        <v>0</v>
      </c>
      <c r="F894" s="20">
        <f t="shared" si="27"/>
        <v>0</v>
      </c>
    </row>
    <row r="895" spans="2:6" x14ac:dyDescent="0.2">
      <c r="B895" s="19">
        <f>Historique!B895</f>
        <v>45678</v>
      </c>
      <c r="C895" s="13">
        <f>RL_NAV*($I$10*Historique!D895+$I$11*Historique!E895+$I$12*Historique!F895+$I$21*Historique!G895)</f>
        <v>1610355.9289855543</v>
      </c>
      <c r="D895" s="13">
        <f>RL_NAV*($J$10*Historique!D895+$J$11*Historique!E895+$J$12*Historique!F895+$J$21*Historique!G895)</f>
        <v>1540629.1906050146</v>
      </c>
      <c r="E895" s="20">
        <f t="shared" si="26"/>
        <v>0</v>
      </c>
      <c r="F895" s="20">
        <f t="shared" si="27"/>
        <v>0</v>
      </c>
    </row>
    <row r="896" spans="2:6" x14ac:dyDescent="0.2">
      <c r="B896" s="19">
        <f>Historique!B896</f>
        <v>45679</v>
      </c>
      <c r="C896" s="13">
        <f>RL_NAV*($I$10*Historique!D896+$I$11*Historique!E896+$I$12*Historique!F896+$I$21*Historique!G896)</f>
        <v>-1568357.6337936122</v>
      </c>
      <c r="D896" s="13">
        <f>RL_NAV*($J$10*Historique!D896+$J$11*Historique!E896+$J$12*Historique!F896+$J$21*Historique!G896)</f>
        <v>-1526589.7257062406</v>
      </c>
      <c r="E896" s="20">
        <f t="shared" si="26"/>
        <v>0</v>
      </c>
      <c r="F896" s="20">
        <f t="shared" si="27"/>
        <v>0</v>
      </c>
    </row>
    <row r="897" spans="2:6" x14ac:dyDescent="0.2">
      <c r="B897" s="19">
        <f>Historique!B897</f>
        <v>45680</v>
      </c>
      <c r="C897" s="13">
        <f>RL_NAV*($I$10*Historique!D897+$I$11*Historique!E897+$I$12*Historique!F897+$I$21*Historique!G897)</f>
        <v>4059518.5191215873</v>
      </c>
      <c r="D897" s="13">
        <f>RL_NAV*($J$10*Historique!D897+$J$11*Historique!E897+$J$12*Historique!F897+$J$21*Historique!G897)</f>
        <v>4018598.0381296002</v>
      </c>
      <c r="E897" s="20">
        <f t="shared" si="26"/>
        <v>0</v>
      </c>
      <c r="F897" s="20">
        <f t="shared" si="27"/>
        <v>0</v>
      </c>
    </row>
    <row r="898" spans="2:6" x14ac:dyDescent="0.2">
      <c r="B898" s="19">
        <f>Historique!B898</f>
        <v>45681</v>
      </c>
      <c r="C898" s="13">
        <f>RL_NAV*($I$10*Historique!D898+$I$11*Historique!E898+$I$12*Historique!F898+$I$21*Historique!G898)</f>
        <v>597068.58257048961</v>
      </c>
      <c r="D898" s="13">
        <f>RL_NAV*($J$10*Historique!D898+$J$11*Historique!E898+$J$12*Historique!F898+$J$21*Historique!G898)</f>
        <v>667535.4975551957</v>
      </c>
      <c r="E898" s="20">
        <f t="shared" si="26"/>
        <v>0</v>
      </c>
      <c r="F898" s="20">
        <f t="shared" si="27"/>
        <v>0</v>
      </c>
    </row>
    <row r="899" spans="2:6" x14ac:dyDescent="0.2">
      <c r="B899" s="19">
        <f>Historique!B899</f>
        <v>45684</v>
      </c>
      <c r="C899" s="13">
        <f>RL_NAV*($I$10*Historique!D899+$I$11*Historique!E899+$I$12*Historique!F899+$I$21*Historique!G899)</f>
        <v>-1069876.1090293983</v>
      </c>
      <c r="D899" s="13">
        <f>RL_NAV*($J$10*Historique!D899+$J$11*Historique!E899+$J$12*Historique!F899+$J$21*Historique!G899)</f>
        <v>-1130557.8346575266</v>
      </c>
      <c r="E899" s="20">
        <f t="shared" si="26"/>
        <v>0</v>
      </c>
      <c r="F899" s="20">
        <f t="shared" si="27"/>
        <v>0</v>
      </c>
    </row>
    <row r="900" spans="2:6" x14ac:dyDescent="0.2">
      <c r="B900" s="19">
        <f>Historique!B900</f>
        <v>45685</v>
      </c>
      <c r="C900" s="13">
        <f>RL_NAV*($I$10*Historique!D900+$I$11*Historique!E900+$I$12*Historique!F900+$I$21*Historique!G900)</f>
        <v>1176059.1235841047</v>
      </c>
      <c r="D900" s="13">
        <f>RL_NAV*($J$10*Historique!D900+$J$11*Historique!E900+$J$12*Historique!F900+$J$21*Historique!G900)</f>
        <v>1156553.6258286715</v>
      </c>
      <c r="E900" s="20">
        <f t="shared" si="26"/>
        <v>0</v>
      </c>
      <c r="F900" s="20">
        <f t="shared" si="27"/>
        <v>0</v>
      </c>
    </row>
    <row r="901" spans="2:6" x14ac:dyDescent="0.2">
      <c r="B901" s="19">
        <f>Historique!B901</f>
        <v>45686</v>
      </c>
      <c r="C901" s="13">
        <f>RL_NAV*($I$10*Historique!D901+$I$11*Historique!E901+$I$12*Historique!F901+$I$21*Historique!G901)</f>
        <v>-2666833.2065421883</v>
      </c>
      <c r="D901" s="13">
        <f>RL_NAV*($J$10*Historique!D901+$J$11*Historique!E901+$J$12*Historique!F901+$J$21*Historique!G901)</f>
        <v>-2607513.0762287769</v>
      </c>
      <c r="E901" s="20">
        <f t="shared" si="26"/>
        <v>0</v>
      </c>
      <c r="F901" s="20">
        <f t="shared" si="27"/>
        <v>0</v>
      </c>
    </row>
    <row r="902" spans="2:6" x14ac:dyDescent="0.2">
      <c r="B902" s="19">
        <f>Historique!B902</f>
        <v>45687</v>
      </c>
      <c r="C902" s="13">
        <f>RL_NAV*($I$10*Historique!D902+$I$11*Historique!E902+$I$12*Historique!F902+$I$21*Historique!G902)</f>
        <v>-9477231.413855968</v>
      </c>
      <c r="D902" s="13">
        <f>RL_NAV*($J$10*Historique!D902+$J$11*Historique!E902+$J$12*Historique!F902+$J$21*Historique!G902)</f>
        <v>-9327804.5256665833</v>
      </c>
      <c r="E902" s="20">
        <f t="shared" si="26"/>
        <v>0</v>
      </c>
      <c r="F902" s="20">
        <f t="shared" si="27"/>
        <v>0</v>
      </c>
    </row>
    <row r="903" spans="2:6" x14ac:dyDescent="0.2">
      <c r="B903" s="19">
        <f>Historique!B903</f>
        <v>45688</v>
      </c>
      <c r="C903" s="13">
        <f>RL_NAV*($I$10*Historique!D903+$I$11*Historique!E903+$I$12*Historique!F903+$I$21*Historique!G903)</f>
        <v>-7717236.4366761148</v>
      </c>
      <c r="D903" s="13">
        <f>RL_NAV*($J$10*Historique!D903+$J$11*Historique!E903+$J$12*Historique!F903+$J$21*Historique!G903)</f>
        <v>-7611136.5658405144</v>
      </c>
      <c r="E903" s="20">
        <f t="shared" ref="E903:E966" si="28">IF(C903&gt;$I$9,1,IF(C903=$I$9,($I$8-$I$18)/$I$19,0))/$I$8</f>
        <v>0</v>
      </c>
      <c r="F903" s="20">
        <f t="shared" ref="F903:F966" si="29">IF(D903&gt;$J$9,1,IF(D903=$J$9,($J$8-$J$18)/$J$19,0))/$J$8</f>
        <v>0</v>
      </c>
    </row>
    <row r="904" spans="2:6" x14ac:dyDescent="0.2">
      <c r="B904" s="19">
        <f>Historique!B904</f>
        <v>45691</v>
      </c>
      <c r="C904" s="13">
        <f>RL_NAV*($I$10*Historique!D904+$I$11*Historique!E904+$I$12*Historique!F904+$I$21*Historique!G904)</f>
        <v>-5098406.8409651658</v>
      </c>
      <c r="D904" s="13">
        <f>RL_NAV*($J$10*Historique!D904+$J$11*Historique!E904+$J$12*Historique!F904+$J$21*Historique!G904)</f>
        <v>-5098248.1148312297</v>
      </c>
      <c r="E904" s="20">
        <f t="shared" si="28"/>
        <v>0</v>
      </c>
      <c r="F904" s="20">
        <f t="shared" si="29"/>
        <v>0</v>
      </c>
    </row>
    <row r="905" spans="2:6" x14ac:dyDescent="0.2">
      <c r="B905" s="19">
        <f>Historique!B905</f>
        <v>45692</v>
      </c>
      <c r="C905" s="13">
        <f>RL_NAV*($I$10*Historique!D905+$I$11*Historique!E905+$I$12*Historique!F905+$I$21*Historique!G905)</f>
        <v>-2573188.6165767973</v>
      </c>
      <c r="D905" s="13">
        <f>RL_NAV*($J$10*Historique!D905+$J$11*Historique!E905+$J$12*Historique!F905+$J$21*Historique!G905)</f>
        <v>-2452248.6708125388</v>
      </c>
      <c r="E905" s="20">
        <f t="shared" si="28"/>
        <v>0</v>
      </c>
      <c r="F905" s="20">
        <f t="shared" si="29"/>
        <v>0</v>
      </c>
    </row>
    <row r="906" spans="2:6" x14ac:dyDescent="0.2">
      <c r="B906" s="19">
        <f>Historique!B906</f>
        <v>45693</v>
      </c>
      <c r="C906" s="13">
        <f>RL_NAV*($I$10*Historique!D906+$I$11*Historique!E906+$I$12*Historique!F906+$I$21*Historique!G906)</f>
        <v>251444.85175572513</v>
      </c>
      <c r="D906" s="13">
        <f>RL_NAV*($J$10*Historique!D906+$J$11*Historique!E906+$J$12*Historique!F906+$J$21*Historique!G906)</f>
        <v>203762.20367699402</v>
      </c>
      <c r="E906" s="20">
        <f t="shared" si="28"/>
        <v>0</v>
      </c>
      <c r="F906" s="20">
        <f t="shared" si="29"/>
        <v>0</v>
      </c>
    </row>
    <row r="907" spans="2:6" x14ac:dyDescent="0.2">
      <c r="B907" s="19">
        <f>Historique!B907</f>
        <v>45694</v>
      </c>
      <c r="C907" s="13">
        <f>RL_NAV*($I$10*Historique!D907+$I$11*Historique!E907+$I$12*Historique!F907+$I$21*Historique!G907)</f>
        <v>-4161734.1123005426</v>
      </c>
      <c r="D907" s="13">
        <f>RL_NAV*($J$10*Historique!D907+$J$11*Historique!E907+$J$12*Historique!F907+$J$21*Historique!G907)</f>
        <v>-4042270.8696148922</v>
      </c>
      <c r="E907" s="20">
        <f t="shared" si="28"/>
        <v>0</v>
      </c>
      <c r="F907" s="20">
        <f t="shared" si="29"/>
        <v>0</v>
      </c>
    </row>
    <row r="908" spans="2:6" x14ac:dyDescent="0.2">
      <c r="B908" s="19">
        <f>Historique!B908</f>
        <v>45695</v>
      </c>
      <c r="C908" s="13">
        <f>RL_NAV*($I$10*Historique!D908+$I$11*Historique!E908+$I$12*Historique!F908+$I$21*Historique!G908)</f>
        <v>6126540.1252115769</v>
      </c>
      <c r="D908" s="13">
        <f>RL_NAV*($J$10*Historique!D908+$J$11*Historique!E908+$J$12*Historique!F908+$J$21*Historique!G908)</f>
        <v>5990573.1576725347</v>
      </c>
      <c r="E908" s="20">
        <f t="shared" si="28"/>
        <v>0</v>
      </c>
      <c r="F908" s="20">
        <f t="shared" si="29"/>
        <v>0</v>
      </c>
    </row>
    <row r="909" spans="2:6" x14ac:dyDescent="0.2">
      <c r="B909" s="19">
        <f>Historique!B909</f>
        <v>45698</v>
      </c>
      <c r="C909" s="13">
        <f>RL_NAV*($I$10*Historique!D909+$I$11*Historique!E909+$I$12*Historique!F909+$I$21*Historique!G909)</f>
        <v>-7067054.0332935983</v>
      </c>
      <c r="D909" s="13">
        <f>RL_NAV*($J$10*Historique!D909+$J$11*Historique!E909+$J$12*Historique!F909+$J$21*Historique!G909)</f>
        <v>-6976081.4783554291</v>
      </c>
      <c r="E909" s="20">
        <f t="shared" si="28"/>
        <v>0</v>
      </c>
      <c r="F909" s="20">
        <f t="shared" si="29"/>
        <v>0</v>
      </c>
    </row>
    <row r="910" spans="2:6" x14ac:dyDescent="0.2">
      <c r="B910" s="19">
        <f>Historique!B910</f>
        <v>45699</v>
      </c>
      <c r="C910" s="13">
        <f>RL_NAV*($I$10*Historique!D910+$I$11*Historique!E910+$I$12*Historique!F910+$I$21*Historique!G910)</f>
        <v>6664705.3292600298</v>
      </c>
      <c r="D910" s="13">
        <f>RL_NAV*($J$10*Historique!D910+$J$11*Historique!E910+$J$12*Historique!F910+$J$21*Historique!G910)</f>
        <v>6606076.7458523922</v>
      </c>
      <c r="E910" s="20">
        <f t="shared" si="28"/>
        <v>0</v>
      </c>
      <c r="F910" s="20">
        <f t="shared" si="29"/>
        <v>0</v>
      </c>
    </row>
    <row r="911" spans="2:6" x14ac:dyDescent="0.2">
      <c r="B911" s="19">
        <f>Historique!B911</f>
        <v>45700</v>
      </c>
      <c r="C911" s="13">
        <f>RL_NAV*($I$10*Historique!D911+$I$11*Historique!E911+$I$12*Historique!F911+$I$21*Historique!G911)</f>
        <v>7013405.0364554301</v>
      </c>
      <c r="D911" s="13">
        <f>RL_NAV*($J$10*Historique!D911+$J$11*Historique!E911+$J$12*Historique!F911+$J$21*Historique!G911)</f>
        <v>6933430.0367335184</v>
      </c>
      <c r="E911" s="20">
        <f t="shared" si="28"/>
        <v>0</v>
      </c>
      <c r="F911" s="20">
        <f t="shared" si="29"/>
        <v>0</v>
      </c>
    </row>
    <row r="912" spans="2:6" x14ac:dyDescent="0.2">
      <c r="B912" s="19">
        <f>Historique!B912</f>
        <v>45701</v>
      </c>
      <c r="C912" s="13">
        <f>RL_NAV*($I$10*Historique!D912+$I$11*Historique!E912+$I$12*Historique!F912+$I$21*Historique!G912)</f>
        <v>-10394844.479254698</v>
      </c>
      <c r="D912" s="13">
        <f>RL_NAV*($J$10*Historique!D912+$J$11*Historique!E912+$J$12*Historique!F912+$J$21*Historique!G912)</f>
        <v>-10217760.353416</v>
      </c>
      <c r="E912" s="20">
        <f t="shared" si="28"/>
        <v>0</v>
      </c>
      <c r="F912" s="20">
        <f t="shared" si="29"/>
        <v>0</v>
      </c>
    </row>
    <row r="913" spans="2:6" x14ac:dyDescent="0.2">
      <c r="B913" s="19">
        <f>Historique!B913</f>
        <v>45702</v>
      </c>
      <c r="C913" s="13">
        <f>RL_NAV*($I$10*Historique!D913+$I$11*Historique!E913+$I$12*Historique!F913+$I$21*Historique!G913)</f>
        <v>2894327.0248542028</v>
      </c>
      <c r="D913" s="13">
        <f>RL_NAV*($J$10*Historique!D913+$J$11*Historique!E913+$J$12*Historique!F913+$J$21*Historique!G913)</f>
        <v>2835256.3175686044</v>
      </c>
      <c r="E913" s="20">
        <f t="shared" si="28"/>
        <v>0</v>
      </c>
      <c r="F913" s="20">
        <f t="shared" si="29"/>
        <v>0</v>
      </c>
    </row>
    <row r="914" spans="2:6" x14ac:dyDescent="0.2">
      <c r="B914" s="19">
        <f>Historique!B914</f>
        <v>45705</v>
      </c>
      <c r="C914" s="13">
        <f>RL_NAV*($I$10*Historique!D914+$I$11*Historique!E914+$I$12*Historique!F914+$I$21*Historique!G914)</f>
        <v>-2636008.8285374939</v>
      </c>
      <c r="D914" s="13">
        <f>RL_NAV*($J$10*Historique!D914+$J$11*Historique!E914+$J$12*Historique!F914+$J$21*Historique!G914)</f>
        <v>-2494798.7608514479</v>
      </c>
      <c r="E914" s="20">
        <f t="shared" si="28"/>
        <v>0</v>
      </c>
      <c r="F914" s="20">
        <f t="shared" si="29"/>
        <v>0</v>
      </c>
    </row>
    <row r="915" spans="2:6" x14ac:dyDescent="0.2">
      <c r="B915" s="19">
        <f>Historique!B915</f>
        <v>45706</v>
      </c>
      <c r="C915" s="13">
        <f>RL_NAV*($I$10*Historique!D915+$I$11*Historique!E915+$I$12*Historique!F915+$I$21*Historique!G915)</f>
        <v>-2038620.3754898016</v>
      </c>
      <c r="D915" s="13">
        <f>RL_NAV*($J$10*Historique!D915+$J$11*Historique!E915+$J$12*Historique!F915+$J$21*Historique!G915)</f>
        <v>-1972214.3373500863</v>
      </c>
      <c r="E915" s="20">
        <f t="shared" si="28"/>
        <v>0</v>
      </c>
      <c r="F915" s="20">
        <f t="shared" si="29"/>
        <v>0</v>
      </c>
    </row>
    <row r="916" spans="2:6" x14ac:dyDescent="0.2">
      <c r="B916" s="19">
        <f>Historique!B916</f>
        <v>45707</v>
      </c>
      <c r="C916" s="13">
        <f>RL_NAV*($I$10*Historique!D916+$I$11*Historique!E916+$I$12*Historique!F916+$I$21*Historique!G916)</f>
        <v>6700564.2971397117</v>
      </c>
      <c r="D916" s="13">
        <f>RL_NAV*($J$10*Historique!D916+$J$11*Historique!E916+$J$12*Historique!F916+$J$21*Historique!G916)</f>
        <v>6621641.5926172687</v>
      </c>
      <c r="E916" s="20">
        <f t="shared" si="28"/>
        <v>0</v>
      </c>
      <c r="F916" s="20">
        <f t="shared" si="29"/>
        <v>0</v>
      </c>
    </row>
    <row r="917" spans="2:6" x14ac:dyDescent="0.2">
      <c r="B917" s="19">
        <f>Historique!B917</f>
        <v>45708</v>
      </c>
      <c r="C917" s="13">
        <f>RL_NAV*($I$10*Historique!D917+$I$11*Historique!E917+$I$12*Historique!F917+$I$21*Historique!G917)</f>
        <v>-3220384.4388343301</v>
      </c>
      <c r="D917" s="13">
        <f>RL_NAV*($J$10*Historique!D917+$J$11*Historique!E917+$J$12*Historique!F917+$J$21*Historique!G917)</f>
        <v>-3164959.0687535782</v>
      </c>
      <c r="E917" s="20">
        <f t="shared" si="28"/>
        <v>0</v>
      </c>
      <c r="F917" s="20">
        <f t="shared" si="29"/>
        <v>0</v>
      </c>
    </row>
    <row r="918" spans="2:6" x14ac:dyDescent="0.2">
      <c r="B918" s="19">
        <f>Historique!B918</f>
        <v>45709</v>
      </c>
      <c r="C918" s="13">
        <f>RL_NAV*($I$10*Historique!D918+$I$11*Historique!E918+$I$12*Historique!F918+$I$21*Historique!G918)</f>
        <v>-6610815.1797982221</v>
      </c>
      <c r="D918" s="13">
        <f>RL_NAV*($J$10*Historique!D918+$J$11*Historique!E918+$J$12*Historique!F918+$J$21*Historique!G918)</f>
        <v>-6555663.0289587323</v>
      </c>
      <c r="E918" s="20">
        <f t="shared" si="28"/>
        <v>0</v>
      </c>
      <c r="F918" s="20">
        <f t="shared" si="29"/>
        <v>0</v>
      </c>
    </row>
    <row r="919" spans="2:6" x14ac:dyDescent="0.2">
      <c r="B919" s="19">
        <f>Historique!B919</f>
        <v>45712</v>
      </c>
      <c r="C919" s="13">
        <f>RL_NAV*($I$10*Historique!D919+$I$11*Historique!E919+$I$12*Historique!F919+$I$21*Historique!G919)</f>
        <v>-1329570.9862682063</v>
      </c>
      <c r="D919" s="13">
        <f>RL_NAV*($J$10*Historique!D919+$J$11*Historique!E919+$J$12*Historique!F919+$J$21*Historique!G919)</f>
        <v>-1321861.4817465143</v>
      </c>
      <c r="E919" s="20">
        <f t="shared" si="28"/>
        <v>0</v>
      </c>
      <c r="F919" s="20">
        <f t="shared" si="29"/>
        <v>0</v>
      </c>
    </row>
    <row r="920" spans="2:6" x14ac:dyDescent="0.2">
      <c r="B920" s="19">
        <f>Historique!B920</f>
        <v>45713</v>
      </c>
      <c r="C920" s="13">
        <f>RL_NAV*($I$10*Historique!D920+$I$11*Historique!E920+$I$12*Historique!F920+$I$21*Historique!G920)</f>
        <v>455621.35164304834</v>
      </c>
      <c r="D920" s="13">
        <f>RL_NAV*($J$10*Historique!D920+$J$11*Historique!E920+$J$12*Historique!F920+$J$21*Historique!G920)</f>
        <v>425790.56301621348</v>
      </c>
      <c r="E920" s="20">
        <f t="shared" si="28"/>
        <v>0</v>
      </c>
      <c r="F920" s="20">
        <f t="shared" si="29"/>
        <v>0</v>
      </c>
    </row>
    <row r="921" spans="2:6" x14ac:dyDescent="0.2">
      <c r="B921" s="19">
        <f>Historique!B921</f>
        <v>45714</v>
      </c>
      <c r="C921" s="13">
        <f>RL_NAV*($I$10*Historique!D921+$I$11*Historique!E921+$I$12*Historique!F921+$I$21*Historique!G921)</f>
        <v>1332852.0872106394</v>
      </c>
      <c r="D921" s="13">
        <f>RL_NAV*($J$10*Historique!D921+$J$11*Historique!E921+$J$12*Historique!F921+$J$21*Historique!G921)</f>
        <v>1280353.1499668059</v>
      </c>
      <c r="E921" s="20">
        <f t="shared" si="28"/>
        <v>0</v>
      </c>
      <c r="F921" s="20">
        <f t="shared" si="29"/>
        <v>0</v>
      </c>
    </row>
    <row r="922" spans="2:6" x14ac:dyDescent="0.2">
      <c r="B922" s="19">
        <f>Historique!B922</f>
        <v>45715</v>
      </c>
      <c r="C922" s="13">
        <f>RL_NAV*($I$10*Historique!D922+$I$11*Historique!E922+$I$12*Historique!F922+$I$21*Historique!G922)</f>
        <v>-6700018.4507639073</v>
      </c>
      <c r="D922" s="13">
        <f>RL_NAV*($J$10*Historique!D922+$J$11*Historique!E922+$J$12*Historique!F922+$J$21*Historique!G922)</f>
        <v>-6596952.0911922446</v>
      </c>
      <c r="E922" s="20">
        <f t="shared" si="28"/>
        <v>0</v>
      </c>
      <c r="F922" s="20">
        <f t="shared" si="29"/>
        <v>0</v>
      </c>
    </row>
    <row r="923" spans="2:6" x14ac:dyDescent="0.2">
      <c r="B923" s="19">
        <f>Historique!B923</f>
        <v>45716</v>
      </c>
      <c r="C923" s="13">
        <f>RL_NAV*($I$10*Historique!D923+$I$11*Historique!E923+$I$12*Historique!F923+$I$21*Historique!G923)</f>
        <v>3588408.048276288</v>
      </c>
      <c r="D923" s="13">
        <f>RL_NAV*($J$10*Historique!D923+$J$11*Historique!E923+$J$12*Historique!F923+$J$21*Historique!G923)</f>
        <v>3460676.7984637944</v>
      </c>
      <c r="E923" s="20">
        <f t="shared" si="28"/>
        <v>0</v>
      </c>
      <c r="F923" s="20">
        <f t="shared" si="29"/>
        <v>0</v>
      </c>
    </row>
    <row r="924" spans="2:6" x14ac:dyDescent="0.2">
      <c r="B924" s="19">
        <f>Historique!B924</f>
        <v>45719</v>
      </c>
      <c r="C924" s="13">
        <f>RL_NAV*($I$10*Historique!D924+$I$11*Historique!E924+$I$12*Historique!F924+$I$21*Historique!G924)</f>
        <v>6476506.1912426818</v>
      </c>
      <c r="D924" s="13">
        <f>RL_NAV*($J$10*Historique!D924+$J$11*Historique!E924+$J$12*Historique!F924+$J$21*Historique!G924)</f>
        <v>6443164.0700378679</v>
      </c>
      <c r="E924" s="20">
        <f t="shared" si="28"/>
        <v>0</v>
      </c>
      <c r="F924" s="20">
        <f t="shared" si="29"/>
        <v>0</v>
      </c>
    </row>
    <row r="925" spans="2:6" x14ac:dyDescent="0.2">
      <c r="B925" s="19">
        <f>Historique!B925</f>
        <v>45720</v>
      </c>
      <c r="C925" s="13">
        <f>RL_NAV*($I$10*Historique!D925+$I$11*Historique!E925+$I$12*Historique!F925+$I$21*Historique!G925)</f>
        <v>-4219091.959533371</v>
      </c>
      <c r="D925" s="13">
        <f>RL_NAV*($J$10*Historique!D925+$J$11*Historique!E925+$J$12*Historique!F925+$J$21*Historique!G925)</f>
        <v>-4226956.4437721483</v>
      </c>
      <c r="E925" s="20">
        <f t="shared" si="28"/>
        <v>0</v>
      </c>
      <c r="F925" s="20">
        <f t="shared" si="29"/>
        <v>0</v>
      </c>
    </row>
    <row r="926" spans="2:6" x14ac:dyDescent="0.2">
      <c r="B926" s="19">
        <f>Historique!B926</f>
        <v>45721</v>
      </c>
      <c r="C926" s="13">
        <f>RL_NAV*($I$10*Historique!D926+$I$11*Historique!E926+$I$12*Historique!F926+$I$21*Historique!G926)</f>
        <v>17687245.213015024</v>
      </c>
      <c r="D926" s="13">
        <f>RL_NAV*($J$10*Historique!D926+$J$11*Historique!E926+$J$12*Historique!F926+$J$21*Historique!G926)</f>
        <v>17662104.239404798</v>
      </c>
      <c r="E926" s="20">
        <f t="shared" si="28"/>
        <v>0</v>
      </c>
      <c r="F926" s="20">
        <f t="shared" si="29"/>
        <v>0</v>
      </c>
    </row>
    <row r="927" spans="2:6" x14ac:dyDescent="0.2">
      <c r="B927" s="19">
        <f>Historique!B927</f>
        <v>45722</v>
      </c>
      <c r="C927" s="13">
        <f>RL_NAV*($I$10*Historique!D927+$I$11*Historique!E927+$I$12*Historique!F927+$I$21*Historique!G927)</f>
        <v>16609527.393432966</v>
      </c>
      <c r="D927" s="13">
        <f>RL_NAV*($J$10*Historique!D927+$J$11*Historique!E927+$J$12*Historique!F927+$J$21*Historique!G927)</f>
        <v>16392551.596053341</v>
      </c>
      <c r="E927" s="20">
        <f t="shared" si="28"/>
        <v>0</v>
      </c>
      <c r="F927" s="20">
        <f t="shared" si="29"/>
        <v>0</v>
      </c>
    </row>
    <row r="928" spans="2:6" x14ac:dyDescent="0.2">
      <c r="B928" s="19">
        <f>Historique!B928</f>
        <v>45723</v>
      </c>
      <c r="C928" s="13">
        <f>RL_NAV*($I$10*Historique!D928+$I$11*Historique!E928+$I$12*Historique!F928+$I$21*Historique!G928)</f>
        <v>-6695894.041924621</v>
      </c>
      <c r="D928" s="13">
        <f>RL_NAV*($J$10*Historique!D928+$J$11*Historique!E928+$J$12*Historique!F928+$J$21*Historique!G928)</f>
        <v>-6630726.6489165248</v>
      </c>
      <c r="E928" s="20">
        <f t="shared" si="28"/>
        <v>0</v>
      </c>
      <c r="F928" s="20">
        <f t="shared" si="29"/>
        <v>0</v>
      </c>
    </row>
    <row r="929" spans="2:6" x14ac:dyDescent="0.2">
      <c r="B929" s="19">
        <f>Historique!B929</f>
        <v>45726</v>
      </c>
      <c r="C929" s="13">
        <f>RL_NAV*($I$10*Historique!D929+$I$11*Historique!E929+$I$12*Historique!F929+$I$21*Historique!G929)</f>
        <v>-2415362.1858100388</v>
      </c>
      <c r="D929" s="13">
        <f>RL_NAV*($J$10*Historique!D929+$J$11*Historique!E929+$J$12*Historique!F929+$J$21*Historique!G929)</f>
        <v>-2403840.4380488168</v>
      </c>
      <c r="E929" s="20">
        <f t="shared" si="28"/>
        <v>0</v>
      </c>
      <c r="F929" s="20">
        <f t="shared" si="29"/>
        <v>0</v>
      </c>
    </row>
    <row r="930" spans="2:6" x14ac:dyDescent="0.2">
      <c r="B930" s="19">
        <f>Historique!B930</f>
        <v>45727</v>
      </c>
      <c r="C930" s="13">
        <f>RL_NAV*($I$10*Historique!D930+$I$11*Historique!E930+$I$12*Historique!F930+$I$21*Historique!G930)</f>
        <v>2327275.4443102572</v>
      </c>
      <c r="D930" s="13">
        <f>RL_NAV*($J$10*Historique!D930+$J$11*Historique!E930+$J$12*Historique!F930+$J$21*Historique!G930)</f>
        <v>2318892.1454264116</v>
      </c>
      <c r="E930" s="20">
        <f t="shared" si="28"/>
        <v>0</v>
      </c>
      <c r="F930" s="20">
        <f t="shared" si="29"/>
        <v>0</v>
      </c>
    </row>
    <row r="931" spans="2:6" x14ac:dyDescent="0.2">
      <c r="B931" s="19">
        <f>Historique!B931</f>
        <v>45728</v>
      </c>
      <c r="C931" s="13">
        <f>RL_NAV*($I$10*Historique!D931+$I$11*Historique!E931+$I$12*Historique!F931+$I$21*Historique!G931)</f>
        <v>1545176.0876579313</v>
      </c>
      <c r="D931" s="13">
        <f>RL_NAV*($J$10*Historique!D931+$J$11*Historique!E931+$J$12*Historique!F931+$J$21*Historique!G931)</f>
        <v>1541055.0734675387</v>
      </c>
      <c r="E931" s="20">
        <f t="shared" si="28"/>
        <v>0</v>
      </c>
      <c r="F931" s="20">
        <f t="shared" si="29"/>
        <v>0</v>
      </c>
    </row>
    <row r="932" spans="2:6" x14ac:dyDescent="0.2">
      <c r="B932" s="19">
        <f>Historique!B932</f>
        <v>45729</v>
      </c>
      <c r="C932" s="13">
        <f>RL_NAV*($I$10*Historique!D932+$I$11*Historique!E932+$I$12*Historique!F932+$I$21*Historique!G932)</f>
        <v>-320514.83309758198</v>
      </c>
      <c r="D932" s="13">
        <f>RL_NAV*($J$10*Historique!D932+$J$11*Historique!E932+$J$12*Historique!F932+$J$21*Historique!G932)</f>
        <v>-370452.83236230904</v>
      </c>
      <c r="E932" s="20">
        <f t="shared" si="28"/>
        <v>0</v>
      </c>
      <c r="F932" s="20">
        <f t="shared" si="29"/>
        <v>0</v>
      </c>
    </row>
    <row r="933" spans="2:6" x14ac:dyDescent="0.2">
      <c r="B933" s="19">
        <f>Historique!B933</f>
        <v>45730</v>
      </c>
      <c r="C933" s="13">
        <f>RL_NAV*($I$10*Historique!D933+$I$11*Historique!E933+$I$12*Historique!F933+$I$21*Historique!G933)</f>
        <v>11482503.13535955</v>
      </c>
      <c r="D933" s="13">
        <f>RL_NAV*($J$10*Historique!D933+$J$11*Historique!E933+$J$12*Historique!F933+$J$21*Historique!G933)</f>
        <v>11187770.626490079</v>
      </c>
      <c r="E933" s="20">
        <f t="shared" si="28"/>
        <v>0</v>
      </c>
      <c r="F933" s="20">
        <f t="shared" si="29"/>
        <v>0</v>
      </c>
    </row>
    <row r="934" spans="2:6" x14ac:dyDescent="0.2">
      <c r="B934" s="19">
        <f>Historique!B934</f>
        <v>45733</v>
      </c>
      <c r="C934" s="13">
        <f>RL_NAV*($I$10*Historique!D934+$I$11*Historique!E934+$I$12*Historique!F934+$I$21*Historique!G934)</f>
        <v>-2733089.9110312355</v>
      </c>
      <c r="D934" s="13">
        <f>RL_NAV*($J$10*Historique!D934+$J$11*Historique!E934+$J$12*Historique!F934+$J$21*Historique!G934)</f>
        <v>-2705792.928883478</v>
      </c>
      <c r="E934" s="20">
        <f t="shared" si="28"/>
        <v>0</v>
      </c>
      <c r="F934" s="20">
        <f t="shared" si="29"/>
        <v>0</v>
      </c>
    </row>
    <row r="935" spans="2:6" x14ac:dyDescent="0.2">
      <c r="B935" s="19">
        <f>Historique!B935</f>
        <v>45734</v>
      </c>
      <c r="C935" s="13">
        <f>RL_NAV*($I$10*Historique!D935+$I$11*Historique!E935+$I$12*Historique!F935+$I$21*Historique!G935)</f>
        <v>-2786510.2180273142</v>
      </c>
      <c r="D935" s="13">
        <f>RL_NAV*($J$10*Historique!D935+$J$11*Historique!E935+$J$12*Historique!F935+$J$21*Historique!G935)</f>
        <v>-2665427.3496395499</v>
      </c>
      <c r="E935" s="20">
        <f t="shared" si="28"/>
        <v>0</v>
      </c>
      <c r="F935" s="20">
        <f t="shared" si="29"/>
        <v>0</v>
      </c>
    </row>
    <row r="936" spans="2:6" x14ac:dyDescent="0.2">
      <c r="B936" s="19">
        <f>Historique!B936</f>
        <v>45735</v>
      </c>
      <c r="C936" s="13">
        <f>RL_NAV*($I$10*Historique!D936+$I$11*Historique!E936+$I$12*Historique!F936+$I$21*Historique!G936)</f>
        <v>-1072231.5720981541</v>
      </c>
      <c r="D936" s="13">
        <f>RL_NAV*($J$10*Historique!D936+$J$11*Historique!E936+$J$12*Historique!F936+$J$21*Historique!G936)</f>
        <v>-1098636.1418808992</v>
      </c>
      <c r="E936" s="20">
        <f t="shared" si="28"/>
        <v>0</v>
      </c>
      <c r="F936" s="20">
        <f t="shared" si="29"/>
        <v>0</v>
      </c>
    </row>
    <row r="937" spans="2:6" x14ac:dyDescent="0.2">
      <c r="B937" s="19">
        <f>Historique!B937</f>
        <v>45736</v>
      </c>
      <c r="C937" s="13">
        <f>RL_NAV*($I$10*Historique!D937+$I$11*Historique!E937+$I$12*Historique!F937+$I$21*Historique!G937)</f>
        <v>-5175737.0748831453</v>
      </c>
      <c r="D937" s="13">
        <f>RL_NAV*($J$10*Historique!D937+$J$11*Historique!E937+$J$12*Historique!F937+$J$21*Historique!G937)</f>
        <v>-5087415.2780061197</v>
      </c>
      <c r="E937" s="20">
        <f t="shared" si="28"/>
        <v>0</v>
      </c>
      <c r="F937" s="20">
        <f t="shared" si="29"/>
        <v>0</v>
      </c>
    </row>
    <row r="938" spans="2:6" x14ac:dyDescent="0.2">
      <c r="B938" s="19">
        <f>Historique!B938</f>
        <v>45737</v>
      </c>
      <c r="C938" s="13">
        <f>RL_NAV*($I$10*Historique!D938+$I$11*Historique!E938+$I$12*Historique!F938+$I$21*Historique!G938)</f>
        <v>-1384626.4592248932</v>
      </c>
      <c r="D938" s="13">
        <f>RL_NAV*($J$10*Historique!D938+$J$11*Historique!E938+$J$12*Historique!F938+$J$21*Historique!G938)</f>
        <v>-1403822.9842205185</v>
      </c>
      <c r="E938" s="20">
        <f t="shared" si="28"/>
        <v>0</v>
      </c>
      <c r="F938" s="20">
        <f t="shared" si="29"/>
        <v>0</v>
      </c>
    </row>
    <row r="939" spans="2:6" x14ac:dyDescent="0.2">
      <c r="B939" s="19">
        <f>Historique!B939</f>
        <v>45740</v>
      </c>
      <c r="C939" s="13">
        <f>RL_NAV*($I$10*Historique!D939+$I$11*Historique!E939+$I$12*Historique!F939+$I$21*Historique!G939)</f>
        <v>1168562.0400054567</v>
      </c>
      <c r="D939" s="13">
        <f>RL_NAV*($J$10*Historique!D939+$J$11*Historique!E939+$J$12*Historique!F939+$J$21*Historique!G939)</f>
        <v>1145120.4481599864</v>
      </c>
      <c r="E939" s="20">
        <f t="shared" si="28"/>
        <v>0</v>
      </c>
      <c r="F939" s="20">
        <f t="shared" si="29"/>
        <v>0</v>
      </c>
    </row>
    <row r="940" spans="2:6" x14ac:dyDescent="0.2">
      <c r="B940" s="19">
        <f>Historique!B940</f>
        <v>45741</v>
      </c>
      <c r="C940" s="13">
        <f>RL_NAV*($I$10*Historique!D940+$I$11*Historique!E940+$I$12*Historique!F940+$I$21*Historique!G940)</f>
        <v>-1344055.0276480778</v>
      </c>
      <c r="D940" s="13">
        <f>RL_NAV*($J$10*Historique!D940+$J$11*Historique!E940+$J$12*Historique!F940+$J$21*Historique!G940)</f>
        <v>-1283257.2058930658</v>
      </c>
      <c r="E940" s="20">
        <f t="shared" si="28"/>
        <v>0</v>
      </c>
      <c r="F940" s="20">
        <f t="shared" si="29"/>
        <v>0</v>
      </c>
    </row>
    <row r="941" spans="2:6" x14ac:dyDescent="0.2">
      <c r="B941" s="19">
        <f>Historique!B941</f>
        <v>45742</v>
      </c>
      <c r="C941" s="13">
        <f>RL_NAV*($I$10*Historique!D941+$I$11*Historique!E941+$I$12*Historique!F941+$I$21*Historique!G941)</f>
        <v>1874768.3491465149</v>
      </c>
      <c r="D941" s="13">
        <f>RL_NAV*($J$10*Historique!D941+$J$11*Historique!E941+$J$12*Historique!F941+$J$21*Historique!G941)</f>
        <v>1809697.6884123534</v>
      </c>
      <c r="E941" s="20">
        <f t="shared" si="28"/>
        <v>0</v>
      </c>
      <c r="F941" s="20">
        <f t="shared" si="29"/>
        <v>0</v>
      </c>
    </row>
    <row r="942" spans="2:6" x14ac:dyDescent="0.2">
      <c r="B942" s="19">
        <f>Historique!B942</f>
        <v>45743</v>
      </c>
      <c r="C942" s="13">
        <f>RL_NAV*($I$10*Historique!D942+$I$11*Historique!E942+$I$12*Historique!F942+$I$21*Historique!G942)</f>
        <v>195744.7113253295</v>
      </c>
      <c r="D942" s="13">
        <f>RL_NAV*($J$10*Historique!D942+$J$11*Historique!E942+$J$12*Historique!F942+$J$21*Historique!G942)</f>
        <v>123872.09654205218</v>
      </c>
      <c r="E942" s="20">
        <f t="shared" si="28"/>
        <v>0</v>
      </c>
      <c r="F942" s="20">
        <f t="shared" si="29"/>
        <v>0</v>
      </c>
    </row>
    <row r="943" spans="2:6" x14ac:dyDescent="0.2">
      <c r="B943" s="19">
        <f>Historique!B943</f>
        <v>45744</v>
      </c>
      <c r="C943" s="13">
        <f>RL_NAV*($I$10*Historique!D943+$I$11*Historique!E943+$I$12*Historique!F943+$I$21*Historique!G943)</f>
        <v>-1482383.8031122964</v>
      </c>
      <c r="D943" s="13">
        <f>RL_NAV*($J$10*Historique!D943+$J$11*Historique!E943+$J$12*Historique!F943+$J$21*Historique!G943)</f>
        <v>-1531928.0594754126</v>
      </c>
      <c r="E943" s="20">
        <f t="shared" si="28"/>
        <v>0</v>
      </c>
      <c r="F943" s="20">
        <f t="shared" si="29"/>
        <v>0</v>
      </c>
    </row>
    <row r="944" spans="2:6" x14ac:dyDescent="0.2">
      <c r="B944" s="19">
        <f>Historique!B944</f>
        <v>45747</v>
      </c>
      <c r="C944" s="13">
        <f>RL_NAV*($I$10*Historique!D944+$I$11*Historique!E944+$I$12*Historique!F944+$I$21*Historique!G944)</f>
        <v>2412542.8193508992</v>
      </c>
      <c r="D944" s="13">
        <f>RL_NAV*($J$10*Historique!D944+$J$11*Historique!E944+$J$12*Historique!F944+$J$21*Historique!G944)</f>
        <v>2291650.9249899895</v>
      </c>
      <c r="E944" s="20">
        <f t="shared" si="28"/>
        <v>0</v>
      </c>
      <c r="F944" s="20">
        <f t="shared" si="29"/>
        <v>0</v>
      </c>
    </row>
    <row r="945" spans="2:6" x14ac:dyDescent="0.2">
      <c r="B945" s="19">
        <f>Historique!B945</f>
        <v>45748</v>
      </c>
      <c r="C945" s="13">
        <f>RL_NAV*($I$10*Historique!D945+$I$11*Historique!E945+$I$12*Historique!F945+$I$21*Historique!G945)</f>
        <v>-1824532.2763507527</v>
      </c>
      <c r="D945" s="13">
        <f>RL_NAV*($J$10*Historique!D945+$J$11*Historique!E945+$J$12*Historique!F945+$J$21*Historique!G945)</f>
        <v>-1792740.5769084133</v>
      </c>
      <c r="E945" s="20">
        <f t="shared" si="28"/>
        <v>0</v>
      </c>
      <c r="F945" s="20">
        <f t="shared" si="29"/>
        <v>0</v>
      </c>
    </row>
    <row r="946" spans="2:6" x14ac:dyDescent="0.2">
      <c r="B946" s="19">
        <f>Historique!B946</f>
        <v>45749</v>
      </c>
      <c r="C946" s="13">
        <f>RL_NAV*($I$10*Historique!D946+$I$11*Historique!E946+$I$12*Historique!F946+$I$21*Historique!G946)</f>
        <v>-1138222.9211895484</v>
      </c>
      <c r="D946" s="13">
        <f>RL_NAV*($J$10*Historique!D946+$J$11*Historique!E946+$J$12*Historique!F946+$J$21*Historique!G946)</f>
        <v>-1099949.2408228959</v>
      </c>
      <c r="E946" s="20">
        <f t="shared" si="28"/>
        <v>0</v>
      </c>
      <c r="F946" s="20">
        <f t="shared" si="29"/>
        <v>0</v>
      </c>
    </row>
    <row r="947" spans="2:6" x14ac:dyDescent="0.2">
      <c r="B947" s="19">
        <f>Historique!B947</f>
        <v>45750</v>
      </c>
      <c r="C947" s="13">
        <f>RL_NAV*($I$10*Historique!D947+$I$11*Historique!E947+$I$12*Historique!F947+$I$21*Historique!G947)</f>
        <v>4702049.5318174092</v>
      </c>
      <c r="D947" s="13">
        <f>RL_NAV*($J$10*Historique!D947+$J$11*Historique!E947+$J$12*Historique!F947+$J$21*Historique!G947)</f>
        <v>4458411.2898906497</v>
      </c>
      <c r="E947" s="20">
        <f t="shared" si="28"/>
        <v>0</v>
      </c>
      <c r="F947" s="20">
        <f t="shared" si="29"/>
        <v>0</v>
      </c>
    </row>
    <row r="948" spans="2:6" x14ac:dyDescent="0.2">
      <c r="B948" s="19">
        <f>Historique!B948</f>
        <v>45751</v>
      </c>
      <c r="C948" s="13">
        <f>RL_NAV*($I$10*Historique!D948+$I$11*Historique!E948+$I$12*Historique!F948+$I$21*Historique!G948)</f>
        <v>4984852.0819114679</v>
      </c>
      <c r="D948" s="13">
        <f>RL_NAV*($J$10*Historique!D948+$J$11*Historique!E948+$J$12*Historique!F948+$J$21*Historique!G948)</f>
        <v>4622312.3043939266</v>
      </c>
      <c r="E948" s="20">
        <f t="shared" si="28"/>
        <v>0</v>
      </c>
      <c r="F948" s="20">
        <f t="shared" si="29"/>
        <v>0</v>
      </c>
    </row>
    <row r="949" spans="2:6" x14ac:dyDescent="0.2">
      <c r="B949" s="19">
        <f>Historique!B949</f>
        <v>45754</v>
      </c>
      <c r="C949" s="13">
        <f>RL_NAV*($I$10*Historique!D949+$I$11*Historique!E949+$I$12*Historique!F949+$I$21*Historique!G949)</f>
        <v>37134766.692677289</v>
      </c>
      <c r="D949" s="13">
        <f>RL_NAV*($J$10*Historique!D949+$J$11*Historique!E949+$J$12*Historique!F949+$J$21*Historique!G949)</f>
        <v>36131199.273920491</v>
      </c>
      <c r="E949" s="20">
        <f t="shared" si="28"/>
        <v>0.1</v>
      </c>
      <c r="F949" s="20">
        <f t="shared" si="29"/>
        <v>0.1</v>
      </c>
    </row>
    <row r="950" spans="2:6" x14ac:dyDescent="0.2">
      <c r="B950" s="19">
        <f>Historique!B950</f>
        <v>45755</v>
      </c>
      <c r="C950" s="13">
        <f>RL_NAV*($I$10*Historique!D950+$I$11*Historique!E950+$I$12*Historique!F950+$I$21*Historique!G950)</f>
        <v>-9126220.0306733958</v>
      </c>
      <c r="D950" s="13">
        <f>RL_NAV*($J$10*Historique!D950+$J$11*Historique!E950+$J$12*Historique!F950+$J$21*Historique!G950)</f>
        <v>-8698061.4626706503</v>
      </c>
      <c r="E950" s="20">
        <f t="shared" si="28"/>
        <v>0</v>
      </c>
      <c r="F950" s="20">
        <f t="shared" si="29"/>
        <v>0</v>
      </c>
    </row>
    <row r="951" spans="2:6" x14ac:dyDescent="0.2">
      <c r="B951" s="19">
        <f>Historique!B951</f>
        <v>45756</v>
      </c>
      <c r="C951" s="13">
        <f>RL_NAV*($I$10*Historique!D951+$I$11*Historique!E951+$I$12*Historique!F951+$I$21*Historique!G951)</f>
        <v>-951140.46434757777</v>
      </c>
      <c r="D951" s="13">
        <f>RL_NAV*($J$10*Historique!D951+$J$11*Historique!E951+$J$12*Historique!F951+$J$21*Historique!G951)</f>
        <v>-1132785.1052312686</v>
      </c>
      <c r="E951" s="20">
        <f t="shared" si="28"/>
        <v>0</v>
      </c>
      <c r="F951" s="20">
        <f t="shared" si="29"/>
        <v>0</v>
      </c>
    </row>
    <row r="952" spans="2:6" x14ac:dyDescent="0.2">
      <c r="B952" s="19">
        <f>Historique!B952</f>
        <v>45757</v>
      </c>
      <c r="C952" s="13">
        <f>RL_NAV*($I$10*Historique!D952+$I$11*Historique!E952+$I$12*Historique!F952+$I$21*Historique!G952)</f>
        <v>-18218385.589140948</v>
      </c>
      <c r="D952" s="13">
        <f>RL_NAV*($J$10*Historique!D952+$J$11*Historique!E952+$J$12*Historique!F952+$J$21*Historique!G952)</f>
        <v>-17633101.553711016</v>
      </c>
      <c r="E952" s="20">
        <f t="shared" si="28"/>
        <v>0</v>
      </c>
      <c r="F952" s="20">
        <f t="shared" si="29"/>
        <v>0</v>
      </c>
    </row>
    <row r="953" spans="2:6" x14ac:dyDescent="0.2">
      <c r="B953" s="19">
        <f>Historique!B953</f>
        <v>45758</v>
      </c>
      <c r="C953" s="13">
        <f>RL_NAV*($I$10*Historique!D953+$I$11*Historique!E953+$I$12*Historique!F953+$I$21*Historique!G953)</f>
        <v>-802722.68362162134</v>
      </c>
      <c r="D953" s="13">
        <f>RL_NAV*($J$10*Historique!D953+$J$11*Historique!E953+$J$12*Historique!F953+$J$21*Historique!G953)</f>
        <v>-900861.25733500125</v>
      </c>
      <c r="E953" s="20">
        <f t="shared" si="28"/>
        <v>0</v>
      </c>
      <c r="F953" s="20">
        <f t="shared" si="29"/>
        <v>0</v>
      </c>
    </row>
    <row r="954" spans="2:6" x14ac:dyDescent="0.2">
      <c r="B954" s="19">
        <f>Historique!B954</f>
        <v>45761</v>
      </c>
      <c r="C954" s="13">
        <f>RL_NAV*($I$10*Historique!D954+$I$11*Historique!E954+$I$12*Historique!F954+$I$21*Historique!G954)</f>
        <v>1624063.8624572477</v>
      </c>
      <c r="D954" s="13">
        <f>RL_NAV*($J$10*Historique!D954+$J$11*Historique!E954+$J$12*Historique!F954+$J$21*Historique!G954)</f>
        <v>1625663.6646344617</v>
      </c>
      <c r="E954" s="20">
        <f t="shared" si="28"/>
        <v>0</v>
      </c>
      <c r="F954" s="20">
        <f t="shared" si="29"/>
        <v>0</v>
      </c>
    </row>
    <row r="955" spans="2:6" x14ac:dyDescent="0.2">
      <c r="B955" s="19">
        <f>Historique!B955</f>
        <v>45762</v>
      </c>
      <c r="C955" s="13">
        <f>RL_NAV*($I$10*Historique!D955+$I$11*Historique!E955+$I$12*Historique!F955+$I$21*Historique!G955)</f>
        <v>-1341696.7479516275</v>
      </c>
      <c r="D955" s="13">
        <f>RL_NAV*($J$10*Historique!D955+$J$11*Historique!E955+$J$12*Historique!F955+$J$21*Historique!G955)</f>
        <v>-1301128.7522100776</v>
      </c>
      <c r="E955" s="20">
        <f t="shared" si="28"/>
        <v>0</v>
      </c>
      <c r="F955" s="20">
        <f t="shared" si="29"/>
        <v>0</v>
      </c>
    </row>
    <row r="956" spans="2:6" x14ac:dyDescent="0.2">
      <c r="B956" s="19">
        <f>Historique!B956</f>
        <v>45763</v>
      </c>
      <c r="C956" s="13">
        <f>RL_NAV*($I$10*Historique!D956+$I$11*Historique!E956+$I$12*Historique!F956+$I$21*Historique!G956)</f>
        <v>-10772802.590286842</v>
      </c>
      <c r="D956" s="13">
        <f>RL_NAV*($J$10*Historique!D956+$J$11*Historique!E956+$J$12*Historique!F956+$J$21*Historique!G956)</f>
        <v>-10556694.299422907</v>
      </c>
      <c r="E956" s="20">
        <f t="shared" si="28"/>
        <v>0</v>
      </c>
      <c r="F956" s="20">
        <f t="shared" si="29"/>
        <v>0</v>
      </c>
    </row>
    <row r="957" spans="2:6" x14ac:dyDescent="0.2">
      <c r="B957" s="19">
        <f>Historique!B957</f>
        <v>45764</v>
      </c>
      <c r="C957" s="13">
        <f>RL_NAV*($I$10*Historique!D957+$I$11*Historique!E957+$I$12*Historique!F957+$I$21*Historique!G957)</f>
        <v>-14440488.765884085</v>
      </c>
      <c r="D957" s="13">
        <f>RL_NAV*($J$10*Historique!D957+$J$11*Historique!E957+$J$12*Historique!F957+$J$21*Historique!G957)</f>
        <v>-14109505.625927776</v>
      </c>
      <c r="E957" s="20">
        <f t="shared" si="28"/>
        <v>0</v>
      </c>
      <c r="F957" s="20">
        <f t="shared" si="29"/>
        <v>0</v>
      </c>
    </row>
    <row r="958" spans="2:6" x14ac:dyDescent="0.2">
      <c r="B958" s="19">
        <f>Historique!B958</f>
        <v>45769</v>
      </c>
      <c r="C958" s="13">
        <f>RL_NAV*($I$10*Historique!D958+$I$11*Historique!E958+$I$12*Historique!F958+$I$21*Historique!G958)</f>
        <v>-1080909.7460519741</v>
      </c>
      <c r="D958" s="13">
        <f>RL_NAV*($J$10*Historique!D958+$J$11*Historique!E958+$J$12*Historique!F958+$J$21*Historique!G958)</f>
        <v>-1088689.5528647448</v>
      </c>
      <c r="E958" s="20">
        <f t="shared" si="28"/>
        <v>0</v>
      </c>
      <c r="F958" s="20">
        <f t="shared" si="29"/>
        <v>0</v>
      </c>
    </row>
    <row r="959" spans="2:6" x14ac:dyDescent="0.2">
      <c r="B959" s="19">
        <f>Historique!B959</f>
        <v>45770</v>
      </c>
      <c r="C959" s="13">
        <f>RL_NAV*($I$10*Historique!D959+$I$11*Historique!E959+$I$12*Historique!F959+$I$21*Historique!G959)</f>
        <v>-741250.99589216558</v>
      </c>
      <c r="D959" s="13">
        <f>RL_NAV*($J$10*Historique!D959+$J$11*Historique!E959+$J$12*Historique!F959+$J$21*Historique!G959)</f>
        <v>-608353.19045543636</v>
      </c>
      <c r="E959" s="20">
        <f t="shared" si="28"/>
        <v>0</v>
      </c>
      <c r="F959" s="20">
        <f t="shared" si="29"/>
        <v>0</v>
      </c>
    </row>
    <row r="960" spans="2:6" x14ac:dyDescent="0.2">
      <c r="B960" s="19">
        <f>Historique!B960</f>
        <v>45771</v>
      </c>
      <c r="C960" s="13">
        <f>RL_NAV*($I$10*Historique!D960+$I$11*Historique!E960+$I$12*Historique!F960+$I$21*Historique!G960)</f>
        <v>-10732507.204225264</v>
      </c>
      <c r="D960" s="13">
        <f>RL_NAV*($J$10*Historique!D960+$J$11*Historique!E960+$J$12*Historique!F960+$J$21*Historique!G960)</f>
        <v>-10568373.663841683</v>
      </c>
      <c r="E960" s="20">
        <f t="shared" si="28"/>
        <v>0</v>
      </c>
      <c r="F960" s="20">
        <f t="shared" si="29"/>
        <v>0</v>
      </c>
    </row>
    <row r="961" spans="2:6" x14ac:dyDescent="0.2">
      <c r="B961" s="19">
        <f>Historique!B961</f>
        <v>45772</v>
      </c>
      <c r="C961" s="13">
        <f>RL_NAV*($I$10*Historique!D961+$I$11*Historique!E961+$I$12*Historique!F961+$I$21*Historique!G961)</f>
        <v>-576683.71901728516</v>
      </c>
      <c r="D961" s="13">
        <f>RL_NAV*($J$10*Historique!D961+$J$11*Historique!E961+$J$12*Historique!F961+$J$21*Historique!G961)</f>
        <v>-515925.30877807009</v>
      </c>
      <c r="E961" s="20">
        <f t="shared" si="28"/>
        <v>0</v>
      </c>
      <c r="F961" s="20">
        <f t="shared" si="29"/>
        <v>0</v>
      </c>
    </row>
    <row r="962" spans="2:6" x14ac:dyDescent="0.2">
      <c r="B962" s="19">
        <f>Historique!B962</f>
        <v>45775</v>
      </c>
      <c r="C962" s="13">
        <f>RL_NAV*($I$10*Historique!D962+$I$11*Historique!E962+$I$12*Historique!F962+$I$21*Historique!G962)</f>
        <v>2373126.9637595452</v>
      </c>
      <c r="D962" s="13">
        <f>RL_NAV*($J$10*Historique!D962+$J$11*Historique!E962+$J$12*Historique!F962+$J$21*Historique!G962)</f>
        <v>2351286.5021430007</v>
      </c>
      <c r="E962" s="20">
        <f t="shared" si="28"/>
        <v>0</v>
      </c>
      <c r="F962" s="20">
        <f t="shared" si="29"/>
        <v>0</v>
      </c>
    </row>
    <row r="963" spans="2:6" x14ac:dyDescent="0.2">
      <c r="B963" s="19">
        <f>Historique!B963</f>
        <v>45776</v>
      </c>
      <c r="C963" s="13">
        <f>RL_NAV*($I$10*Historique!D963+$I$11*Historique!E963+$I$12*Historique!F963+$I$21*Historique!G963)</f>
        <v>1472080.7380753178</v>
      </c>
      <c r="D963" s="13">
        <f>RL_NAV*($J$10*Historique!D963+$J$11*Historique!E963+$J$12*Historique!F963+$J$21*Historique!G963)</f>
        <v>1414302.3248816612</v>
      </c>
      <c r="E963" s="20">
        <f t="shared" si="28"/>
        <v>0</v>
      </c>
      <c r="F963" s="20">
        <f t="shared" si="29"/>
        <v>0</v>
      </c>
    </row>
    <row r="964" spans="2:6" x14ac:dyDescent="0.2">
      <c r="B964" s="19">
        <f>Historique!B964</f>
        <v>45777</v>
      </c>
      <c r="C964" s="13">
        <f>RL_NAV*($I$10*Historique!D964+$I$11*Historique!E964+$I$12*Historique!F964+$I$21*Historique!G964)</f>
        <v>-1389497.172527448</v>
      </c>
      <c r="D964" s="13">
        <f>RL_NAV*($J$10*Historique!D964+$J$11*Historique!E964+$J$12*Historique!F964+$J$21*Historique!G964)</f>
        <v>-1423354.0068447979</v>
      </c>
      <c r="E964" s="20">
        <f t="shared" si="28"/>
        <v>0</v>
      </c>
      <c r="F964" s="20">
        <f t="shared" si="29"/>
        <v>0</v>
      </c>
    </row>
    <row r="965" spans="2:6" x14ac:dyDescent="0.2">
      <c r="B965" s="19">
        <f>Historique!B965</f>
        <v>45779</v>
      </c>
      <c r="C965" s="13">
        <f>RL_NAV*($I$10*Historique!D965+$I$11*Historique!E965+$I$12*Historique!F965+$I$21*Historique!G965)</f>
        <v>10269489.149806026</v>
      </c>
      <c r="D965" s="13">
        <f>RL_NAV*($J$10*Historique!D965+$J$11*Historique!E965+$J$12*Historique!F965+$J$21*Historique!G965)</f>
        <v>10083920.654442623</v>
      </c>
      <c r="E965" s="20">
        <f t="shared" si="28"/>
        <v>0</v>
      </c>
      <c r="F965" s="20">
        <f t="shared" si="29"/>
        <v>0</v>
      </c>
    </row>
    <row r="966" spans="2:6" x14ac:dyDescent="0.2">
      <c r="B966" s="19">
        <f>Historique!B966</f>
        <v>45782</v>
      </c>
      <c r="C966" s="13">
        <f>RL_NAV*($I$10*Historique!D966+$I$11*Historique!E966+$I$12*Historique!F966+$I$21*Historique!G966)</f>
        <v>-3198218.3463863088</v>
      </c>
      <c r="D966" s="13">
        <f>RL_NAV*($J$10*Historique!D966+$J$11*Historique!E966+$J$12*Historique!F966+$J$21*Historique!G966)</f>
        <v>-3105779.878901246</v>
      </c>
      <c r="E966" s="20">
        <f t="shared" si="28"/>
        <v>0</v>
      </c>
      <c r="F966" s="20">
        <f t="shared" si="29"/>
        <v>0</v>
      </c>
    </row>
    <row r="967" spans="2:6" x14ac:dyDescent="0.2">
      <c r="B967" s="19">
        <f>Historique!B967</f>
        <v>45783</v>
      </c>
      <c r="C967" s="13">
        <f>RL_NAV*($I$10*Historique!D967+$I$11*Historique!E967+$I$12*Historique!F967+$I$21*Historique!G967)</f>
        <v>1802085.9004805388</v>
      </c>
      <c r="D967" s="13">
        <f>RL_NAV*($J$10*Historique!D967+$J$11*Historique!E967+$J$12*Historique!F967+$J$21*Historique!G967)</f>
        <v>1794593.0077186744</v>
      </c>
      <c r="E967" s="20">
        <f t="shared" ref="E967:E1006" si="30">IF(C967&gt;$I$9,1,IF(C967=$I$9,($I$8-$I$18)/$I$19,0))/$I$8</f>
        <v>0</v>
      </c>
      <c r="F967" s="20">
        <f t="shared" ref="F967:F1006" si="31">IF(D967&gt;$J$9,1,IF(D967=$J$9,($J$8-$J$18)/$J$19,0))/$J$8</f>
        <v>0</v>
      </c>
    </row>
    <row r="968" spans="2:6" x14ac:dyDescent="0.2">
      <c r="B968" s="19">
        <f>Historique!B968</f>
        <v>45784</v>
      </c>
      <c r="C968" s="13">
        <f>RL_NAV*($I$10*Historique!D968+$I$11*Historique!E968+$I$12*Historique!F968+$I$21*Historique!G968)</f>
        <v>-6569357.6808418343</v>
      </c>
      <c r="D968" s="13">
        <f>RL_NAV*($J$10*Historique!D968+$J$11*Historique!E968+$J$12*Historique!F968+$J$21*Historique!G968)</f>
        <v>-6479725.0540539194</v>
      </c>
      <c r="E968" s="20">
        <f t="shared" si="30"/>
        <v>0</v>
      </c>
      <c r="F968" s="20">
        <f t="shared" si="31"/>
        <v>0</v>
      </c>
    </row>
    <row r="969" spans="2:6" x14ac:dyDescent="0.2">
      <c r="B969" s="19">
        <f>Historique!B969</f>
        <v>45785</v>
      </c>
      <c r="C969" s="13">
        <f>RL_NAV*($I$10*Historique!D969+$I$11*Historique!E969+$I$12*Historique!F969+$I$21*Historique!G969)</f>
        <v>-932421.98243500537</v>
      </c>
      <c r="D969" s="13">
        <f>RL_NAV*($J$10*Historique!D969+$J$11*Historique!E969+$J$12*Historique!F969+$J$21*Historique!G969)</f>
        <v>-873961.33306256821</v>
      </c>
      <c r="E969" s="20">
        <f t="shared" si="30"/>
        <v>0</v>
      </c>
      <c r="F969" s="20">
        <f t="shared" si="31"/>
        <v>0</v>
      </c>
    </row>
    <row r="970" spans="2:6" x14ac:dyDescent="0.2">
      <c r="B970" s="19">
        <f>Historique!B970</f>
        <v>45786</v>
      </c>
      <c r="C970" s="13">
        <f>RL_NAV*($I$10*Historique!D970+$I$11*Historique!E970+$I$12*Historique!F970+$I$21*Historique!G970)</f>
        <v>1630308.9785102122</v>
      </c>
      <c r="D970" s="13">
        <f>RL_NAV*($J$10*Historique!D970+$J$11*Historique!E970+$J$12*Historique!F970+$J$21*Historique!G970)</f>
        <v>1671653.6901335833</v>
      </c>
      <c r="E970" s="20">
        <f t="shared" si="30"/>
        <v>0</v>
      </c>
      <c r="F970" s="20">
        <f t="shared" si="31"/>
        <v>0</v>
      </c>
    </row>
    <row r="971" spans="2:6" x14ac:dyDescent="0.2">
      <c r="B971" s="19">
        <f>Historique!B971</f>
        <v>45789</v>
      </c>
      <c r="C971" s="13">
        <f>RL_NAV*($I$10*Historique!D971+$I$11*Historique!E971+$I$12*Historique!F971+$I$21*Historique!G971)</f>
        <v>3921453.4916359442</v>
      </c>
      <c r="D971" s="13">
        <f>RL_NAV*($J$10*Historique!D971+$J$11*Historique!E971+$J$12*Historique!F971+$J$21*Historique!G971)</f>
        <v>4067710.2334580077</v>
      </c>
      <c r="E971" s="20">
        <f t="shared" si="30"/>
        <v>0</v>
      </c>
      <c r="F971" s="20">
        <f t="shared" si="31"/>
        <v>0</v>
      </c>
    </row>
    <row r="972" spans="2:6" x14ac:dyDescent="0.2">
      <c r="B972" s="19">
        <f>Historique!B972</f>
        <v>45790</v>
      </c>
      <c r="C972" s="13">
        <f>RL_NAV*($I$10*Historique!D972+$I$11*Historique!E972+$I$12*Historique!F972+$I$21*Historique!G972)</f>
        <v>-4866926.7478522807</v>
      </c>
      <c r="D972" s="13">
        <f>RL_NAV*($J$10*Historique!D972+$J$11*Historique!E972+$J$12*Historique!F972+$J$21*Historique!G972)</f>
        <v>-4729737.6300166743</v>
      </c>
      <c r="E972" s="20">
        <f t="shared" si="30"/>
        <v>0</v>
      </c>
      <c r="F972" s="20">
        <f t="shared" si="31"/>
        <v>0</v>
      </c>
    </row>
    <row r="973" spans="2:6" x14ac:dyDescent="0.2">
      <c r="B973" s="19">
        <f>Historique!B973</f>
        <v>45791</v>
      </c>
      <c r="C973" s="13">
        <f>RL_NAV*($I$10*Historique!D973+$I$11*Historique!E973+$I$12*Historique!F973+$I$21*Historique!G973)</f>
        <v>-425235.95966277859</v>
      </c>
      <c r="D973" s="13">
        <f>RL_NAV*($J$10*Historique!D973+$J$11*Historique!E973+$J$12*Historique!F973+$J$21*Historique!G973)</f>
        <v>-413987.89481942006</v>
      </c>
      <c r="E973" s="20">
        <f t="shared" si="30"/>
        <v>0</v>
      </c>
      <c r="F973" s="20">
        <f t="shared" si="31"/>
        <v>0</v>
      </c>
    </row>
    <row r="974" spans="2:6" x14ac:dyDescent="0.2">
      <c r="B974" s="19">
        <f>Historique!B974</f>
        <v>45792</v>
      </c>
      <c r="C974" s="13">
        <f>RL_NAV*($I$10*Historique!D974+$I$11*Historique!E974+$I$12*Historique!F974+$I$21*Historique!G974)</f>
        <v>-1200612.3823284796</v>
      </c>
      <c r="D974" s="13">
        <f>RL_NAV*($J$10*Historique!D974+$J$11*Historique!E974+$J$12*Historique!F974+$J$21*Historique!G974)</f>
        <v>-1234014.6399943603</v>
      </c>
      <c r="E974" s="20">
        <f t="shared" si="30"/>
        <v>0</v>
      </c>
      <c r="F974" s="20">
        <f t="shared" si="31"/>
        <v>0</v>
      </c>
    </row>
    <row r="975" spans="2:6" x14ac:dyDescent="0.2">
      <c r="B975" s="19">
        <f>Historique!B975</f>
        <v>45793</v>
      </c>
      <c r="C975" s="13">
        <f>RL_NAV*($I$10*Historique!D975+$I$11*Historique!E975+$I$12*Historique!F975+$I$21*Historique!G975)</f>
        <v>-54493.172682966673</v>
      </c>
      <c r="D975" s="13">
        <f>RL_NAV*($J$10*Historique!D975+$J$11*Historique!E975+$J$12*Historique!F975+$J$21*Historique!G975)</f>
        <v>-131059.44274715528</v>
      </c>
      <c r="E975" s="20">
        <f t="shared" si="30"/>
        <v>0</v>
      </c>
      <c r="F975" s="20">
        <f t="shared" si="31"/>
        <v>0</v>
      </c>
    </row>
    <row r="976" spans="2:6" x14ac:dyDescent="0.2">
      <c r="B976" s="19">
        <f>Historique!B976</f>
        <v>45796</v>
      </c>
      <c r="C976" s="13">
        <f>RL_NAV*($I$10*Historique!D976+$I$11*Historique!E976+$I$12*Historique!F976+$I$21*Historique!G976)</f>
        <v>-5969568.5730231283</v>
      </c>
      <c r="D976" s="13">
        <f>RL_NAV*($J$10*Historique!D976+$J$11*Historique!E976+$J$12*Historique!F976+$J$21*Historique!G976)</f>
        <v>-5819190.2231421024</v>
      </c>
      <c r="E976" s="20">
        <f t="shared" si="30"/>
        <v>0</v>
      </c>
      <c r="F976" s="20">
        <f t="shared" si="31"/>
        <v>0</v>
      </c>
    </row>
    <row r="977" spans="2:6" x14ac:dyDescent="0.2">
      <c r="B977" s="19">
        <f>Historique!B977</f>
        <v>45797</v>
      </c>
      <c r="C977" s="13">
        <f>RL_NAV*($I$10*Historique!D977+$I$11*Historique!E977+$I$12*Historique!F977+$I$21*Historique!G977)</f>
        <v>8349059.8796247346</v>
      </c>
      <c r="D977" s="13">
        <f>RL_NAV*($J$10*Historique!D977+$J$11*Historique!E977+$J$12*Historique!F977+$J$21*Historique!G977)</f>
        <v>8148081.3269900279</v>
      </c>
      <c r="E977" s="20">
        <f t="shared" si="30"/>
        <v>0</v>
      </c>
      <c r="F977" s="20">
        <f t="shared" si="31"/>
        <v>0</v>
      </c>
    </row>
    <row r="978" spans="2:6" x14ac:dyDescent="0.2">
      <c r="B978" s="19">
        <f>Historique!B978</f>
        <v>45798</v>
      </c>
      <c r="C978" s="13">
        <f>RL_NAV*($I$10*Historique!D978+$I$11*Historique!E978+$I$12*Historique!F978+$I$21*Historique!G978)</f>
        <v>-6929712.246051291</v>
      </c>
      <c r="D978" s="13">
        <f>RL_NAV*($J$10*Historique!D978+$J$11*Historique!E978+$J$12*Historique!F978+$J$21*Historique!G978)</f>
        <v>-6710299.3484286414</v>
      </c>
      <c r="E978" s="20">
        <f t="shared" si="30"/>
        <v>0</v>
      </c>
      <c r="F978" s="20">
        <f t="shared" si="31"/>
        <v>0</v>
      </c>
    </row>
    <row r="979" spans="2:6" x14ac:dyDescent="0.2">
      <c r="B979" s="19">
        <f>Historique!B979</f>
        <v>45799</v>
      </c>
      <c r="C979" s="13">
        <f>RL_NAV*($I$10*Historique!D979+$I$11*Historique!E979+$I$12*Historique!F979+$I$21*Historique!G979)</f>
        <v>4494334.4603246339</v>
      </c>
      <c r="D979" s="13">
        <f>RL_NAV*($J$10*Historique!D979+$J$11*Historique!E979+$J$12*Historique!F979+$J$21*Historique!G979)</f>
        <v>4353234.5637435457</v>
      </c>
      <c r="E979" s="20">
        <f t="shared" si="30"/>
        <v>0</v>
      </c>
      <c r="F979" s="20">
        <f t="shared" si="31"/>
        <v>0</v>
      </c>
    </row>
    <row r="980" spans="2:6" x14ac:dyDescent="0.2">
      <c r="B980" s="19">
        <f>Historique!B980</f>
        <v>45800</v>
      </c>
      <c r="C980" s="13">
        <f>RL_NAV*($I$10*Historique!D980+$I$11*Historique!E980+$I$12*Historique!F980+$I$21*Historique!G980)</f>
        <v>-11813947.500726163</v>
      </c>
      <c r="D980" s="13">
        <f>RL_NAV*($J$10*Historique!D980+$J$11*Historique!E980+$J$12*Historique!F980+$J$21*Historique!G980)</f>
        <v>-11651277.553875059</v>
      </c>
      <c r="E980" s="20">
        <f t="shared" si="30"/>
        <v>0</v>
      </c>
      <c r="F980" s="20">
        <f t="shared" si="31"/>
        <v>0</v>
      </c>
    </row>
    <row r="981" spans="2:6" x14ac:dyDescent="0.2">
      <c r="B981" s="19">
        <f>Historique!B981</f>
        <v>45803</v>
      </c>
      <c r="C981" s="13">
        <f>RL_NAV*($I$10*Historique!D981+$I$11*Historique!E981+$I$12*Historique!F981+$I$21*Historique!G981)</f>
        <v>4911025.5066294372</v>
      </c>
      <c r="D981" s="13">
        <f>RL_NAV*($J$10*Historique!D981+$J$11*Historique!E981+$J$12*Historique!F981+$J$21*Historique!G981)</f>
        <v>4817955.6765020434</v>
      </c>
      <c r="E981" s="20">
        <f t="shared" si="30"/>
        <v>0</v>
      </c>
      <c r="F981" s="20">
        <f t="shared" si="31"/>
        <v>0</v>
      </c>
    </row>
    <row r="982" spans="2:6" x14ac:dyDescent="0.2">
      <c r="B982" s="19">
        <f>Historique!B982</f>
        <v>45804</v>
      </c>
      <c r="C982" s="13">
        <f>RL_NAV*($I$10*Historique!D982+$I$11*Historique!E982+$I$12*Historique!F982+$I$21*Historique!G982)</f>
        <v>2432592.1935914503</v>
      </c>
      <c r="D982" s="13">
        <f>RL_NAV*($J$10*Historique!D982+$J$11*Historique!E982+$J$12*Historique!F982+$J$21*Historique!G982)</f>
        <v>2356686.9298264282</v>
      </c>
      <c r="E982" s="20">
        <f t="shared" si="30"/>
        <v>0</v>
      </c>
      <c r="F982" s="20">
        <f t="shared" si="31"/>
        <v>0</v>
      </c>
    </row>
    <row r="983" spans="2:6" x14ac:dyDescent="0.2">
      <c r="B983" s="19">
        <f>Historique!B983</f>
        <v>45805</v>
      </c>
      <c r="C983" s="13">
        <f>RL_NAV*($I$10*Historique!D983+$I$11*Historique!E983+$I$12*Historique!F983+$I$21*Historique!G983)</f>
        <v>-3091450.9394361963</v>
      </c>
      <c r="D983" s="13">
        <f>RL_NAV*($J$10*Historique!D983+$J$11*Historique!E983+$J$12*Historique!F983+$J$21*Historique!G983)</f>
        <v>-2981434.5830790256</v>
      </c>
      <c r="E983" s="20">
        <f t="shared" si="30"/>
        <v>0</v>
      </c>
      <c r="F983" s="20">
        <f t="shared" si="31"/>
        <v>0</v>
      </c>
    </row>
    <row r="984" spans="2:6" x14ac:dyDescent="0.2">
      <c r="B984" s="19">
        <f>Historique!B984</f>
        <v>45806</v>
      </c>
      <c r="C984" s="13">
        <f>RL_NAV*($I$10*Historique!D984+$I$11*Historique!E984+$I$12*Historique!F984+$I$21*Historique!G984)</f>
        <v>-5571651.1652893238</v>
      </c>
      <c r="D984" s="13">
        <f>RL_NAV*($J$10*Historique!D984+$J$11*Historique!E984+$J$12*Historique!F984+$J$21*Historique!G984)</f>
        <v>-5480056.3977602879</v>
      </c>
      <c r="E984" s="20">
        <f t="shared" si="30"/>
        <v>0</v>
      </c>
      <c r="F984" s="20">
        <f t="shared" si="31"/>
        <v>0</v>
      </c>
    </row>
    <row r="985" spans="2:6" x14ac:dyDescent="0.2">
      <c r="B985" s="19">
        <f>Historique!B985</f>
        <v>45807</v>
      </c>
      <c r="C985" s="13">
        <f>RL_NAV*($I$10*Historique!D985+$I$11*Historique!E985+$I$12*Historique!F985+$I$21*Historique!G985)</f>
        <v>415088.08696061617</v>
      </c>
      <c r="D985" s="13">
        <f>RL_NAV*($J$10*Historique!D985+$J$11*Historique!E985+$J$12*Historique!F985+$J$21*Historique!G985)</f>
        <v>415847.21236292506</v>
      </c>
      <c r="E985" s="20">
        <f t="shared" si="30"/>
        <v>0</v>
      </c>
      <c r="F985" s="20">
        <f t="shared" si="31"/>
        <v>0</v>
      </c>
    </row>
    <row r="986" spans="2:6" x14ac:dyDescent="0.2">
      <c r="B986" s="19">
        <f>Historique!B986</f>
        <v>45810</v>
      </c>
      <c r="C986" s="13">
        <f>RL_NAV*($I$10*Historique!D986+$I$11*Historique!E986+$I$12*Historique!F986+$I$21*Historique!G986)</f>
        <v>-150870.6860316855</v>
      </c>
      <c r="D986" s="13">
        <f>RL_NAV*($J$10*Historique!D986+$J$11*Historique!E986+$J$12*Historique!F986+$J$21*Historique!G986)</f>
        <v>-127804.55448736835</v>
      </c>
      <c r="E986" s="20">
        <f t="shared" si="30"/>
        <v>0</v>
      </c>
      <c r="F986" s="20">
        <f t="shared" si="31"/>
        <v>0</v>
      </c>
    </row>
    <row r="987" spans="2:6" x14ac:dyDescent="0.2">
      <c r="B987" s="19">
        <f>Historique!B987</f>
        <v>45811</v>
      </c>
      <c r="C987" s="13">
        <f>RL_NAV*($I$10*Historique!D987+$I$11*Historique!E987+$I$12*Historique!F987+$I$21*Historique!G987)</f>
        <v>-2760739.2489021262</v>
      </c>
      <c r="D987" s="13">
        <f>RL_NAV*($J$10*Historique!D987+$J$11*Historique!E987+$J$12*Historique!F987+$J$21*Historique!G987)</f>
        <v>-2756927.1880823085</v>
      </c>
      <c r="E987" s="20">
        <f t="shared" si="30"/>
        <v>0</v>
      </c>
      <c r="F987" s="20">
        <f t="shared" si="31"/>
        <v>0</v>
      </c>
    </row>
    <row r="988" spans="2:6" x14ac:dyDescent="0.2">
      <c r="B988" s="19">
        <f>Historique!B988</f>
        <v>45812</v>
      </c>
      <c r="C988" s="13">
        <f>RL_NAV*($I$10*Historique!D988+$I$11*Historique!E988+$I$12*Historique!F988+$I$21*Historique!G988)</f>
        <v>1658050.7223212007</v>
      </c>
      <c r="D988" s="13">
        <f>RL_NAV*($J$10*Historique!D988+$J$11*Historique!E988+$J$12*Historique!F988+$J$21*Historique!G988)</f>
        <v>1693943.9451368721</v>
      </c>
      <c r="E988" s="20">
        <f t="shared" si="30"/>
        <v>0</v>
      </c>
      <c r="F988" s="20">
        <f t="shared" si="31"/>
        <v>0</v>
      </c>
    </row>
    <row r="989" spans="2:6" x14ac:dyDescent="0.2">
      <c r="B989" s="19">
        <f>Historique!B989</f>
        <v>45813</v>
      </c>
      <c r="C989" s="13">
        <f>RL_NAV*($I$10*Historique!D989+$I$11*Historique!E989+$I$12*Historique!F989+$I$21*Historique!G989)</f>
        <v>10456806.789395655</v>
      </c>
      <c r="D989" s="13">
        <f>RL_NAV*($J$10*Historique!D989+$J$11*Historique!E989+$J$12*Historique!F989+$J$21*Historique!G989)</f>
        <v>10288495.760103092</v>
      </c>
      <c r="E989" s="20">
        <f t="shared" si="30"/>
        <v>0</v>
      </c>
      <c r="F989" s="20">
        <f t="shared" si="31"/>
        <v>0</v>
      </c>
    </row>
    <row r="990" spans="2:6" x14ac:dyDescent="0.2">
      <c r="B990" s="19">
        <f>Historique!B990</f>
        <v>45814</v>
      </c>
      <c r="C990" s="13">
        <f>RL_NAV*($I$10*Historique!D990+$I$11*Historique!E990+$I$12*Historique!F990+$I$21*Historique!G990)</f>
        <v>-91954.364782914417</v>
      </c>
      <c r="D990" s="13">
        <f>RL_NAV*($J$10*Historique!D990+$J$11*Historique!E990+$J$12*Historique!F990+$J$21*Historique!G990)</f>
        <v>-68965.54397758501</v>
      </c>
      <c r="E990" s="20">
        <f t="shared" si="30"/>
        <v>0</v>
      </c>
      <c r="F990" s="20">
        <f t="shared" si="31"/>
        <v>0</v>
      </c>
    </row>
    <row r="991" spans="2:6" x14ac:dyDescent="0.2">
      <c r="B991" s="19">
        <f>Historique!B991</f>
        <v>45817</v>
      </c>
      <c r="C991" s="13">
        <f>RL_NAV*($I$10*Historique!D991+$I$11*Historique!E991+$I$12*Historique!F991+$I$21*Historique!G991)</f>
        <v>1853078.6485423229</v>
      </c>
      <c r="D991" s="13">
        <f>RL_NAV*($J$10*Historique!D991+$J$11*Historique!E991+$J$12*Historique!F991+$J$21*Historique!G991)</f>
        <v>1791116.2582993524</v>
      </c>
      <c r="E991" s="20">
        <f t="shared" si="30"/>
        <v>0</v>
      </c>
      <c r="F991" s="20">
        <f t="shared" si="31"/>
        <v>0</v>
      </c>
    </row>
    <row r="992" spans="2:6" x14ac:dyDescent="0.2">
      <c r="B992" s="19">
        <f>Historique!B992</f>
        <v>45818</v>
      </c>
      <c r="C992" s="13">
        <f>RL_NAV*($I$10*Historique!D992+$I$11*Historique!E992+$I$12*Historique!F992+$I$21*Historique!G992)</f>
        <v>-13590156.222429767</v>
      </c>
      <c r="D992" s="13">
        <f>RL_NAV*($J$10*Historique!D992+$J$11*Historique!E992+$J$12*Historique!F992+$J$21*Historique!G992)</f>
        <v>-13296255.274716461</v>
      </c>
      <c r="E992" s="20">
        <f t="shared" si="30"/>
        <v>0</v>
      </c>
      <c r="F992" s="20">
        <f t="shared" si="31"/>
        <v>0</v>
      </c>
    </row>
    <row r="993" spans="2:6" x14ac:dyDescent="0.2">
      <c r="B993" s="19">
        <f>Historique!B993</f>
        <v>45819</v>
      </c>
      <c r="C993" s="13">
        <f>RL_NAV*($I$10*Historique!D993+$I$11*Historique!E993+$I$12*Historique!F993+$I$21*Historique!G993)</f>
        <v>69860.773460305049</v>
      </c>
      <c r="D993" s="13">
        <f>RL_NAV*($J$10*Historique!D993+$J$11*Historique!E993+$J$12*Historique!F993+$J$21*Historique!G993)</f>
        <v>64243.25093384261</v>
      </c>
      <c r="E993" s="20">
        <f t="shared" si="30"/>
        <v>0</v>
      </c>
      <c r="F993" s="20">
        <f t="shared" si="31"/>
        <v>0</v>
      </c>
    </row>
    <row r="994" spans="2:6" x14ac:dyDescent="0.2">
      <c r="B994" s="19">
        <f>Historique!B994</f>
        <v>45820</v>
      </c>
      <c r="C994" s="13">
        <f>RL_NAV*($I$10*Historique!D994+$I$11*Historique!E994+$I$12*Historique!F994+$I$21*Historique!G994)</f>
        <v>-2896241.1871896195</v>
      </c>
      <c r="D994" s="13">
        <f>RL_NAV*($J$10*Historique!D994+$J$11*Historique!E994+$J$12*Historique!F994+$J$21*Historique!G994)</f>
        <v>-2874510.0083547179</v>
      </c>
      <c r="E994" s="20">
        <f t="shared" si="30"/>
        <v>0</v>
      </c>
      <c r="F994" s="20">
        <f t="shared" si="31"/>
        <v>0</v>
      </c>
    </row>
    <row r="995" spans="2:6" x14ac:dyDescent="0.2">
      <c r="B995" s="19">
        <f>Historique!B995</f>
        <v>45821</v>
      </c>
      <c r="C995" s="13">
        <f>RL_NAV*($I$10*Historique!D995+$I$11*Historique!E995+$I$12*Historique!F995+$I$21*Historique!G995)</f>
        <v>6358927.8002861524</v>
      </c>
      <c r="D995" s="13">
        <f>RL_NAV*($J$10*Historique!D995+$J$11*Historique!E995+$J$12*Historique!F995+$J$21*Historique!G995)</f>
        <v>6236660.6891319901</v>
      </c>
      <c r="E995" s="20">
        <f t="shared" si="30"/>
        <v>0</v>
      </c>
      <c r="F995" s="20">
        <f t="shared" si="31"/>
        <v>0</v>
      </c>
    </row>
    <row r="996" spans="2:6" x14ac:dyDescent="0.2">
      <c r="B996" s="19">
        <f>Historique!B996</f>
        <v>45824</v>
      </c>
      <c r="C996" s="13">
        <f>RL_NAV*($I$10*Historique!D996+$I$11*Historique!E996+$I$12*Historique!F996+$I$21*Historique!G996)</f>
        <v>-3640478.1424901667</v>
      </c>
      <c r="D996" s="13">
        <f>RL_NAV*($J$10*Historique!D996+$J$11*Historique!E996+$J$12*Historique!F996+$J$21*Historique!G996)</f>
        <v>-3539625.6695740083</v>
      </c>
      <c r="E996" s="20">
        <f t="shared" si="30"/>
        <v>0</v>
      </c>
      <c r="F996" s="20">
        <f t="shared" si="31"/>
        <v>0</v>
      </c>
    </row>
    <row r="997" spans="2:6" x14ac:dyDescent="0.2">
      <c r="B997" s="19">
        <f>Historique!B997</f>
        <v>45825</v>
      </c>
      <c r="C997" s="13">
        <f>RL_NAV*($I$10*Historique!D997+$I$11*Historique!E997+$I$12*Historique!F997+$I$21*Historique!G997)</f>
        <v>3251867.0339724091</v>
      </c>
      <c r="D997" s="13">
        <f>RL_NAV*($J$10*Historique!D997+$J$11*Historique!E997+$J$12*Historique!F997+$J$21*Historique!G997)</f>
        <v>3205261.7759941556</v>
      </c>
      <c r="E997" s="20">
        <f t="shared" si="30"/>
        <v>0</v>
      </c>
      <c r="F997" s="20">
        <f t="shared" si="31"/>
        <v>0</v>
      </c>
    </row>
    <row r="998" spans="2:6" x14ac:dyDescent="0.2">
      <c r="B998" s="19">
        <f>Historique!B998</f>
        <v>45826</v>
      </c>
      <c r="C998" s="13">
        <f>RL_NAV*($I$10*Historique!D998+$I$11*Historique!E998+$I$12*Historique!F998+$I$21*Historique!G998)</f>
        <v>-2464732.5795954703</v>
      </c>
      <c r="D998" s="13">
        <f>RL_NAV*($J$10*Historique!D998+$J$11*Historique!E998+$J$12*Historique!F998+$J$21*Historique!G998)</f>
        <v>-2433677.3715696959</v>
      </c>
      <c r="E998" s="20">
        <f t="shared" si="30"/>
        <v>0</v>
      </c>
      <c r="F998" s="20">
        <f t="shared" si="31"/>
        <v>0</v>
      </c>
    </row>
    <row r="999" spans="2:6" x14ac:dyDescent="0.2">
      <c r="B999" s="19">
        <f>Historique!B999</f>
        <v>45827</v>
      </c>
      <c r="C999" s="13">
        <f>RL_NAV*($I$10*Historique!D999+$I$11*Historique!E999+$I$12*Historique!F999+$I$21*Historique!G999)</f>
        <v>2791508.9436842799</v>
      </c>
      <c r="D999" s="13">
        <f>RL_NAV*($J$10*Historique!D999+$J$11*Historique!E999+$J$12*Historique!F999+$J$21*Historique!G999)</f>
        <v>2707886.1349496306</v>
      </c>
      <c r="E999" s="20">
        <f t="shared" si="30"/>
        <v>0</v>
      </c>
      <c r="F999" s="20">
        <f t="shared" si="31"/>
        <v>0</v>
      </c>
    </row>
    <row r="1000" spans="2:6" x14ac:dyDescent="0.2">
      <c r="B1000" s="19">
        <f>Historique!B1000</f>
        <v>45828</v>
      </c>
      <c r="C1000" s="13">
        <f>RL_NAV*($I$10*Historique!D1000+$I$11*Historique!E1000+$I$12*Historique!F1000+$I$21*Historique!G1000)</f>
        <v>2726439.2342601097</v>
      </c>
      <c r="D1000" s="13">
        <f>RL_NAV*($J$10*Historique!D1000+$J$11*Historique!E1000+$J$12*Historique!F1000+$J$21*Historique!G1000)</f>
        <v>2666998.8368598251</v>
      </c>
      <c r="E1000" s="20">
        <f t="shared" si="30"/>
        <v>0</v>
      </c>
      <c r="F1000" s="20">
        <f t="shared" si="31"/>
        <v>0</v>
      </c>
    </row>
    <row r="1001" spans="2:6" x14ac:dyDescent="0.2">
      <c r="B1001" s="19">
        <f>Historique!B1001</f>
        <v>45831</v>
      </c>
      <c r="C1001" s="13">
        <f>RL_NAV*($I$10*Historique!D1001+$I$11*Historique!E1001+$I$12*Historique!F1001+$I$21*Historique!G1001)</f>
        <v>-1812167.3428191124</v>
      </c>
      <c r="D1001" s="13">
        <f>RL_NAV*($J$10*Historique!D1001+$J$11*Historique!E1001+$J$12*Historique!F1001+$J$21*Historique!G1001)</f>
        <v>-1761571.1955456801</v>
      </c>
      <c r="E1001" s="20">
        <f t="shared" si="30"/>
        <v>0</v>
      </c>
      <c r="F1001" s="20">
        <f t="shared" si="31"/>
        <v>0</v>
      </c>
    </row>
    <row r="1002" spans="2:6" x14ac:dyDescent="0.2">
      <c r="B1002" s="19">
        <f>Historique!B1002</f>
        <v>45832</v>
      </c>
      <c r="C1002" s="13">
        <f>RL_NAV*($I$10*Historique!D1002+$I$11*Historique!E1002+$I$12*Historique!F1002+$I$21*Historique!G1002)</f>
        <v>71977.571758088903</v>
      </c>
      <c r="D1002" s="13">
        <f>RL_NAV*($J$10*Historique!D1002+$J$11*Historique!E1002+$J$12*Historique!F1002+$J$21*Historique!G1002)</f>
        <v>96788.25588205579</v>
      </c>
      <c r="E1002" s="20">
        <f t="shared" si="30"/>
        <v>0</v>
      </c>
      <c r="F1002" s="20">
        <f t="shared" si="31"/>
        <v>0</v>
      </c>
    </row>
    <row r="1003" spans="2:6" x14ac:dyDescent="0.2">
      <c r="B1003" s="19">
        <f>Historique!B1003</f>
        <v>45833</v>
      </c>
      <c r="C1003" s="13">
        <f>RL_NAV*($I$10*Historique!D1003+$I$11*Historique!E1003+$I$12*Historique!F1003+$I$21*Historique!G1003)</f>
        <v>3107007.8914622669</v>
      </c>
      <c r="D1003" s="13">
        <f>RL_NAV*($J$10*Historique!D1003+$J$11*Historique!E1003+$J$12*Historique!F1003+$J$21*Historique!G1003)</f>
        <v>3043876.5012887241</v>
      </c>
      <c r="E1003" s="20">
        <f t="shared" si="30"/>
        <v>0</v>
      </c>
      <c r="F1003" s="20">
        <f t="shared" si="31"/>
        <v>0</v>
      </c>
    </row>
    <row r="1004" spans="2:6" x14ac:dyDescent="0.2">
      <c r="B1004" s="19">
        <f>Historique!B1004</f>
        <v>45834</v>
      </c>
      <c r="C1004" s="13">
        <f>RL_NAV*($I$10*Historique!D1004+$I$11*Historique!E1004+$I$12*Historique!F1004+$I$21*Historique!G1004)</f>
        <v>-5929354.9856479894</v>
      </c>
      <c r="D1004" s="13">
        <f>RL_NAV*($J$10*Historique!D1004+$J$11*Historique!E1004+$J$12*Historique!F1004+$J$21*Historique!G1004)</f>
        <v>-5830600.3461408103</v>
      </c>
      <c r="E1004" s="20">
        <f t="shared" si="30"/>
        <v>0</v>
      </c>
      <c r="F1004" s="20">
        <f t="shared" si="31"/>
        <v>0</v>
      </c>
    </row>
    <row r="1005" spans="2:6" x14ac:dyDescent="0.2">
      <c r="B1005" s="19">
        <f>Historique!B1005</f>
        <v>45835</v>
      </c>
      <c r="C1005" s="13">
        <f>RL_NAV*($I$10*Historique!D1005+$I$11*Historique!E1005+$I$12*Historique!F1005+$I$21*Historique!G1005)</f>
        <v>5655660.9280178212</v>
      </c>
      <c r="D1005" s="13">
        <f>RL_NAV*($J$10*Historique!D1005+$J$11*Historique!E1005+$J$12*Historique!F1005+$J$21*Historique!G1005)</f>
        <v>5568855.1365171615</v>
      </c>
      <c r="E1005" s="20">
        <f t="shared" si="30"/>
        <v>0</v>
      </c>
      <c r="F1005" s="20">
        <f t="shared" si="31"/>
        <v>0</v>
      </c>
    </row>
    <row r="1006" spans="2:6" x14ac:dyDescent="0.2">
      <c r="B1006" s="19">
        <f>Historique!B1006</f>
        <v>45838</v>
      </c>
      <c r="C1006" s="13">
        <f>RL_NAV*($I$10*Historique!D1006+$I$11*Historique!E1006+$I$12*Historique!F1006+$I$21*Historique!G1006)</f>
        <v>-1931812.8613977218</v>
      </c>
      <c r="D1006" s="13">
        <f>RL_NAV*($J$10*Historique!D1006+$J$11*Historique!E1006+$J$12*Historique!F1006+$J$21*Historique!G1006)</f>
        <v>-1880093.669971413</v>
      </c>
      <c r="E1006" s="20">
        <f t="shared" si="30"/>
        <v>0</v>
      </c>
      <c r="F1006" s="20">
        <f t="shared" si="31"/>
        <v>0</v>
      </c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G1006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2" customWidth="1"/>
    <col min="3" max="3" width="14" customWidth="1"/>
    <col min="4" max="6" width="15" customWidth="1"/>
    <col min="7" max="7" width="17" customWidth="1"/>
  </cols>
  <sheetData>
    <row r="2" spans="2:7" ht="18" x14ac:dyDescent="0.2">
      <c r="B2" s="1" t="s">
        <v>611</v>
      </c>
    </row>
    <row r="3" spans="2:7" x14ac:dyDescent="0.2">
      <c r="B3" s="2" t="s">
        <v>612</v>
      </c>
    </row>
    <row r="6" spans="2:7" ht="30" customHeight="1" x14ac:dyDescent="0.2">
      <c r="B6" s="3" t="s">
        <v>589</v>
      </c>
      <c r="C6" s="3" t="s">
        <v>613</v>
      </c>
      <c r="D6" s="3" t="s">
        <v>614</v>
      </c>
      <c r="E6" s="3" t="s">
        <v>615</v>
      </c>
      <c r="F6" s="3" t="s">
        <v>616</v>
      </c>
      <c r="G6" s="3" t="s">
        <v>617</v>
      </c>
    </row>
    <row r="7" spans="2:7" x14ac:dyDescent="0.2">
      <c r="B7" s="19">
        <v>44406</v>
      </c>
      <c r="C7" s="19">
        <v>44405</v>
      </c>
      <c r="D7" s="38">
        <v>-6.5265933869851356E-7</v>
      </c>
      <c r="E7" s="38">
        <v>1.382448363088876E-5</v>
      </c>
      <c r="F7" s="38">
        <v>-5.9937779967487656E-6</v>
      </c>
      <c r="G7" s="38">
        <v>-9.9999999999999395E-5</v>
      </c>
    </row>
    <row r="8" spans="2:7" x14ac:dyDescent="0.2">
      <c r="B8" s="19">
        <v>44407</v>
      </c>
      <c r="C8" s="19">
        <v>44406</v>
      </c>
      <c r="D8" s="38">
        <v>-3.218355137121591E-5</v>
      </c>
      <c r="E8" s="38">
        <v>-4.3331188537396377E-5</v>
      </c>
      <c r="F8" s="38">
        <v>-7.7128026413317806E-5</v>
      </c>
      <c r="G8" s="38">
        <v>-1.000000000000011E-4</v>
      </c>
    </row>
    <row r="9" spans="2:7" x14ac:dyDescent="0.2">
      <c r="B9" s="19">
        <v>44410</v>
      </c>
      <c r="C9" s="19">
        <v>44407</v>
      </c>
      <c r="D9" s="38">
        <v>-3.8996048591694379E-5</v>
      </c>
      <c r="E9" s="38">
        <v>-1.582800864071256E-4</v>
      </c>
      <c r="F9" s="38">
        <v>-1.9928731586126101E-4</v>
      </c>
      <c r="G9" s="38">
        <v>-1.9999999999999879E-4</v>
      </c>
    </row>
    <row r="10" spans="2:7" x14ac:dyDescent="0.2">
      <c r="B10" s="19">
        <v>44411</v>
      </c>
      <c r="C10" s="19">
        <v>44410</v>
      </c>
      <c r="D10" s="38">
        <v>-9.9980310126871613E-5</v>
      </c>
      <c r="E10" s="38">
        <v>-1.9793937410328329E-4</v>
      </c>
      <c r="F10" s="38">
        <v>-2.7464746684702218E-4</v>
      </c>
      <c r="G10" s="38">
        <v>0</v>
      </c>
    </row>
    <row r="11" spans="2:7" x14ac:dyDescent="0.2">
      <c r="B11" s="19">
        <v>44412</v>
      </c>
      <c r="C11" s="19">
        <v>44411</v>
      </c>
      <c r="D11" s="38">
        <v>-4.5704725511226327E-5</v>
      </c>
      <c r="E11" s="38">
        <v>-1.157896972040634E-4</v>
      </c>
      <c r="F11" s="38">
        <v>-1.8091411916870871E-4</v>
      </c>
      <c r="G11" s="38">
        <v>0</v>
      </c>
    </row>
    <row r="12" spans="2:7" x14ac:dyDescent="0.2">
      <c r="B12" s="19">
        <v>44413</v>
      </c>
      <c r="C12" s="19">
        <v>44412</v>
      </c>
      <c r="D12" s="38">
        <v>-4.4193825850405092E-5</v>
      </c>
      <c r="E12" s="38">
        <v>3.519176160120957E-5</v>
      </c>
      <c r="F12" s="38">
        <v>6.0222791568822168E-5</v>
      </c>
      <c r="G12" s="38">
        <v>9.9999999999999395E-5</v>
      </c>
    </row>
    <row r="13" spans="2:7" x14ac:dyDescent="0.2">
      <c r="B13" s="19">
        <v>44414</v>
      </c>
      <c r="C13" s="19">
        <v>44413</v>
      </c>
      <c r="D13" s="38">
        <v>2.3757504371668681E-4</v>
      </c>
      <c r="E13" s="38">
        <v>3.8396385608522552E-4</v>
      </c>
      <c r="F13" s="38">
        <v>4.4335278774980218E-4</v>
      </c>
      <c r="G13" s="38">
        <v>0</v>
      </c>
    </row>
    <row r="14" spans="2:7" x14ac:dyDescent="0.2">
      <c r="B14" s="19">
        <v>44417</v>
      </c>
      <c r="C14" s="19">
        <v>44414</v>
      </c>
      <c r="D14" s="38">
        <v>2.830132912771954E-5</v>
      </c>
      <c r="E14" s="38">
        <v>-3.0649933285231863E-5</v>
      </c>
      <c r="F14" s="38">
        <v>-1.142172987654219E-4</v>
      </c>
      <c r="G14" s="38">
        <v>0</v>
      </c>
    </row>
    <row r="15" spans="2:7" x14ac:dyDescent="0.2">
      <c r="B15" s="19">
        <v>44418</v>
      </c>
      <c r="C15" s="19">
        <v>44417</v>
      </c>
      <c r="D15" s="38">
        <v>8.2606394875683192E-6</v>
      </c>
      <c r="E15" s="38">
        <v>-2.7775953885375921E-5</v>
      </c>
      <c r="F15" s="38">
        <v>-4.302539573316274E-5</v>
      </c>
      <c r="G15" s="38">
        <v>-9.9999999999999395E-5</v>
      </c>
    </row>
    <row r="16" spans="2:7" x14ac:dyDescent="0.2">
      <c r="B16" s="19">
        <v>44419</v>
      </c>
      <c r="C16" s="19">
        <v>44418</v>
      </c>
      <c r="D16" s="38">
        <v>8.4141552344060497E-5</v>
      </c>
      <c r="E16" s="38">
        <v>2.221999853797077E-4</v>
      </c>
      <c r="F16" s="38">
        <v>2.037630041429759E-4</v>
      </c>
      <c r="G16" s="38">
        <v>0</v>
      </c>
    </row>
    <row r="17" spans="2:7" x14ac:dyDescent="0.2">
      <c r="B17" s="19">
        <v>44420</v>
      </c>
      <c r="C17" s="19">
        <v>44419</v>
      </c>
      <c r="D17" s="38">
        <v>-6.557510046547449E-7</v>
      </c>
      <c r="E17" s="38">
        <v>3.5987685493527738E-5</v>
      </c>
      <c r="F17" s="38">
        <v>3.4982723996170549E-5</v>
      </c>
      <c r="G17" s="38">
        <v>0</v>
      </c>
    </row>
    <row r="18" spans="2:7" x14ac:dyDescent="0.2">
      <c r="B18" s="19">
        <v>44421</v>
      </c>
      <c r="C18" s="19">
        <v>44420</v>
      </c>
      <c r="D18" s="38">
        <v>4.2938602040024781E-5</v>
      </c>
      <c r="E18" s="38">
        <v>1.215024124093592E-5</v>
      </c>
      <c r="F18" s="38">
        <v>-9.2991828769472921E-5</v>
      </c>
      <c r="G18" s="38">
        <v>9.9999999999999395E-5</v>
      </c>
    </row>
    <row r="19" spans="2:7" x14ac:dyDescent="0.2">
      <c r="B19" s="19">
        <v>44424</v>
      </c>
      <c r="C19" s="19">
        <v>44421</v>
      </c>
      <c r="D19" s="38">
        <v>-3.9727240302940559E-5</v>
      </c>
      <c r="E19" s="38">
        <v>-2.1208529891884699E-4</v>
      </c>
      <c r="F19" s="38">
        <v>-2.7471787237348839E-4</v>
      </c>
      <c r="G19" s="38">
        <v>0</v>
      </c>
    </row>
    <row r="20" spans="2:7" x14ac:dyDescent="0.2">
      <c r="B20" s="19">
        <v>44425</v>
      </c>
      <c r="C20" s="19">
        <v>44424</v>
      </c>
      <c r="D20" s="38">
        <v>2.185120130396984E-6</v>
      </c>
      <c r="E20" s="38">
        <v>1.284244602678354E-4</v>
      </c>
      <c r="F20" s="38">
        <v>1.723944936536442E-4</v>
      </c>
      <c r="G20" s="38">
        <v>9.9999999999999395E-5</v>
      </c>
    </row>
    <row r="21" spans="2:7" x14ac:dyDescent="0.2">
      <c r="B21" s="19">
        <v>44426</v>
      </c>
      <c r="C21" s="19">
        <v>44425</v>
      </c>
      <c r="D21" s="38">
        <v>-3.6751244501663498E-5</v>
      </c>
      <c r="E21" s="38">
        <v>-6.6919390500812595E-5</v>
      </c>
      <c r="F21" s="38">
        <v>-8.7492236727312878E-5</v>
      </c>
      <c r="G21" s="38">
        <v>0</v>
      </c>
    </row>
    <row r="22" spans="2:7" x14ac:dyDescent="0.2">
      <c r="B22" s="19">
        <v>44427</v>
      </c>
      <c r="C22" s="19">
        <v>44426</v>
      </c>
      <c r="D22" s="38">
        <v>1.887015165187925E-5</v>
      </c>
      <c r="E22" s="38">
        <v>1.097712514341008E-5</v>
      </c>
      <c r="F22" s="38">
        <v>-4.3335281680470003E-5</v>
      </c>
      <c r="G22" s="38">
        <v>1.000000000000011E-4</v>
      </c>
    </row>
    <row r="23" spans="2:7" x14ac:dyDescent="0.2">
      <c r="B23" s="19">
        <v>44428</v>
      </c>
      <c r="C23" s="19">
        <v>44427</v>
      </c>
      <c r="D23" s="38">
        <v>-4.1789904753761903E-5</v>
      </c>
      <c r="E23" s="38">
        <v>-5.5758155958529447E-5</v>
      </c>
      <c r="F23" s="38">
        <v>-7.6710721715658389E-5</v>
      </c>
      <c r="G23" s="38">
        <v>-1.000000000000011E-4</v>
      </c>
    </row>
    <row r="24" spans="2:7" x14ac:dyDescent="0.2">
      <c r="B24" s="19">
        <v>44431</v>
      </c>
      <c r="C24" s="19">
        <v>44428</v>
      </c>
      <c r="D24" s="38">
        <v>1.915735565731665E-5</v>
      </c>
      <c r="E24" s="38">
        <v>3.6268709797932987E-5</v>
      </c>
      <c r="F24" s="38">
        <v>1.4323964439941301E-4</v>
      </c>
      <c r="G24" s="38">
        <v>-9.9999999999999395E-5</v>
      </c>
    </row>
    <row r="25" spans="2:7" x14ac:dyDescent="0.2">
      <c r="B25" s="19">
        <v>44432</v>
      </c>
      <c r="C25" s="19">
        <v>44431</v>
      </c>
      <c r="D25" s="38">
        <v>4.4058981503237657E-5</v>
      </c>
      <c r="E25" s="38">
        <v>5.9457860611904403E-5</v>
      </c>
      <c r="F25" s="38">
        <v>3.1524957964288412E-5</v>
      </c>
      <c r="G25" s="38">
        <v>2.000000000000005E-4</v>
      </c>
    </row>
    <row r="26" spans="2:7" x14ac:dyDescent="0.2">
      <c r="B26" s="19">
        <v>44433</v>
      </c>
      <c r="C26" s="19">
        <v>44432</v>
      </c>
      <c r="D26" s="38">
        <v>7.2278067726938913E-5</v>
      </c>
      <c r="E26" s="38">
        <v>2.2533669761398009E-4</v>
      </c>
      <c r="F26" s="38">
        <v>4.3513547014701042E-4</v>
      </c>
      <c r="G26" s="38">
        <v>-1.000000000000011E-4</v>
      </c>
    </row>
    <row r="27" spans="2:7" x14ac:dyDescent="0.2">
      <c r="B27" s="19">
        <v>44434</v>
      </c>
      <c r="C27" s="19">
        <v>44433</v>
      </c>
      <c r="D27" s="38">
        <v>7.1969729519531442E-5</v>
      </c>
      <c r="E27" s="38">
        <v>2.210151404959549E-4</v>
      </c>
      <c r="F27" s="38">
        <v>2.8596032157634631E-4</v>
      </c>
      <c r="G27" s="38">
        <v>-1.9999999999999879E-4</v>
      </c>
    </row>
    <row r="28" spans="2:7" x14ac:dyDescent="0.2">
      <c r="B28" s="19">
        <v>44435</v>
      </c>
      <c r="C28" s="19">
        <v>44434</v>
      </c>
      <c r="D28" s="38">
        <v>2.9141404229830921E-5</v>
      </c>
      <c r="E28" s="38">
        <v>1.405620882281248E-5</v>
      </c>
      <c r="F28" s="38">
        <v>1.68986891385314E-5</v>
      </c>
      <c r="G28" s="38">
        <v>1.9999999999999879E-4</v>
      </c>
    </row>
    <row r="29" spans="2:7" x14ac:dyDescent="0.2">
      <c r="B29" s="19">
        <v>44438</v>
      </c>
      <c r="C29" s="19">
        <v>44435</v>
      </c>
      <c r="D29" s="38">
        <v>-2.8313435571549611E-5</v>
      </c>
      <c r="E29" s="38">
        <v>-1.2575840172650551E-4</v>
      </c>
      <c r="F29" s="38">
        <v>-2.0057449512831451E-4</v>
      </c>
      <c r="G29" s="38">
        <v>0</v>
      </c>
    </row>
    <row r="30" spans="2:7" x14ac:dyDescent="0.2">
      <c r="B30" s="19">
        <v>44439</v>
      </c>
      <c r="C30" s="19">
        <v>44438</v>
      </c>
      <c r="D30" s="38">
        <v>9.8870600584064286E-5</v>
      </c>
      <c r="E30" s="38">
        <v>2.3641255321669129E-4</v>
      </c>
      <c r="F30" s="38">
        <v>2.2989768484626101E-4</v>
      </c>
      <c r="G30" s="38">
        <v>1.000000000000011E-4</v>
      </c>
    </row>
    <row r="31" spans="2:7" x14ac:dyDescent="0.2">
      <c r="B31" s="19">
        <v>44440</v>
      </c>
      <c r="C31" s="19">
        <v>44439</v>
      </c>
      <c r="D31" s="38">
        <v>5.1982765039244516E-6</v>
      </c>
      <c r="E31" s="38">
        <v>4.1513189437894157E-5</v>
      </c>
      <c r="F31" s="38">
        <v>1.8590399902370869E-4</v>
      </c>
      <c r="G31" s="38">
        <v>-1.000000000000011E-4</v>
      </c>
    </row>
    <row r="32" spans="2:7" x14ac:dyDescent="0.2">
      <c r="B32" s="19">
        <v>44441</v>
      </c>
      <c r="C32" s="19">
        <v>44440</v>
      </c>
      <c r="D32" s="38">
        <v>-4.5393488663692319E-5</v>
      </c>
      <c r="E32" s="38">
        <v>-7.5313288471225669E-5</v>
      </c>
      <c r="F32" s="38">
        <v>-8.6797207045190457E-5</v>
      </c>
      <c r="G32" s="38">
        <v>0</v>
      </c>
    </row>
    <row r="33" spans="2:7" x14ac:dyDescent="0.2">
      <c r="B33" s="19">
        <v>44442</v>
      </c>
      <c r="C33" s="19">
        <v>44441</v>
      </c>
      <c r="D33" s="38">
        <v>9.2978022323171594E-5</v>
      </c>
      <c r="E33" s="38">
        <v>1.878571074884804E-4</v>
      </c>
      <c r="F33" s="38">
        <v>3.327181391354728E-4</v>
      </c>
      <c r="G33" s="38">
        <v>0</v>
      </c>
    </row>
    <row r="34" spans="2:7" x14ac:dyDescent="0.2">
      <c r="B34" s="19">
        <v>44445</v>
      </c>
      <c r="C34" s="19">
        <v>44442</v>
      </c>
      <c r="D34" s="38">
        <v>-2.327480506630029E-6</v>
      </c>
      <c r="E34" s="38">
        <v>1.280749066930216E-5</v>
      </c>
      <c r="F34" s="38">
        <v>-7.2448899173336179E-5</v>
      </c>
      <c r="G34" s="38">
        <v>0</v>
      </c>
    </row>
    <row r="35" spans="2:7" x14ac:dyDescent="0.2">
      <c r="B35" s="19">
        <v>44446</v>
      </c>
      <c r="C35" s="19">
        <v>44445</v>
      </c>
      <c r="D35" s="38">
        <v>1.4528482335311119E-4</v>
      </c>
      <c r="E35" s="38">
        <v>3.2792779962985408E-4</v>
      </c>
      <c r="F35" s="38">
        <v>4.7160200536027191E-4</v>
      </c>
      <c r="G35" s="38">
        <v>-9.9999999999999395E-5</v>
      </c>
    </row>
    <row r="36" spans="2:7" x14ac:dyDescent="0.2">
      <c r="B36" s="19">
        <v>44447</v>
      </c>
      <c r="C36" s="19">
        <v>44446</v>
      </c>
      <c r="D36" s="38">
        <v>5.0442725559637913E-5</v>
      </c>
      <c r="E36" s="38">
        <v>2.3818073587271799E-5</v>
      </c>
      <c r="F36" s="38">
        <v>-1.6793960977117078E-5</v>
      </c>
      <c r="G36" s="38">
        <v>9.9999999999999395E-5</v>
      </c>
    </row>
    <row r="37" spans="2:7" x14ac:dyDescent="0.2">
      <c r="B37" s="19">
        <v>44448</v>
      </c>
      <c r="C37" s="19">
        <v>44447</v>
      </c>
      <c r="D37" s="38">
        <v>-1.3760501761314861E-4</v>
      </c>
      <c r="E37" s="38">
        <v>-2.216505739072129E-4</v>
      </c>
      <c r="F37" s="38">
        <v>-2.370011184962052E-4</v>
      </c>
      <c r="G37" s="38">
        <v>0</v>
      </c>
    </row>
    <row r="38" spans="2:7" x14ac:dyDescent="0.2">
      <c r="B38" s="19">
        <v>44449</v>
      </c>
      <c r="C38" s="19">
        <v>44448</v>
      </c>
      <c r="D38" s="38">
        <v>3.9747705403618903E-5</v>
      </c>
      <c r="E38" s="38">
        <v>6.6000228251344127E-5</v>
      </c>
      <c r="F38" s="38">
        <v>4.7810011380140453E-5</v>
      </c>
      <c r="G38" s="38">
        <v>-9.9999999999999395E-5</v>
      </c>
    </row>
    <row r="39" spans="2:7" x14ac:dyDescent="0.2">
      <c r="B39" s="19">
        <v>44452</v>
      </c>
      <c r="C39" s="19">
        <v>44449</v>
      </c>
      <c r="D39" s="38">
        <v>-2.1829484441216431E-5</v>
      </c>
      <c r="E39" s="38">
        <v>9.9808735930517756E-6</v>
      </c>
      <c r="F39" s="38">
        <v>5.1798844379411478E-5</v>
      </c>
      <c r="G39" s="38">
        <v>0</v>
      </c>
    </row>
    <row r="40" spans="2:7" x14ac:dyDescent="0.2">
      <c r="B40" s="19">
        <v>44453</v>
      </c>
      <c r="C40" s="19">
        <v>44452</v>
      </c>
      <c r="D40" s="38">
        <v>-3.1743265883050688E-5</v>
      </c>
      <c r="E40" s="38">
        <v>-3.535892969997248E-6</v>
      </c>
      <c r="F40" s="38">
        <v>2.5137529611161079E-5</v>
      </c>
      <c r="G40" s="38">
        <v>-2.000000000000005E-4</v>
      </c>
    </row>
    <row r="41" spans="2:7" x14ac:dyDescent="0.2">
      <c r="B41" s="19">
        <v>44454</v>
      </c>
      <c r="C41" s="19">
        <v>44453</v>
      </c>
      <c r="D41" s="38">
        <v>7.4611180644675035E-5</v>
      </c>
      <c r="E41" s="38">
        <v>1.47599763919164E-4</v>
      </c>
      <c r="F41" s="38">
        <v>1.539277221032933E-4</v>
      </c>
      <c r="G41" s="38">
        <v>1.000000000000011E-4</v>
      </c>
    </row>
    <row r="42" spans="2:7" x14ac:dyDescent="0.2">
      <c r="B42" s="19">
        <v>44455</v>
      </c>
      <c r="C42" s="19">
        <v>44454</v>
      </c>
      <c r="D42" s="38">
        <v>3.1824023632458578E-5</v>
      </c>
      <c r="E42" s="38">
        <v>6.4192201241253938E-5</v>
      </c>
      <c r="F42" s="38">
        <v>2.503002127287025E-4</v>
      </c>
      <c r="G42" s="38">
        <v>-2.000000000000005E-4</v>
      </c>
    </row>
    <row r="43" spans="2:7" x14ac:dyDescent="0.2">
      <c r="B43" s="19">
        <v>44456</v>
      </c>
      <c r="C43" s="19">
        <v>44455</v>
      </c>
      <c r="D43" s="38">
        <v>6.6216603720890138E-5</v>
      </c>
      <c r="E43" s="38">
        <v>1.316471236213167E-4</v>
      </c>
      <c r="F43" s="38">
        <v>1.6951996836155099E-4</v>
      </c>
      <c r="G43" s="38">
        <v>-1.000000000000011E-4</v>
      </c>
    </row>
    <row r="44" spans="2:7" x14ac:dyDescent="0.2">
      <c r="B44" s="19">
        <v>44459</v>
      </c>
      <c r="C44" s="19">
        <v>44456</v>
      </c>
      <c r="D44" s="38">
        <v>-2.0208497332240089E-4</v>
      </c>
      <c r="E44" s="38">
        <v>-3.0185701060927468E-4</v>
      </c>
      <c r="F44" s="38">
        <v>-3.410181756794816E-4</v>
      </c>
      <c r="G44" s="38">
        <v>2.000000000000005E-4</v>
      </c>
    </row>
    <row r="45" spans="2:7" x14ac:dyDescent="0.2">
      <c r="B45" s="19">
        <v>44460</v>
      </c>
      <c r="C45" s="19">
        <v>44459</v>
      </c>
      <c r="D45" s="38">
        <v>-1.057893548969159E-5</v>
      </c>
      <c r="E45" s="38">
        <v>-1.074933676785553E-4</v>
      </c>
      <c r="F45" s="38">
        <v>-2.11467964093881E-4</v>
      </c>
      <c r="G45" s="38">
        <v>-9.9999999999999395E-5</v>
      </c>
    </row>
    <row r="46" spans="2:7" x14ac:dyDescent="0.2">
      <c r="B46" s="19">
        <v>44461</v>
      </c>
      <c r="C46" s="19">
        <v>44460</v>
      </c>
      <c r="D46" s="38">
        <v>6.5605819584014201E-5</v>
      </c>
      <c r="E46" s="38">
        <v>1.2225473139197609E-4</v>
      </c>
      <c r="F46" s="38">
        <v>1.3960688604068401E-4</v>
      </c>
      <c r="G46" s="38">
        <v>9.9999999999999395E-5</v>
      </c>
    </row>
    <row r="47" spans="2:7" x14ac:dyDescent="0.2">
      <c r="B47" s="19">
        <v>44462</v>
      </c>
      <c r="C47" s="19">
        <v>44461</v>
      </c>
      <c r="D47" s="38">
        <v>1.683486138906783E-4</v>
      </c>
      <c r="E47" s="38">
        <v>4.492221197301919E-4</v>
      </c>
      <c r="F47" s="38">
        <v>5.0105162068265346E-4</v>
      </c>
      <c r="G47" s="38">
        <v>1.000000000000011E-4</v>
      </c>
    </row>
    <row r="48" spans="2:7" x14ac:dyDescent="0.2">
      <c r="B48" s="19">
        <v>44463</v>
      </c>
      <c r="C48" s="19">
        <v>44462</v>
      </c>
      <c r="D48" s="38">
        <v>1.2919229554698731E-4</v>
      </c>
      <c r="E48" s="38">
        <v>2.8673813200492688E-4</v>
      </c>
      <c r="F48" s="38">
        <v>5.2937104736678004E-4</v>
      </c>
      <c r="G48" s="38">
        <v>-2.000000000000005E-4</v>
      </c>
    </row>
    <row r="49" spans="2:7" x14ac:dyDescent="0.2">
      <c r="B49" s="19">
        <v>44466</v>
      </c>
      <c r="C49" s="19">
        <v>44463</v>
      </c>
      <c r="D49" s="38">
        <v>3.468798329639769E-6</v>
      </c>
      <c r="E49" s="38">
        <v>5.7401757639846153E-5</v>
      </c>
      <c r="F49" s="38">
        <v>-8.912369912681458E-6</v>
      </c>
      <c r="G49" s="38">
        <v>-1.000000000000011E-4</v>
      </c>
    </row>
    <row r="50" spans="2:7" x14ac:dyDescent="0.2">
      <c r="B50" s="19">
        <v>44467</v>
      </c>
      <c r="C50" s="19">
        <v>44466</v>
      </c>
      <c r="D50" s="38">
        <v>9.178705702442367E-5</v>
      </c>
      <c r="E50" s="38">
        <v>2.8393273888381593E-4</v>
      </c>
      <c r="F50" s="38">
        <v>4.0741192096400243E-4</v>
      </c>
      <c r="G50" s="38">
        <v>-1.9999999999999711E-4</v>
      </c>
    </row>
    <row r="51" spans="2:7" x14ac:dyDescent="0.2">
      <c r="B51" s="19">
        <v>44468</v>
      </c>
      <c r="C51" s="19">
        <v>44467</v>
      </c>
      <c r="D51" s="38">
        <v>-1.3091859183841581E-4</v>
      </c>
      <c r="E51" s="38">
        <v>-3.3318244387297869E-4</v>
      </c>
      <c r="F51" s="38">
        <v>-4.500720728342956E-4</v>
      </c>
      <c r="G51" s="38">
        <v>9.999999999999766E-5</v>
      </c>
    </row>
    <row r="52" spans="2:7" x14ac:dyDescent="0.2">
      <c r="B52" s="19">
        <v>44469</v>
      </c>
      <c r="C52" s="19">
        <v>44468</v>
      </c>
      <c r="D52" s="38">
        <v>6.5170790653552857E-5</v>
      </c>
      <c r="E52" s="38">
        <v>2.6688132285166821E-4</v>
      </c>
      <c r="F52" s="38">
        <v>3.8581762125539771E-4</v>
      </c>
      <c r="G52" s="38">
        <v>0</v>
      </c>
    </row>
    <row r="53" spans="2:7" x14ac:dyDescent="0.2">
      <c r="B53" s="19">
        <v>44470</v>
      </c>
      <c r="C53" s="19">
        <v>44469</v>
      </c>
      <c r="D53" s="38">
        <v>-2.0022593527595049E-4</v>
      </c>
      <c r="E53" s="38">
        <v>-3.8639423659279909E-4</v>
      </c>
      <c r="F53" s="38">
        <v>-4.4052109416651051E-4</v>
      </c>
      <c r="G53" s="38">
        <v>9.9999999999999395E-5</v>
      </c>
    </row>
    <row r="54" spans="2:7" x14ac:dyDescent="0.2">
      <c r="B54" s="19">
        <v>44473</v>
      </c>
      <c r="C54" s="19">
        <v>44470</v>
      </c>
      <c r="D54" s="38">
        <v>4.7626613726636617E-5</v>
      </c>
      <c r="E54" s="38">
        <v>1.6013202564668221E-4</v>
      </c>
      <c r="F54" s="38">
        <v>2.9681710669811952E-4</v>
      </c>
      <c r="G54" s="38">
        <v>0</v>
      </c>
    </row>
    <row r="55" spans="2:7" x14ac:dyDescent="0.2">
      <c r="B55" s="19">
        <v>44474</v>
      </c>
      <c r="C55" s="19">
        <v>44473</v>
      </c>
      <c r="D55" s="38">
        <v>-1.496216600069787E-5</v>
      </c>
      <c r="E55" s="38">
        <v>-2.137373116185837E-5</v>
      </c>
      <c r="F55" s="38">
        <v>5.2953777408815171E-5</v>
      </c>
      <c r="G55" s="38">
        <v>0</v>
      </c>
    </row>
    <row r="56" spans="2:7" x14ac:dyDescent="0.2">
      <c r="B56" s="19">
        <v>44475</v>
      </c>
      <c r="C56" s="19">
        <v>44474</v>
      </c>
      <c r="D56" s="38">
        <v>8.4325910757303453E-5</v>
      </c>
      <c r="E56" s="38">
        <v>1.2680135095616529E-4</v>
      </c>
      <c r="F56" s="38">
        <v>1.0461314735137339E-4</v>
      </c>
      <c r="G56" s="38">
        <v>1.000000000000011E-4</v>
      </c>
    </row>
    <row r="57" spans="2:7" x14ac:dyDescent="0.2">
      <c r="B57" s="19">
        <v>44476</v>
      </c>
      <c r="C57" s="19">
        <v>44475</v>
      </c>
      <c r="D57" s="38">
        <v>-7.6832269592970112E-5</v>
      </c>
      <c r="E57" s="38">
        <v>-5.4038555380123143E-5</v>
      </c>
      <c r="F57" s="38">
        <v>3.7468030689189391E-5</v>
      </c>
      <c r="G57" s="38">
        <v>9.9999999999999395E-5</v>
      </c>
    </row>
    <row r="58" spans="2:7" x14ac:dyDescent="0.2">
      <c r="B58" s="19">
        <v>44477</v>
      </c>
      <c r="C58" s="19">
        <v>44476</v>
      </c>
      <c r="D58" s="38">
        <v>8.5697267426811628E-5</v>
      </c>
      <c r="E58" s="38">
        <v>2.133946210881943E-4</v>
      </c>
      <c r="F58" s="38">
        <v>2.9421291746490659E-4</v>
      </c>
      <c r="G58" s="38">
        <v>-2.000000000000005E-4</v>
      </c>
    </row>
    <row r="59" spans="2:7" x14ac:dyDescent="0.2">
      <c r="B59" s="19">
        <v>44480</v>
      </c>
      <c r="C59" s="19">
        <v>44477</v>
      </c>
      <c r="D59" s="38">
        <v>1.6483314695627411E-4</v>
      </c>
      <c r="E59" s="38">
        <v>2.9897222869685458E-4</v>
      </c>
      <c r="F59" s="38">
        <v>3.5009431042236637E-4</v>
      </c>
      <c r="G59" s="38">
        <v>3.0000000000000171E-4</v>
      </c>
    </row>
    <row r="60" spans="2:7" x14ac:dyDescent="0.2">
      <c r="B60" s="19">
        <v>44481</v>
      </c>
      <c r="C60" s="19">
        <v>44480</v>
      </c>
      <c r="D60" s="38">
        <v>1.1261835622084539E-4</v>
      </c>
      <c r="E60" s="38">
        <v>1.968892832703607E-4</v>
      </c>
      <c r="F60" s="38">
        <v>1.637229180988742E-4</v>
      </c>
      <c r="G60" s="38">
        <v>9.9999999999999395E-5</v>
      </c>
    </row>
    <row r="61" spans="2:7" x14ac:dyDescent="0.2">
      <c r="B61" s="19">
        <v>44482</v>
      </c>
      <c r="C61" s="19">
        <v>44481</v>
      </c>
      <c r="D61" s="38">
        <v>8.71102636350405E-6</v>
      </c>
      <c r="E61" s="38">
        <v>-6.5174667465335047E-5</v>
      </c>
      <c r="F61" s="38">
        <v>-3.0701901119134961E-4</v>
      </c>
      <c r="G61" s="38">
        <v>9.9999999999999395E-5</v>
      </c>
    </row>
    <row r="62" spans="2:7" x14ac:dyDescent="0.2">
      <c r="B62" s="19">
        <v>44483</v>
      </c>
      <c r="C62" s="19">
        <v>44482</v>
      </c>
      <c r="D62" s="38">
        <v>-1.586644151872572E-4</v>
      </c>
      <c r="E62" s="38">
        <v>-3.3818071680768129E-4</v>
      </c>
      <c r="F62" s="38">
        <v>-4.6038050631976198E-4</v>
      </c>
      <c r="G62" s="38">
        <v>-1.9999999999999879E-4</v>
      </c>
    </row>
    <row r="63" spans="2:7" x14ac:dyDescent="0.2">
      <c r="B63" s="19">
        <v>44484</v>
      </c>
      <c r="C63" s="19">
        <v>44483</v>
      </c>
      <c r="D63" s="38">
        <v>8.9306866624596672E-5</v>
      </c>
      <c r="E63" s="38">
        <v>1.8343118219710239E-4</v>
      </c>
      <c r="F63" s="38">
        <v>1.8668563486488049E-4</v>
      </c>
      <c r="G63" s="38">
        <v>-1.000000000000011E-4</v>
      </c>
    </row>
    <row r="64" spans="2:7" x14ac:dyDescent="0.2">
      <c r="B64" s="19">
        <v>44487</v>
      </c>
      <c r="C64" s="19">
        <v>44484</v>
      </c>
      <c r="D64" s="38">
        <v>3.1574556119739068E-4</v>
      </c>
      <c r="E64" s="38">
        <v>3.6204057443320418E-4</v>
      </c>
      <c r="F64" s="38">
        <v>1.531334098625603E-4</v>
      </c>
      <c r="G64" s="38">
        <v>0</v>
      </c>
    </row>
    <row r="65" spans="2:7" x14ac:dyDescent="0.2">
      <c r="B65" s="19">
        <v>44488</v>
      </c>
      <c r="C65" s="19">
        <v>44487</v>
      </c>
      <c r="D65" s="38">
        <v>2.6534775538470008E-4</v>
      </c>
      <c r="E65" s="38">
        <v>4.8753743113127528E-4</v>
      </c>
      <c r="F65" s="38">
        <v>4.412069729161594E-4</v>
      </c>
      <c r="G65" s="38">
        <v>2.000000000000005E-4</v>
      </c>
    </row>
    <row r="66" spans="2:7" x14ac:dyDescent="0.2">
      <c r="B66" s="19">
        <v>44489</v>
      </c>
      <c r="C66" s="19">
        <v>44488</v>
      </c>
      <c r="D66" s="38">
        <v>-3.1045248835041492E-4</v>
      </c>
      <c r="E66" s="38">
        <v>-4.4596538211271429E-4</v>
      </c>
      <c r="F66" s="38">
        <v>-1.9303091210565179E-4</v>
      </c>
      <c r="G66" s="38">
        <v>-2.000000000000005E-4</v>
      </c>
    </row>
    <row r="67" spans="2:7" x14ac:dyDescent="0.2">
      <c r="B67" s="19">
        <v>44490</v>
      </c>
      <c r="C67" s="19">
        <v>44489</v>
      </c>
      <c r="D67" s="38">
        <v>1.2176945281542299E-4</v>
      </c>
      <c r="E67" s="38">
        <v>3.3144340462186542E-4</v>
      </c>
      <c r="F67" s="38">
        <v>3.1523227828913483E-4</v>
      </c>
      <c r="G67" s="38">
        <v>0</v>
      </c>
    </row>
    <row r="68" spans="2:7" x14ac:dyDescent="0.2">
      <c r="B68" s="19">
        <v>44491</v>
      </c>
      <c r="C68" s="19">
        <v>44490</v>
      </c>
      <c r="D68" s="38">
        <v>1.3121891390330181E-4</v>
      </c>
      <c r="E68" s="38">
        <v>1.2435833514804281E-4</v>
      </c>
      <c r="F68" s="38">
        <v>-5.4483357030674583E-5</v>
      </c>
      <c r="G68" s="38">
        <v>0</v>
      </c>
    </row>
    <row r="69" spans="2:7" x14ac:dyDescent="0.2">
      <c r="B69" s="19">
        <v>44494</v>
      </c>
      <c r="C69" s="19">
        <v>44491</v>
      </c>
      <c r="D69" s="38">
        <v>-1.9737942864655331E-4</v>
      </c>
      <c r="E69" s="38">
        <v>-2.7231910668949148E-4</v>
      </c>
      <c r="F69" s="38">
        <v>-1.958542812334275E-4</v>
      </c>
      <c r="G69" s="38">
        <v>1.000000000000011E-4</v>
      </c>
    </row>
    <row r="70" spans="2:7" x14ac:dyDescent="0.2">
      <c r="B70" s="19">
        <v>44495</v>
      </c>
      <c r="C70" s="19">
        <v>44494</v>
      </c>
      <c r="D70" s="38">
        <v>-4.6961910213530293E-5</v>
      </c>
      <c r="E70" s="38">
        <v>-7.1696974251320676E-5</v>
      </c>
      <c r="F70" s="38">
        <v>-1.3890322217079189E-4</v>
      </c>
      <c r="G70" s="38">
        <v>9.9999999999999395E-5</v>
      </c>
    </row>
    <row r="71" spans="2:7" x14ac:dyDescent="0.2">
      <c r="B71" s="19">
        <v>44496</v>
      </c>
      <c r="C71" s="19">
        <v>44495</v>
      </c>
      <c r="D71" s="38">
        <v>-6.063684120671993E-5</v>
      </c>
      <c r="E71" s="38">
        <v>-2.331404976781085E-4</v>
      </c>
      <c r="F71" s="38">
        <v>-5.2978137153305129E-4</v>
      </c>
      <c r="G71" s="38">
        <v>0</v>
      </c>
    </row>
    <row r="72" spans="2:7" x14ac:dyDescent="0.2">
      <c r="B72" s="19">
        <v>44497</v>
      </c>
      <c r="C72" s="19">
        <v>44496</v>
      </c>
      <c r="D72" s="38">
        <v>2.7737632335156099E-4</v>
      </c>
      <c r="E72" s="38">
        <v>3.9233358515059722E-4</v>
      </c>
      <c r="F72" s="38">
        <v>2.1925603197866719E-4</v>
      </c>
      <c r="G72" s="38">
        <v>2.000000000000005E-4</v>
      </c>
    </row>
    <row r="73" spans="2:7" x14ac:dyDescent="0.2">
      <c r="B73" s="19">
        <v>44498</v>
      </c>
      <c r="C73" s="19">
        <v>44497</v>
      </c>
      <c r="D73" s="38">
        <v>3.6260099379057612E-4</v>
      </c>
      <c r="E73" s="38">
        <v>7.2145458414064412E-4</v>
      </c>
      <c r="F73" s="38">
        <v>7.1403171527768545E-4</v>
      </c>
      <c r="G73" s="38">
        <v>-1.000000000000011E-4</v>
      </c>
    </row>
    <row r="74" spans="2:7" x14ac:dyDescent="0.2">
      <c r="B74" s="19">
        <v>44501</v>
      </c>
      <c r="C74" s="19">
        <v>44498</v>
      </c>
      <c r="D74" s="38">
        <v>-6.4182689307872368E-5</v>
      </c>
      <c r="E74" s="38">
        <v>-1.7175322807169409E-4</v>
      </c>
      <c r="F74" s="38">
        <v>-1.641085210241577E-4</v>
      </c>
      <c r="G74" s="38">
        <v>0</v>
      </c>
    </row>
    <row r="75" spans="2:7" x14ac:dyDescent="0.2">
      <c r="B75" s="19">
        <v>44502</v>
      </c>
      <c r="C75" s="19">
        <v>44501</v>
      </c>
      <c r="D75" s="38">
        <v>-6.7930894731917449E-4</v>
      </c>
      <c r="E75" s="38">
        <v>-8.7856112801602652E-4</v>
      </c>
      <c r="F75" s="38">
        <v>-6.208893653503368E-4</v>
      </c>
      <c r="G75" s="38">
        <v>0</v>
      </c>
    </row>
    <row r="76" spans="2:7" x14ac:dyDescent="0.2">
      <c r="B76" s="19">
        <v>44503</v>
      </c>
      <c r="C76" s="19">
        <v>44502</v>
      </c>
      <c r="D76" s="38">
        <v>7.2998950632893918E-5</v>
      </c>
      <c r="E76" s="38">
        <v>7.3337693643229368E-5</v>
      </c>
      <c r="F76" s="38">
        <v>-2.021554580546427E-5</v>
      </c>
      <c r="G76" s="38">
        <v>1.000000000000011E-4</v>
      </c>
    </row>
    <row r="77" spans="2:7" x14ac:dyDescent="0.2">
      <c r="B77" s="19">
        <v>44504</v>
      </c>
      <c r="C77" s="19">
        <v>44503</v>
      </c>
      <c r="D77" s="38">
        <v>-7.3568266662227873E-4</v>
      </c>
      <c r="E77" s="38">
        <v>-9.1014865614622974E-4</v>
      </c>
      <c r="F77" s="38">
        <v>-6.495019645674561E-4</v>
      </c>
      <c r="G77" s="38">
        <v>-2.9999999999999992E-4</v>
      </c>
    </row>
    <row r="78" spans="2:7" x14ac:dyDescent="0.2">
      <c r="B78" s="19">
        <v>44505</v>
      </c>
      <c r="C78" s="19">
        <v>44504</v>
      </c>
      <c r="D78" s="38">
        <v>-6.7905851830794318E-5</v>
      </c>
      <c r="E78" s="38">
        <v>-2.7878569940109621E-4</v>
      </c>
      <c r="F78" s="38">
        <v>-5.0737255678728627E-4</v>
      </c>
      <c r="G78" s="38">
        <v>9.9999999999999395E-5</v>
      </c>
    </row>
    <row r="79" spans="2:7" x14ac:dyDescent="0.2">
      <c r="B79" s="19">
        <v>44508</v>
      </c>
      <c r="C79" s="19">
        <v>44505</v>
      </c>
      <c r="D79" s="38">
        <v>-2.1181029588419709E-5</v>
      </c>
      <c r="E79" s="38">
        <v>-2.392082503654101E-5</v>
      </c>
      <c r="F79" s="38">
        <v>1.4507562917083191E-4</v>
      </c>
      <c r="G79" s="38">
        <v>9.9999999999999395E-5</v>
      </c>
    </row>
    <row r="80" spans="2:7" x14ac:dyDescent="0.2">
      <c r="B80" s="19">
        <v>44509</v>
      </c>
      <c r="C80" s="19">
        <v>44508</v>
      </c>
      <c r="D80" s="38">
        <v>-1.3960449478192871E-4</v>
      </c>
      <c r="E80" s="38">
        <v>-7.1011896878432797E-5</v>
      </c>
      <c r="F80" s="38">
        <v>-3.1719003718454252E-4</v>
      </c>
      <c r="G80" s="38">
        <v>-1.9999999999999879E-4</v>
      </c>
    </row>
    <row r="81" spans="2:7" x14ac:dyDescent="0.2">
      <c r="B81" s="19">
        <v>44510</v>
      </c>
      <c r="C81" s="19">
        <v>44509</v>
      </c>
      <c r="D81" s="38">
        <v>9.7896044524459734E-5</v>
      </c>
      <c r="E81" s="38">
        <v>3.0394388622811101E-4</v>
      </c>
      <c r="F81" s="38">
        <v>2.5042390728692061E-4</v>
      </c>
      <c r="G81" s="38">
        <v>1.9999999999999879E-4</v>
      </c>
    </row>
    <row r="82" spans="2:7" x14ac:dyDescent="0.2">
      <c r="B82" s="19">
        <v>44511</v>
      </c>
      <c r="C82" s="19">
        <v>44510</v>
      </c>
      <c r="D82" s="38">
        <v>1.5257570816372409E-4</v>
      </c>
      <c r="E82" s="38">
        <v>3.3670290185265888E-4</v>
      </c>
      <c r="F82" s="38">
        <v>4.1108599498576939E-4</v>
      </c>
      <c r="G82" s="38">
        <v>0</v>
      </c>
    </row>
    <row r="83" spans="2:7" x14ac:dyDescent="0.2">
      <c r="B83" s="19">
        <v>44512</v>
      </c>
      <c r="C83" s="19">
        <v>44511</v>
      </c>
      <c r="D83" s="38">
        <v>-3.4870169356368639E-4</v>
      </c>
      <c r="E83" s="38">
        <v>-3.5941078557649887E-4</v>
      </c>
      <c r="F83" s="38">
        <v>-2.6772425297298073E-4</v>
      </c>
      <c r="G83" s="38">
        <v>1.000000000000011E-4</v>
      </c>
    </row>
    <row r="84" spans="2:7" x14ac:dyDescent="0.2">
      <c r="B84" s="19">
        <v>44515</v>
      </c>
      <c r="C84" s="19">
        <v>44512</v>
      </c>
      <c r="D84" s="38">
        <v>1.5462335457078899E-4</v>
      </c>
      <c r="E84" s="38">
        <v>1.3367388754148991E-4</v>
      </c>
      <c r="F84" s="38">
        <v>7.8435922739301597E-5</v>
      </c>
      <c r="G84" s="38">
        <v>2.000000000000005E-4</v>
      </c>
    </row>
    <row r="85" spans="2:7" x14ac:dyDescent="0.2">
      <c r="B85" s="19">
        <v>44516</v>
      </c>
      <c r="C85" s="19">
        <v>44515</v>
      </c>
      <c r="D85" s="38">
        <v>-2.0680537574587629E-4</v>
      </c>
      <c r="E85" s="38">
        <v>-8.3883875245795853E-5</v>
      </c>
      <c r="F85" s="38">
        <v>6.9367853521234025E-5</v>
      </c>
      <c r="G85" s="38">
        <v>-3.4694469519536142E-18</v>
      </c>
    </row>
    <row r="86" spans="2:7" x14ac:dyDescent="0.2">
      <c r="B86" s="19">
        <v>44517</v>
      </c>
      <c r="C86" s="19">
        <v>44516</v>
      </c>
      <c r="D86" s="38">
        <v>3.5319131592985442E-5</v>
      </c>
      <c r="E86" s="38">
        <v>1.3532521391107499E-6</v>
      </c>
      <c r="F86" s="38">
        <v>-2.9969519362200731E-5</v>
      </c>
      <c r="G86" s="38">
        <v>3.0000000000000339E-4</v>
      </c>
    </row>
    <row r="87" spans="2:7" x14ac:dyDescent="0.2">
      <c r="B87" s="19">
        <v>44518</v>
      </c>
      <c r="C87" s="19">
        <v>44517</v>
      </c>
      <c r="D87" s="38">
        <v>-9.9279558374189628E-5</v>
      </c>
      <c r="E87" s="38">
        <v>-7.383978646402934E-5</v>
      </c>
      <c r="F87" s="38">
        <v>-1.8721672563340799E-4</v>
      </c>
      <c r="G87" s="38">
        <v>9.999999999999766E-5</v>
      </c>
    </row>
    <row r="88" spans="2:7" x14ac:dyDescent="0.2">
      <c r="B88" s="19">
        <v>44519</v>
      </c>
      <c r="C88" s="19">
        <v>44518</v>
      </c>
      <c r="D88" s="38">
        <v>-2.9908944588279661E-4</v>
      </c>
      <c r="E88" s="38">
        <v>-6.068099491839795E-4</v>
      </c>
      <c r="F88" s="38">
        <v>-7.0403630425134971E-4</v>
      </c>
      <c r="G88" s="38">
        <v>2.0000000000000231E-4</v>
      </c>
    </row>
    <row r="89" spans="2:7" x14ac:dyDescent="0.2">
      <c r="B89" s="19">
        <v>44522</v>
      </c>
      <c r="C89" s="19">
        <v>44519</v>
      </c>
      <c r="D89" s="38">
        <v>8.6380777229472239E-5</v>
      </c>
      <c r="E89" s="38">
        <v>8.0568927118753776E-5</v>
      </c>
      <c r="F89" s="38">
        <v>7.9269849313470114E-5</v>
      </c>
      <c r="G89" s="38">
        <v>0</v>
      </c>
    </row>
    <row r="90" spans="2:7" x14ac:dyDescent="0.2">
      <c r="B90" s="19">
        <v>44523</v>
      </c>
      <c r="C90" s="19">
        <v>44522</v>
      </c>
      <c r="D90" s="38">
        <v>2.0039521809463341E-4</v>
      </c>
      <c r="E90" s="38">
        <v>6.0720410608613214E-4</v>
      </c>
      <c r="F90" s="38">
        <v>8.255894722969748E-4</v>
      </c>
      <c r="G90" s="38">
        <v>9.9999999999999395E-5</v>
      </c>
    </row>
    <row r="91" spans="2:7" x14ac:dyDescent="0.2">
      <c r="B91" s="19">
        <v>44524</v>
      </c>
      <c r="C91" s="19">
        <v>44523</v>
      </c>
      <c r="D91" s="38">
        <v>-7.1176993640698419E-5</v>
      </c>
      <c r="E91" s="38">
        <v>5.7249459860400302E-5</v>
      </c>
      <c r="F91" s="38">
        <v>2.7630616791954679E-4</v>
      </c>
      <c r="G91" s="38">
        <v>-1.000000000000011E-4</v>
      </c>
    </row>
    <row r="92" spans="2:7" x14ac:dyDescent="0.2">
      <c r="B92" s="19">
        <v>44525</v>
      </c>
      <c r="C92" s="19">
        <v>44524</v>
      </c>
      <c r="D92" s="38">
        <v>1.9947752752223419E-4</v>
      </c>
      <c r="E92" s="38">
        <v>-4.6815868041858409E-5</v>
      </c>
      <c r="F92" s="38">
        <v>-3.7794207854578319E-4</v>
      </c>
      <c r="G92" s="38">
        <v>3.0000000000000171E-4</v>
      </c>
    </row>
    <row r="93" spans="2:7" x14ac:dyDescent="0.2">
      <c r="B93" s="19">
        <v>44526</v>
      </c>
      <c r="C93" s="19">
        <v>44525</v>
      </c>
      <c r="D93" s="38">
        <v>-2.987363743751064E-4</v>
      </c>
      <c r="E93" s="38">
        <v>-6.599629925318996E-4</v>
      </c>
      <c r="F93" s="38">
        <v>-7.9795552564187154E-4</v>
      </c>
      <c r="G93" s="38">
        <v>8.9999999999999976E-4</v>
      </c>
    </row>
    <row r="94" spans="2:7" x14ac:dyDescent="0.2">
      <c r="B94" s="19">
        <v>44529</v>
      </c>
      <c r="C94" s="19">
        <v>44526</v>
      </c>
      <c r="D94" s="38">
        <v>2.2871515943820311E-4</v>
      </c>
      <c r="E94" s="38">
        <v>2.68410965980714E-4</v>
      </c>
      <c r="F94" s="38">
        <v>3.0882268946008223E-4</v>
      </c>
      <c r="G94" s="38">
        <v>9.9999999999999395E-5</v>
      </c>
    </row>
    <row r="95" spans="2:7" x14ac:dyDescent="0.2">
      <c r="B95" s="19">
        <v>44530</v>
      </c>
      <c r="C95" s="19">
        <v>44529</v>
      </c>
      <c r="D95" s="38">
        <v>-1.4521910092159951E-4</v>
      </c>
      <c r="E95" s="38">
        <v>-3.6964309035296671E-4</v>
      </c>
      <c r="F95" s="38">
        <v>-6.0833600645692886E-4</v>
      </c>
      <c r="G95" s="38">
        <v>2.9999999999999992E-4</v>
      </c>
    </row>
    <row r="96" spans="2:7" x14ac:dyDescent="0.2">
      <c r="B96" s="19">
        <v>44531</v>
      </c>
      <c r="C96" s="19">
        <v>44530</v>
      </c>
      <c r="D96" s="38">
        <v>4.4648425935973549E-4</v>
      </c>
      <c r="E96" s="38">
        <v>5.6620009167751995E-4</v>
      </c>
      <c r="F96" s="38">
        <v>2.8165765383731962E-4</v>
      </c>
      <c r="G96" s="38">
        <v>-3.9999999999999931E-4</v>
      </c>
    </row>
    <row r="97" spans="2:7" x14ac:dyDescent="0.2">
      <c r="B97" s="19">
        <v>44532</v>
      </c>
      <c r="C97" s="19">
        <v>44531</v>
      </c>
      <c r="D97" s="38">
        <v>-2.6348656548216658E-4</v>
      </c>
      <c r="E97" s="38">
        <v>-4.416279618577601E-4</v>
      </c>
      <c r="F97" s="38">
        <v>-4.5226950333044242E-4</v>
      </c>
      <c r="G97" s="38">
        <v>-2.000000000000005E-4</v>
      </c>
    </row>
    <row r="98" spans="2:7" x14ac:dyDescent="0.2">
      <c r="B98" s="19">
        <v>44533</v>
      </c>
      <c r="C98" s="19">
        <v>44532</v>
      </c>
      <c r="D98" s="38">
        <v>1.9291699536148901E-4</v>
      </c>
      <c r="E98" s="38">
        <v>1.8346012465384959E-4</v>
      </c>
      <c r="F98" s="38">
        <v>1.365123210609375E-4</v>
      </c>
      <c r="G98" s="38">
        <v>-2.000000000000005E-4</v>
      </c>
    </row>
    <row r="99" spans="2:7" x14ac:dyDescent="0.2">
      <c r="B99" s="19">
        <v>44536</v>
      </c>
      <c r="C99" s="19">
        <v>44533</v>
      </c>
      <c r="D99" s="38">
        <v>-2.4393775158833109E-5</v>
      </c>
      <c r="E99" s="38">
        <v>-2.1973665828389779E-4</v>
      </c>
      <c r="F99" s="38">
        <v>-2.2948741731599641E-4</v>
      </c>
      <c r="G99" s="38">
        <v>-2.000000000000005E-4</v>
      </c>
    </row>
    <row r="100" spans="2:7" x14ac:dyDescent="0.2">
      <c r="B100" s="19">
        <v>44537</v>
      </c>
      <c r="C100" s="19">
        <v>44536</v>
      </c>
      <c r="D100" s="38">
        <v>2.5857091228898439E-4</v>
      </c>
      <c r="E100" s="38">
        <v>2.8211238631445449E-4</v>
      </c>
      <c r="F100" s="38">
        <v>1.3840248671017621E-4</v>
      </c>
      <c r="G100" s="38">
        <v>-9.9999999999999395E-5</v>
      </c>
    </row>
    <row r="101" spans="2:7" x14ac:dyDescent="0.2">
      <c r="B101" s="19">
        <v>44538</v>
      </c>
      <c r="C101" s="19">
        <v>44537</v>
      </c>
      <c r="D101" s="38">
        <v>2.0485727472197449E-4</v>
      </c>
      <c r="E101" s="38">
        <v>4.1257886852597882E-4</v>
      </c>
      <c r="F101" s="38">
        <v>4.3069475061046969E-4</v>
      </c>
      <c r="G101" s="38">
        <v>-1.000000000000011E-4</v>
      </c>
    </row>
    <row r="102" spans="2:7" x14ac:dyDescent="0.2">
      <c r="B102" s="19">
        <v>44539</v>
      </c>
      <c r="C102" s="19">
        <v>44538</v>
      </c>
      <c r="D102" s="38">
        <v>-1.5045726269371449E-4</v>
      </c>
      <c r="E102" s="38">
        <v>-4.0802540032870618E-4</v>
      </c>
      <c r="F102" s="38">
        <v>-2.8459095704470822E-4</v>
      </c>
      <c r="G102" s="38">
        <v>-2.9999999999999992E-4</v>
      </c>
    </row>
    <row r="103" spans="2:7" x14ac:dyDescent="0.2">
      <c r="B103" s="19">
        <v>44540</v>
      </c>
      <c r="C103" s="19">
        <v>44539</v>
      </c>
      <c r="D103" s="38">
        <v>1.048277967997001E-4</v>
      </c>
      <c r="E103" s="38">
        <v>8.465462528468165E-5</v>
      </c>
      <c r="F103" s="38">
        <v>7.740157203591988E-5</v>
      </c>
      <c r="G103" s="38">
        <v>1.000000000000011E-4</v>
      </c>
    </row>
    <row r="104" spans="2:7" x14ac:dyDescent="0.2">
      <c r="B104" s="19">
        <v>44543</v>
      </c>
      <c r="C104" s="19">
        <v>44540</v>
      </c>
      <c r="D104" s="38">
        <v>8.9453677251181106E-5</v>
      </c>
      <c r="E104" s="38">
        <v>-1.456432337897471E-4</v>
      </c>
      <c r="F104" s="38">
        <v>-1.8486737765922769E-4</v>
      </c>
      <c r="G104" s="38">
        <v>9.9999999999999395E-5</v>
      </c>
    </row>
    <row r="105" spans="2:7" x14ac:dyDescent="0.2">
      <c r="B105" s="19">
        <v>44545</v>
      </c>
      <c r="C105" s="19">
        <v>44543</v>
      </c>
      <c r="D105" s="38">
        <v>1.060986773504169E-4</v>
      </c>
      <c r="E105" s="38">
        <v>1.4392850878115849E-4</v>
      </c>
      <c r="F105" s="38">
        <v>1.4926567346055421E-4</v>
      </c>
      <c r="G105" s="38">
        <v>0</v>
      </c>
    </row>
    <row r="106" spans="2:7" x14ac:dyDescent="0.2">
      <c r="B106" s="19">
        <v>44546</v>
      </c>
      <c r="C106" s="19">
        <v>44545</v>
      </c>
      <c r="D106" s="38">
        <v>-8.521647910413304E-5</v>
      </c>
      <c r="E106" s="38">
        <v>-3.6026264321904408E-5</v>
      </c>
      <c r="F106" s="38">
        <v>1.182793838242538E-4</v>
      </c>
      <c r="G106" s="38">
        <v>-9.9999999999999395E-5</v>
      </c>
    </row>
    <row r="107" spans="2:7" x14ac:dyDescent="0.2">
      <c r="B107" s="19">
        <v>44547</v>
      </c>
      <c r="C107" s="19">
        <v>44546</v>
      </c>
      <c r="D107" s="38">
        <v>-2.120181931176959E-4</v>
      </c>
      <c r="E107" s="38">
        <v>-2.3853856963577339E-4</v>
      </c>
      <c r="F107" s="38">
        <v>-2.8504787051008678E-4</v>
      </c>
      <c r="G107" s="38">
        <v>-2.000000000000005E-4</v>
      </c>
    </row>
    <row r="108" spans="2:7" x14ac:dyDescent="0.2">
      <c r="B108" s="19">
        <v>44550</v>
      </c>
      <c r="C108" s="19">
        <v>44547</v>
      </c>
      <c r="D108" s="38">
        <v>-3.9933155753736967E-5</v>
      </c>
      <c r="E108" s="38">
        <v>-3.0668394636985598E-5</v>
      </c>
      <c r="F108" s="38">
        <v>8.8354290003578133E-5</v>
      </c>
      <c r="G108" s="38">
        <v>2.0000000000000231E-4</v>
      </c>
    </row>
    <row r="109" spans="2:7" x14ac:dyDescent="0.2">
      <c r="B109" s="19">
        <v>44551</v>
      </c>
      <c r="C109" s="19">
        <v>44550</v>
      </c>
      <c r="D109" s="38">
        <v>1.6546330883679489E-4</v>
      </c>
      <c r="E109" s="38">
        <v>3.7083521797002481E-4</v>
      </c>
      <c r="F109" s="38">
        <v>5.3165019663478771E-4</v>
      </c>
      <c r="G109" s="38">
        <v>-2.0000000000000231E-4</v>
      </c>
    </row>
    <row r="110" spans="2:7" x14ac:dyDescent="0.2">
      <c r="B110" s="19">
        <v>44552</v>
      </c>
      <c r="C110" s="19">
        <v>44551</v>
      </c>
      <c r="D110" s="38">
        <v>1.285767384460448E-4</v>
      </c>
      <c r="E110" s="38">
        <v>3.5453309437660779E-4</v>
      </c>
      <c r="F110" s="38">
        <v>2.4691824734057299E-4</v>
      </c>
      <c r="G110" s="38">
        <v>-2.000000000000005E-4</v>
      </c>
    </row>
    <row r="111" spans="2:7" x14ac:dyDescent="0.2">
      <c r="B111" s="19">
        <v>44553</v>
      </c>
      <c r="C111" s="19">
        <v>44552</v>
      </c>
      <c r="D111" s="38">
        <v>1.7137802493858399E-4</v>
      </c>
      <c r="E111" s="38">
        <v>2.2016118565324101E-4</v>
      </c>
      <c r="F111" s="38">
        <v>3.352181155281686E-4</v>
      </c>
      <c r="G111" s="38">
        <v>0</v>
      </c>
    </row>
    <row r="112" spans="2:7" x14ac:dyDescent="0.2">
      <c r="B112" s="19">
        <v>44557</v>
      </c>
      <c r="C112" s="19">
        <v>44553</v>
      </c>
      <c r="D112" s="38">
        <v>8.4196390089448514E-5</v>
      </c>
      <c r="E112" s="38">
        <v>1.128632581807306E-4</v>
      </c>
      <c r="F112" s="38">
        <v>6.7384788401554305E-5</v>
      </c>
      <c r="G112" s="38">
        <v>1.7347234759768071E-18</v>
      </c>
    </row>
    <row r="113" spans="2:7" x14ac:dyDescent="0.2">
      <c r="B113" s="19">
        <v>44558</v>
      </c>
      <c r="C113" s="19">
        <v>44557</v>
      </c>
      <c r="D113" s="38">
        <v>5.1548911826322132E-5</v>
      </c>
      <c r="E113" s="38">
        <v>2.9952700506878819E-5</v>
      </c>
      <c r="F113" s="38">
        <v>2.102585795652704E-5</v>
      </c>
      <c r="G113" s="38">
        <v>-9.9999999999999395E-5</v>
      </c>
    </row>
    <row r="114" spans="2:7" x14ac:dyDescent="0.2">
      <c r="B114" s="19">
        <v>44559</v>
      </c>
      <c r="C114" s="19">
        <v>44558</v>
      </c>
      <c r="D114" s="38">
        <v>1.519388828717314E-5</v>
      </c>
      <c r="E114" s="38">
        <v>1.9797572907620089E-4</v>
      </c>
      <c r="F114" s="38">
        <v>3.1258427085631988E-4</v>
      </c>
      <c r="G114" s="38">
        <v>0</v>
      </c>
    </row>
    <row r="115" spans="2:7" x14ac:dyDescent="0.2">
      <c r="B115" s="19">
        <v>44560</v>
      </c>
      <c r="C115" s="19">
        <v>44559</v>
      </c>
      <c r="D115" s="38">
        <v>1.39365089078098E-4</v>
      </c>
      <c r="E115" s="38">
        <v>1.5737779142754871E-4</v>
      </c>
      <c r="F115" s="38">
        <v>1.1957416477941221E-4</v>
      </c>
      <c r="G115" s="38">
        <v>-1.000000000000011E-4</v>
      </c>
    </row>
    <row r="116" spans="2:7" x14ac:dyDescent="0.2">
      <c r="B116" s="19">
        <v>44564</v>
      </c>
      <c r="C116" s="19">
        <v>44560</v>
      </c>
      <c r="D116" s="38">
        <v>2.1022008378977861E-4</v>
      </c>
      <c r="E116" s="38">
        <v>4.0464136070343052E-4</v>
      </c>
      <c r="F116" s="38">
        <v>6.5046561878048239E-4</v>
      </c>
      <c r="G116" s="38">
        <v>1.000000000000011E-4</v>
      </c>
    </row>
    <row r="117" spans="2:7" x14ac:dyDescent="0.2">
      <c r="B117" s="19">
        <v>44565</v>
      </c>
      <c r="C117" s="19">
        <v>44564</v>
      </c>
      <c r="D117" s="38">
        <v>-7.8709736274613917E-5</v>
      </c>
      <c r="E117" s="38">
        <v>3.5063201280034408E-5</v>
      </c>
      <c r="F117" s="38">
        <v>7.2392708818891502E-5</v>
      </c>
      <c r="G117" s="38">
        <v>-2.000000000000005E-4</v>
      </c>
    </row>
    <row r="118" spans="2:7" x14ac:dyDescent="0.2">
      <c r="B118" s="19">
        <v>44566</v>
      </c>
      <c r="C118" s="19">
        <v>44565</v>
      </c>
      <c r="D118" s="38">
        <v>1.6299324277888139E-4</v>
      </c>
      <c r="E118" s="38">
        <v>1.158016796242341E-4</v>
      </c>
      <c r="F118" s="38">
        <v>8.6311007008510465E-5</v>
      </c>
      <c r="G118" s="38">
        <v>-9.9999999999999395E-5</v>
      </c>
    </row>
    <row r="119" spans="2:7" x14ac:dyDescent="0.2">
      <c r="B119" s="19">
        <v>44567</v>
      </c>
      <c r="C119" s="19">
        <v>44566</v>
      </c>
      <c r="D119" s="38">
        <v>1.6275326110882539E-4</v>
      </c>
      <c r="E119" s="38">
        <v>2.3736715568172751E-4</v>
      </c>
      <c r="F119" s="38">
        <v>2.098725008281477E-4</v>
      </c>
      <c r="G119" s="38">
        <v>-2.000000000000005E-4</v>
      </c>
    </row>
    <row r="120" spans="2:7" x14ac:dyDescent="0.2">
      <c r="B120" s="19">
        <v>44568</v>
      </c>
      <c r="C120" s="19">
        <v>44567</v>
      </c>
      <c r="D120" s="38">
        <v>6.1756959276420068E-5</v>
      </c>
      <c r="E120" s="38">
        <v>1.6033615925769651E-4</v>
      </c>
      <c r="F120" s="38">
        <v>1.4684492408663979E-4</v>
      </c>
      <c r="G120" s="38">
        <v>9.9999999999999395E-5</v>
      </c>
    </row>
    <row r="121" spans="2:7" x14ac:dyDescent="0.2">
      <c r="B121" s="19">
        <v>44571</v>
      </c>
      <c r="C121" s="19">
        <v>44568</v>
      </c>
      <c r="D121" s="38">
        <v>1.1546276847214981E-4</v>
      </c>
      <c r="E121" s="38">
        <v>2.035741464069796E-4</v>
      </c>
      <c r="F121" s="38">
        <v>2.5789932566823377E-4</v>
      </c>
      <c r="G121" s="38">
        <v>-9.9999999999999395E-5</v>
      </c>
    </row>
    <row r="122" spans="2:7" x14ac:dyDescent="0.2">
      <c r="B122" s="19">
        <v>44572</v>
      </c>
      <c r="C122" s="19">
        <v>44571</v>
      </c>
      <c r="D122" s="38">
        <v>6.8935329580246778E-5</v>
      </c>
      <c r="E122" s="38">
        <v>7.0569545710199612E-5</v>
      </c>
      <c r="F122" s="38">
        <v>3.9920304109690762E-5</v>
      </c>
      <c r="G122" s="38">
        <v>2.9999999999999818E-4</v>
      </c>
    </row>
    <row r="123" spans="2:7" x14ac:dyDescent="0.2">
      <c r="B123" s="19">
        <v>44573</v>
      </c>
      <c r="C123" s="19">
        <v>44572</v>
      </c>
      <c r="D123" s="38">
        <v>-1.8701009399360499E-4</v>
      </c>
      <c r="E123" s="38">
        <v>-2.4956588301009672E-4</v>
      </c>
      <c r="F123" s="38">
        <v>-2.8747674114212532E-4</v>
      </c>
      <c r="G123" s="38">
        <v>-1.000000000000011E-4</v>
      </c>
    </row>
    <row r="124" spans="2:7" x14ac:dyDescent="0.2">
      <c r="B124" s="19">
        <v>44574</v>
      </c>
      <c r="C124" s="19">
        <v>44573</v>
      </c>
      <c r="D124" s="38">
        <v>4.3731642410853658E-6</v>
      </c>
      <c r="E124" s="38">
        <v>-3.3930855603503142E-5</v>
      </c>
      <c r="F124" s="38">
        <v>-2.310630093713196E-4</v>
      </c>
      <c r="G124" s="38">
        <v>1.000000000000011E-4</v>
      </c>
    </row>
    <row r="125" spans="2:7" x14ac:dyDescent="0.2">
      <c r="B125" s="19">
        <v>44575</v>
      </c>
      <c r="C125" s="19">
        <v>44574</v>
      </c>
      <c r="D125" s="38">
        <v>1.3117423454609039E-5</v>
      </c>
      <c r="E125" s="38">
        <v>1.4528970385581979E-4</v>
      </c>
      <c r="F125" s="38">
        <v>1.883404213732299E-4</v>
      </c>
      <c r="G125" s="38">
        <v>2.000000000000005E-4</v>
      </c>
    </row>
    <row r="126" spans="2:7" x14ac:dyDescent="0.2">
      <c r="B126" s="19">
        <v>44578</v>
      </c>
      <c r="C126" s="19">
        <v>44575</v>
      </c>
      <c r="D126" s="38">
        <v>2.1151350056872531E-4</v>
      </c>
      <c r="E126" s="38">
        <v>3.3376323118130971E-4</v>
      </c>
      <c r="F126" s="38">
        <v>3.4542000998635022E-4</v>
      </c>
      <c r="G126" s="38">
        <v>9.9999999999999395E-5</v>
      </c>
    </row>
    <row r="127" spans="2:7" x14ac:dyDescent="0.2">
      <c r="B127" s="19">
        <v>44579</v>
      </c>
      <c r="C127" s="19">
        <v>44578</v>
      </c>
      <c r="D127" s="38">
        <v>-6.7011264305847675E-5</v>
      </c>
      <c r="E127" s="38">
        <v>-2.9048754995692969E-5</v>
      </c>
      <c r="F127" s="38">
        <v>1.750153451328005E-5</v>
      </c>
      <c r="G127" s="38">
        <v>0</v>
      </c>
    </row>
    <row r="128" spans="2:7" x14ac:dyDescent="0.2">
      <c r="B128" s="19">
        <v>44580</v>
      </c>
      <c r="C128" s="19">
        <v>44579</v>
      </c>
      <c r="D128" s="38">
        <v>4.4207972411465693E-5</v>
      </c>
      <c r="E128" s="38">
        <v>1.6481176624873591E-4</v>
      </c>
      <c r="F128" s="38">
        <v>2.6300099631125561E-4</v>
      </c>
      <c r="G128" s="38">
        <v>0</v>
      </c>
    </row>
    <row r="129" spans="2:7" x14ac:dyDescent="0.2">
      <c r="B129" s="19">
        <v>44581</v>
      </c>
      <c r="C129" s="19">
        <v>44580</v>
      </c>
      <c r="D129" s="38">
        <v>-1.1252881594010949E-4</v>
      </c>
      <c r="E129" s="38">
        <v>-1.8361319274982961E-4</v>
      </c>
      <c r="F129" s="38">
        <v>-2.9264795598288551E-4</v>
      </c>
      <c r="G129" s="38">
        <v>9.9999999999999395E-5</v>
      </c>
    </row>
    <row r="130" spans="2:7" x14ac:dyDescent="0.2">
      <c r="B130" s="19">
        <v>44582</v>
      </c>
      <c r="C130" s="19">
        <v>44581</v>
      </c>
      <c r="D130" s="38">
        <v>-2.5515895215663317E-4</v>
      </c>
      <c r="E130" s="38">
        <v>-3.898916281467814E-4</v>
      </c>
      <c r="F130" s="38">
        <v>-3.8019252150233378E-4</v>
      </c>
      <c r="G130" s="38">
        <v>1.000000000000011E-4</v>
      </c>
    </row>
    <row r="131" spans="2:7" x14ac:dyDescent="0.2">
      <c r="B131" s="19">
        <v>44585</v>
      </c>
      <c r="C131" s="19">
        <v>44582</v>
      </c>
      <c r="D131" s="38">
        <v>-2.6479383278416729E-4</v>
      </c>
      <c r="E131" s="38">
        <v>-3.4775405013323532E-4</v>
      </c>
      <c r="F131" s="38">
        <v>-2.2495508138926199E-4</v>
      </c>
      <c r="G131" s="38">
        <v>2.9999999999999992E-4</v>
      </c>
    </row>
    <row r="132" spans="2:7" x14ac:dyDescent="0.2">
      <c r="B132" s="19">
        <v>44586</v>
      </c>
      <c r="C132" s="19">
        <v>44585</v>
      </c>
      <c r="D132" s="38">
        <v>-8.0303133090011553E-5</v>
      </c>
      <c r="E132" s="38">
        <v>6.3643673255371971E-6</v>
      </c>
      <c r="F132" s="38">
        <v>8.8863723587069175E-5</v>
      </c>
      <c r="G132" s="38">
        <v>9.9999999999999395E-5</v>
      </c>
    </row>
    <row r="133" spans="2:7" x14ac:dyDescent="0.2">
      <c r="B133" s="19">
        <v>44587</v>
      </c>
      <c r="C133" s="19">
        <v>44586</v>
      </c>
      <c r="D133" s="38">
        <v>1.5584244831845509E-4</v>
      </c>
      <c r="E133" s="38">
        <v>2.5628688274803151E-4</v>
      </c>
      <c r="F133" s="38">
        <v>2.7059147766163701E-4</v>
      </c>
      <c r="G133" s="38">
        <v>1.000000000000011E-4</v>
      </c>
    </row>
    <row r="134" spans="2:7" x14ac:dyDescent="0.2">
      <c r="B134" s="19">
        <v>44588</v>
      </c>
      <c r="C134" s="19">
        <v>44587</v>
      </c>
      <c r="D134" s="38">
        <v>2.420530510727796E-4</v>
      </c>
      <c r="E134" s="38">
        <v>3.0740019948606552E-4</v>
      </c>
      <c r="F134" s="38">
        <v>1.3364029828018869E-4</v>
      </c>
      <c r="G134" s="38">
        <v>0</v>
      </c>
    </row>
    <row r="135" spans="2:7" x14ac:dyDescent="0.2">
      <c r="B135" s="19">
        <v>44589</v>
      </c>
      <c r="C135" s="19">
        <v>44588</v>
      </c>
      <c r="D135" s="38">
        <v>1.3516540920385011E-4</v>
      </c>
      <c r="E135" s="38">
        <v>1.9154931345481509E-4</v>
      </c>
      <c r="F135" s="38">
        <v>1.97385970159818E-4</v>
      </c>
      <c r="G135" s="38">
        <v>2.000000000000005E-4</v>
      </c>
    </row>
    <row r="136" spans="2:7" x14ac:dyDescent="0.2">
      <c r="B136" s="19">
        <v>44592</v>
      </c>
      <c r="C136" s="19">
        <v>44589</v>
      </c>
      <c r="D136" s="38">
        <v>5.0314741330542007E-4</v>
      </c>
      <c r="E136" s="38">
        <v>7.056434712575531E-4</v>
      </c>
      <c r="F136" s="38">
        <v>6.053082042410641E-4</v>
      </c>
      <c r="G136" s="38">
        <v>9.9999999999999395E-5</v>
      </c>
    </row>
    <row r="137" spans="2:7" x14ac:dyDescent="0.2">
      <c r="B137" s="19">
        <v>44593</v>
      </c>
      <c r="C137" s="19">
        <v>44592</v>
      </c>
      <c r="D137" s="38">
        <v>5.4457513911381282E-5</v>
      </c>
      <c r="E137" s="38">
        <v>1.7187654625708609E-4</v>
      </c>
      <c r="F137" s="38">
        <v>1.4944188184183189E-4</v>
      </c>
      <c r="G137" s="38">
        <v>2.000000000000005E-4</v>
      </c>
    </row>
    <row r="138" spans="2:7" x14ac:dyDescent="0.2">
      <c r="B138" s="19">
        <v>44594</v>
      </c>
      <c r="C138" s="19">
        <v>44593</v>
      </c>
      <c r="D138" s="38">
        <v>1.394436737941129E-4</v>
      </c>
      <c r="E138" s="38">
        <v>2.5561664749347741E-4</v>
      </c>
      <c r="F138" s="38">
        <v>1.173665801997625E-4</v>
      </c>
      <c r="G138" s="38">
        <v>-1.9999999999999879E-4</v>
      </c>
    </row>
    <row r="139" spans="2:7" x14ac:dyDescent="0.2">
      <c r="B139" s="19">
        <v>44595</v>
      </c>
      <c r="C139" s="19">
        <v>44594</v>
      </c>
      <c r="D139" s="38">
        <v>8.8445023016772619E-4</v>
      </c>
      <c r="E139" s="38">
        <v>1.2781266844211899E-3</v>
      </c>
      <c r="F139" s="38">
        <v>8.0386288284145524E-4</v>
      </c>
      <c r="G139" s="38">
        <v>2.000000000000005E-4</v>
      </c>
    </row>
    <row r="140" spans="2:7" x14ac:dyDescent="0.2">
      <c r="B140" s="19">
        <v>44596</v>
      </c>
      <c r="C140" s="19">
        <v>44595</v>
      </c>
      <c r="D140" s="38">
        <v>1.022492301347037E-3</v>
      </c>
      <c r="E140" s="38">
        <v>1.135342581537104E-3</v>
      </c>
      <c r="F140" s="38">
        <v>6.0854091767905674E-4</v>
      </c>
      <c r="G140" s="38">
        <v>7.9999999999999863E-4</v>
      </c>
    </row>
    <row r="141" spans="2:7" x14ac:dyDescent="0.2">
      <c r="B141" s="19">
        <v>44599</v>
      </c>
      <c r="C141" s="19">
        <v>44596</v>
      </c>
      <c r="D141" s="38">
        <v>9.5130373113198885E-5</v>
      </c>
      <c r="E141" s="38">
        <v>3.1590385583093908E-4</v>
      </c>
      <c r="F141" s="38">
        <v>4.9601853134062946E-4</v>
      </c>
      <c r="G141" s="38">
        <v>6.9999999999999923E-4</v>
      </c>
    </row>
    <row r="142" spans="2:7" x14ac:dyDescent="0.2">
      <c r="B142" s="19">
        <v>44600</v>
      </c>
      <c r="C142" s="19">
        <v>44599</v>
      </c>
      <c r="D142" s="38">
        <v>-1.231751517034585E-4</v>
      </c>
      <c r="E142" s="38">
        <v>1.4966102064821739E-4</v>
      </c>
      <c r="F142" s="38">
        <v>4.3504250153081131E-4</v>
      </c>
      <c r="G142" s="38">
        <v>2.9999999999999818E-4</v>
      </c>
    </row>
    <row r="143" spans="2:7" x14ac:dyDescent="0.2">
      <c r="B143" s="19">
        <v>44601</v>
      </c>
      <c r="C143" s="19">
        <v>44600</v>
      </c>
      <c r="D143" s="38">
        <v>-4.7313122507324211E-4</v>
      </c>
      <c r="E143" s="38">
        <v>-5.4950161865240153E-4</v>
      </c>
      <c r="F143" s="38">
        <v>-3.8265170408821261E-4</v>
      </c>
      <c r="G143" s="38">
        <v>-3.9999999999999758E-4</v>
      </c>
    </row>
    <row r="144" spans="2:7" x14ac:dyDescent="0.2">
      <c r="B144" s="19">
        <v>44602</v>
      </c>
      <c r="C144" s="19">
        <v>44601</v>
      </c>
      <c r="D144" s="38">
        <v>1.5691858164838211E-4</v>
      </c>
      <c r="E144" s="38">
        <v>3.3526800748225218E-4</v>
      </c>
      <c r="F144" s="38">
        <v>3.1368716562931061E-4</v>
      </c>
      <c r="G144" s="38">
        <v>-5.0000000000000218E-4</v>
      </c>
    </row>
    <row r="145" spans="2:7" x14ac:dyDescent="0.2">
      <c r="B145" s="19">
        <v>44603</v>
      </c>
      <c r="C145" s="19">
        <v>44602</v>
      </c>
      <c r="D145" s="38">
        <v>1.3854253639001589E-4</v>
      </c>
      <c r="E145" s="38">
        <v>1.112405614323153E-4</v>
      </c>
      <c r="F145" s="38">
        <v>3.9856123502772678E-5</v>
      </c>
      <c r="G145" s="38">
        <v>3.9999999999999931E-4</v>
      </c>
    </row>
    <row r="146" spans="2:7" x14ac:dyDescent="0.2">
      <c r="B146" s="19">
        <v>44606</v>
      </c>
      <c r="C146" s="19">
        <v>44603</v>
      </c>
      <c r="D146" s="38">
        <v>-4.5091149155156418E-4</v>
      </c>
      <c r="E146" s="38">
        <v>-3.5510832057218168E-4</v>
      </c>
      <c r="F146" s="38">
        <v>-8.6044514672865054E-5</v>
      </c>
      <c r="G146" s="38">
        <v>7.000000000000027E-4</v>
      </c>
    </row>
    <row r="147" spans="2:7" x14ac:dyDescent="0.2">
      <c r="B147" s="19">
        <v>44607</v>
      </c>
      <c r="C147" s="19">
        <v>44606</v>
      </c>
      <c r="D147" s="38">
        <v>2.6541793750914708E-4</v>
      </c>
      <c r="E147" s="38">
        <v>5.0256453516824614E-4</v>
      </c>
      <c r="F147" s="38">
        <v>7.0785565739220693E-4</v>
      </c>
      <c r="G147" s="38">
        <v>-1.9999999999999879E-4</v>
      </c>
    </row>
    <row r="148" spans="2:7" x14ac:dyDescent="0.2">
      <c r="B148" s="19">
        <v>44608</v>
      </c>
      <c r="C148" s="19">
        <v>44607</v>
      </c>
      <c r="D148" s="38">
        <v>-2.9496666242311101E-4</v>
      </c>
      <c r="E148" s="38">
        <v>-4.8032847318392409E-4</v>
      </c>
      <c r="F148" s="38">
        <v>-3.9647952244892948E-4</v>
      </c>
      <c r="G148" s="38">
        <v>-4.0000000000000099E-4</v>
      </c>
    </row>
    <row r="149" spans="2:7" x14ac:dyDescent="0.2">
      <c r="B149" s="19">
        <v>44609</v>
      </c>
      <c r="C149" s="19">
        <v>44608</v>
      </c>
      <c r="D149" s="38">
        <v>-2.9336109032257652E-4</v>
      </c>
      <c r="E149" s="38">
        <v>-3.6259213514542308E-4</v>
      </c>
      <c r="F149" s="38">
        <v>-2.8350547680930019E-4</v>
      </c>
      <c r="G149" s="38">
        <v>0</v>
      </c>
    </row>
    <row r="150" spans="2:7" x14ac:dyDescent="0.2">
      <c r="B150" s="19">
        <v>44610</v>
      </c>
      <c r="C150" s="19">
        <v>44609</v>
      </c>
      <c r="D150" s="38">
        <v>-4.4127749442363778E-4</v>
      </c>
      <c r="E150" s="38">
        <v>-5.1022239897993585E-4</v>
      </c>
      <c r="F150" s="38">
        <v>-3.0377979589586891E-4</v>
      </c>
      <c r="G150" s="38">
        <v>1.9999999999999879E-4</v>
      </c>
    </row>
    <row r="151" spans="2:7" x14ac:dyDescent="0.2">
      <c r="B151" s="19">
        <v>44613</v>
      </c>
      <c r="C151" s="19">
        <v>44610</v>
      </c>
      <c r="D151" s="38">
        <v>-8.1959995592044074E-6</v>
      </c>
      <c r="E151" s="38">
        <v>-3.9576737768962718E-5</v>
      </c>
      <c r="F151" s="38">
        <v>-1.121826325103867E-4</v>
      </c>
      <c r="G151" s="38">
        <v>-9.9999999999999395E-5</v>
      </c>
    </row>
    <row r="152" spans="2:7" x14ac:dyDescent="0.2">
      <c r="B152" s="19">
        <v>44614</v>
      </c>
      <c r="C152" s="19">
        <v>44613</v>
      </c>
      <c r="D152" s="38">
        <v>8.4722897737735895E-4</v>
      </c>
      <c r="E152" s="38">
        <v>9.72204287568661E-4</v>
      </c>
      <c r="F152" s="38">
        <v>7.528141838716528E-4</v>
      </c>
      <c r="G152" s="38">
        <v>9.0000000000000149E-4</v>
      </c>
    </row>
    <row r="153" spans="2:7" x14ac:dyDescent="0.2">
      <c r="B153" s="19">
        <v>44615</v>
      </c>
      <c r="C153" s="19">
        <v>44614</v>
      </c>
      <c r="D153" s="38">
        <v>1.4857334989706791E-4</v>
      </c>
      <c r="E153" s="38">
        <v>1.2562022223919109E-4</v>
      </c>
      <c r="F153" s="38">
        <v>-1.484695346187295E-4</v>
      </c>
      <c r="G153" s="38">
        <v>-1.0000000000000291E-4</v>
      </c>
    </row>
    <row r="154" spans="2:7" x14ac:dyDescent="0.2">
      <c r="B154" s="19">
        <v>44616</v>
      </c>
      <c r="C154" s="19">
        <v>44615</v>
      </c>
      <c r="D154" s="38">
        <v>-6.3858170553198878E-4</v>
      </c>
      <c r="E154" s="38">
        <v>-8.7463298298703137E-4</v>
      </c>
      <c r="F154" s="38">
        <v>-8.7807073663299191E-4</v>
      </c>
      <c r="G154" s="38">
        <v>1.5000000000000009E-3</v>
      </c>
    </row>
    <row r="155" spans="2:7" x14ac:dyDescent="0.2">
      <c r="B155" s="19">
        <v>44617</v>
      </c>
      <c r="C155" s="19">
        <v>44616</v>
      </c>
      <c r="D155" s="38">
        <v>2.5676611340262259E-4</v>
      </c>
      <c r="E155" s="38">
        <v>3.5136712175241062E-4</v>
      </c>
      <c r="F155" s="38">
        <v>5.3480054956401386E-4</v>
      </c>
      <c r="G155" s="38">
        <v>-1.0000000000000291E-4</v>
      </c>
    </row>
    <row r="156" spans="2:7" x14ac:dyDescent="0.2">
      <c r="B156" s="19">
        <v>44620</v>
      </c>
      <c r="C156" s="19">
        <v>44617</v>
      </c>
      <c r="D156" s="38">
        <v>-9.164246760717679E-4</v>
      </c>
      <c r="E156" s="38">
        <v>-9.9271500460013334E-4</v>
      </c>
      <c r="F156" s="38">
        <v>-4.9179983853308218E-4</v>
      </c>
      <c r="G156" s="38">
        <v>-2.9999999999999818E-4</v>
      </c>
    </row>
    <row r="157" spans="2:7" x14ac:dyDescent="0.2">
      <c r="B157" s="19">
        <v>44621</v>
      </c>
      <c r="C157" s="19">
        <v>44620</v>
      </c>
      <c r="D157" s="38">
        <v>-1.6112646068525611E-3</v>
      </c>
      <c r="E157" s="38">
        <v>-2.1400021246451928E-3</v>
      </c>
      <c r="F157" s="38">
        <v>-1.825160854691474E-3</v>
      </c>
      <c r="G157" s="38">
        <v>4.0000000000000099E-4</v>
      </c>
    </row>
    <row r="158" spans="2:7" x14ac:dyDescent="0.2">
      <c r="B158" s="19">
        <v>44622</v>
      </c>
      <c r="C158" s="19">
        <v>44621</v>
      </c>
      <c r="D158" s="38">
        <v>5.6959062484545579E-4</v>
      </c>
      <c r="E158" s="38">
        <v>2.8684770089156588E-4</v>
      </c>
      <c r="F158" s="38">
        <v>-1.294076582219805E-5</v>
      </c>
      <c r="G158" s="38">
        <v>9.9999999999999395E-5</v>
      </c>
    </row>
    <row r="159" spans="2:7" x14ac:dyDescent="0.2">
      <c r="B159" s="19">
        <v>44623</v>
      </c>
      <c r="C159" s="19">
        <v>44622</v>
      </c>
      <c r="D159" s="38">
        <v>6.1000104105953575E-4</v>
      </c>
      <c r="E159" s="38">
        <v>7.8066264676572442E-4</v>
      </c>
      <c r="F159" s="38">
        <v>6.7299849932646707E-4</v>
      </c>
      <c r="G159" s="38">
        <v>-1.9999999999999879E-4</v>
      </c>
    </row>
    <row r="160" spans="2:7" x14ac:dyDescent="0.2">
      <c r="B160" s="19">
        <v>44624</v>
      </c>
      <c r="C160" s="19">
        <v>44623</v>
      </c>
      <c r="D160" s="38">
        <v>-1.453453264820643E-3</v>
      </c>
      <c r="E160" s="38">
        <v>-1.636252379888928E-3</v>
      </c>
      <c r="F160" s="38">
        <v>-1.2663246733410859E-3</v>
      </c>
      <c r="G160" s="38">
        <v>3.9999999999999758E-4</v>
      </c>
    </row>
    <row r="161" spans="2:7" x14ac:dyDescent="0.2">
      <c r="B161" s="19">
        <v>44627</v>
      </c>
      <c r="C161" s="19">
        <v>44624</v>
      </c>
      <c r="D161" s="38">
        <v>4.3837317741620899E-4</v>
      </c>
      <c r="E161" s="38">
        <v>5.2246442241968196E-4</v>
      </c>
      <c r="F161" s="38">
        <v>5.3688817775625179E-4</v>
      </c>
      <c r="G161" s="38">
        <v>1.300000000000003E-3</v>
      </c>
    </row>
    <row r="162" spans="2:7" x14ac:dyDescent="0.2">
      <c r="B162" s="19">
        <v>44628</v>
      </c>
      <c r="C162" s="19">
        <v>44627</v>
      </c>
      <c r="D162" s="38">
        <v>6.8520169902608775E-4</v>
      </c>
      <c r="E162" s="38">
        <v>1.089904344715524E-3</v>
      </c>
      <c r="F162" s="38">
        <v>1.2970560679473749E-3</v>
      </c>
      <c r="G162" s="38">
        <v>4.0000000000000099E-4</v>
      </c>
    </row>
    <row r="163" spans="2:7" x14ac:dyDescent="0.2">
      <c r="B163" s="19">
        <v>44629</v>
      </c>
      <c r="C163" s="19">
        <v>44628</v>
      </c>
      <c r="D163" s="38">
        <v>7.5263375158375525E-4</v>
      </c>
      <c r="E163" s="38">
        <v>1.088191234070765E-3</v>
      </c>
      <c r="F163" s="38">
        <v>8.9371360752671619E-4</v>
      </c>
      <c r="G163" s="38">
        <v>-4.0000000000000099E-4</v>
      </c>
    </row>
    <row r="164" spans="2:7" x14ac:dyDescent="0.2">
      <c r="B164" s="19">
        <v>44630</v>
      </c>
      <c r="C164" s="19">
        <v>44629</v>
      </c>
      <c r="D164" s="38">
        <v>7.7874102710438417E-4</v>
      </c>
      <c r="E164" s="38">
        <v>1.0676105960914131E-3</v>
      </c>
      <c r="F164" s="38">
        <v>4.1658861777669857E-4</v>
      </c>
      <c r="G164" s="38">
        <v>4.0000000000000099E-4</v>
      </c>
    </row>
    <row r="165" spans="2:7" x14ac:dyDescent="0.2">
      <c r="B165" s="19">
        <v>44631</v>
      </c>
      <c r="C165" s="19">
        <v>44630</v>
      </c>
      <c r="D165" s="38">
        <v>3.9152658662751529E-4</v>
      </c>
      <c r="E165" s="38">
        <v>4.0182134390336798E-4</v>
      </c>
      <c r="F165" s="38">
        <v>2.2765657960215809E-4</v>
      </c>
      <c r="G165" s="38">
        <v>-3.0000000000000512E-4</v>
      </c>
    </row>
    <row r="166" spans="2:7" x14ac:dyDescent="0.2">
      <c r="B166" s="19">
        <v>44634</v>
      </c>
      <c r="C166" s="19">
        <v>44631</v>
      </c>
      <c r="D166" s="38">
        <v>2.863430176345402E-4</v>
      </c>
      <c r="E166" s="38">
        <v>5.3404849462259209E-4</v>
      </c>
      <c r="F166" s="38">
        <v>6.7410301936356078E-4</v>
      </c>
      <c r="G166" s="38">
        <v>-6.9999999999999576E-4</v>
      </c>
    </row>
    <row r="167" spans="2:7" x14ac:dyDescent="0.2">
      <c r="B167" s="19">
        <v>44635</v>
      </c>
      <c r="C167" s="19">
        <v>44634</v>
      </c>
      <c r="D167" s="38">
        <v>-4.7089636390246469E-4</v>
      </c>
      <c r="E167" s="38">
        <v>-4.0956142022116718E-4</v>
      </c>
      <c r="F167" s="38">
        <v>-3.2407915721732738E-5</v>
      </c>
      <c r="G167" s="38">
        <v>4.0000000000000099E-4</v>
      </c>
    </row>
    <row r="168" spans="2:7" x14ac:dyDescent="0.2">
      <c r="B168" s="19">
        <v>44636</v>
      </c>
      <c r="C168" s="19">
        <v>44635</v>
      </c>
      <c r="D168" s="38">
        <v>2.321155712567569E-4</v>
      </c>
      <c r="E168" s="38">
        <v>4.4172530954948562E-4</v>
      </c>
      <c r="F168" s="38">
        <v>4.1445279242401578E-4</v>
      </c>
      <c r="G168" s="38">
        <v>-1.9999999999999879E-4</v>
      </c>
    </row>
    <row r="169" spans="2:7" x14ac:dyDescent="0.2">
      <c r="B169" s="19">
        <v>44637</v>
      </c>
      <c r="C169" s="19">
        <v>44636</v>
      </c>
      <c r="D169" s="38">
        <v>2.2480125386476621E-4</v>
      </c>
      <c r="E169" s="38">
        <v>3.2708050067886679E-4</v>
      </c>
      <c r="F169" s="38">
        <v>2.2964230324547079E-5</v>
      </c>
      <c r="G169" s="38">
        <v>-2.0000000000000231E-4</v>
      </c>
    </row>
    <row r="170" spans="2:7" x14ac:dyDescent="0.2">
      <c r="B170" s="19">
        <v>44638</v>
      </c>
      <c r="C170" s="19">
        <v>44637</v>
      </c>
      <c r="D170" s="38">
        <v>-1.587541355644673E-4</v>
      </c>
      <c r="E170" s="38">
        <v>-2.145594035986109E-4</v>
      </c>
      <c r="F170" s="38">
        <v>-1.839863085660309E-4</v>
      </c>
      <c r="G170" s="38">
        <v>-5.0000000000000044E-4</v>
      </c>
    </row>
    <row r="171" spans="2:7" x14ac:dyDescent="0.2">
      <c r="B171" s="19">
        <v>44641</v>
      </c>
      <c r="C171" s="19">
        <v>44638</v>
      </c>
      <c r="D171" s="38">
        <v>3.8359304531068158E-4</v>
      </c>
      <c r="E171" s="38">
        <v>5.6664651643331784E-4</v>
      </c>
      <c r="F171" s="38">
        <v>7.1290143200392325E-4</v>
      </c>
      <c r="G171" s="38">
        <v>-3.0000000000000171E-4</v>
      </c>
    </row>
    <row r="172" spans="2:7" x14ac:dyDescent="0.2">
      <c r="B172" s="19">
        <v>44642</v>
      </c>
      <c r="C172" s="19">
        <v>44641</v>
      </c>
      <c r="D172" s="38">
        <v>7.5547656923639298E-4</v>
      </c>
      <c r="E172" s="38">
        <v>1.00412400887091E-3</v>
      </c>
      <c r="F172" s="38">
        <v>6.7673624706505314E-4</v>
      </c>
      <c r="G172" s="38">
        <v>-3.0000000000000171E-4</v>
      </c>
    </row>
    <row r="173" spans="2:7" x14ac:dyDescent="0.2">
      <c r="B173" s="19">
        <v>44643</v>
      </c>
      <c r="C173" s="19">
        <v>44642</v>
      </c>
      <c r="D173" s="38">
        <v>-1.519216850971983E-4</v>
      </c>
      <c r="E173" s="38">
        <v>-2.1163037831019261E-4</v>
      </c>
      <c r="F173" s="38">
        <v>-2.1693223158242121E-4</v>
      </c>
      <c r="G173" s="38">
        <v>3.4694469519536142E-18</v>
      </c>
    </row>
    <row r="174" spans="2:7" x14ac:dyDescent="0.2">
      <c r="B174" s="19">
        <v>44644</v>
      </c>
      <c r="C174" s="19">
        <v>44643</v>
      </c>
      <c r="D174" s="38">
        <v>4.157630794894996E-4</v>
      </c>
      <c r="E174" s="38">
        <v>4.4666337684824871E-4</v>
      </c>
      <c r="F174" s="38">
        <v>2.524495299578277E-4</v>
      </c>
      <c r="G174" s="38">
        <v>-2.9999999999999818E-4</v>
      </c>
    </row>
    <row r="175" spans="2:7" x14ac:dyDescent="0.2">
      <c r="B175" s="19">
        <v>44645</v>
      </c>
      <c r="C175" s="19">
        <v>44644</v>
      </c>
      <c r="D175" s="38">
        <v>5.7189984153956704E-4</v>
      </c>
      <c r="E175" s="38">
        <v>6.7475340509301138E-4</v>
      </c>
      <c r="F175" s="38">
        <v>5.4262226736485376E-4</v>
      </c>
      <c r="G175" s="38">
        <v>2.9999999999999818E-4</v>
      </c>
    </row>
    <row r="176" spans="2:7" x14ac:dyDescent="0.2">
      <c r="B176" s="19">
        <v>44648</v>
      </c>
      <c r="C176" s="19">
        <v>44645</v>
      </c>
      <c r="D176" s="38">
        <v>5.4209341792261796E-4</v>
      </c>
      <c r="E176" s="38">
        <v>3.3165355084304078E-4</v>
      </c>
      <c r="F176" s="38">
        <v>1.5962870776333429E-5</v>
      </c>
      <c r="G176" s="38">
        <v>-9.9999999999999395E-5</v>
      </c>
    </row>
    <row r="177" spans="2:7" x14ac:dyDescent="0.2">
      <c r="B177" s="19">
        <v>44649</v>
      </c>
      <c r="C177" s="19">
        <v>44648</v>
      </c>
      <c r="D177" s="38">
        <v>6.0960131655357413E-4</v>
      </c>
      <c r="E177" s="38">
        <v>3.9316611127786921E-4</v>
      </c>
      <c r="F177" s="38">
        <v>2.9495405731243181E-4</v>
      </c>
      <c r="G177" s="38">
        <v>-1.0000000000000291E-4</v>
      </c>
    </row>
    <row r="178" spans="2:7" x14ac:dyDescent="0.2">
      <c r="B178" s="19">
        <v>44650</v>
      </c>
      <c r="C178" s="19">
        <v>44649</v>
      </c>
      <c r="D178" s="38">
        <v>9.7943239783971226E-4</v>
      </c>
      <c r="E178" s="38">
        <v>1.1484799699607541E-3</v>
      </c>
      <c r="F178" s="38">
        <v>9.9643185839518034E-4</v>
      </c>
      <c r="G178" s="38">
        <v>-5.0000000000000044E-4</v>
      </c>
    </row>
    <row r="179" spans="2:7" x14ac:dyDescent="0.2">
      <c r="B179" s="19">
        <v>44651</v>
      </c>
      <c r="C179" s="19">
        <v>44650</v>
      </c>
      <c r="D179" s="38">
        <v>-8.8693452251785041E-4</v>
      </c>
      <c r="E179" s="38">
        <v>-1.1297636386127601E-3</v>
      </c>
      <c r="F179" s="38">
        <v>-1.0840115951331439E-3</v>
      </c>
      <c r="G179" s="38">
        <v>-1.9999999999999529E-4</v>
      </c>
    </row>
    <row r="180" spans="2:7" x14ac:dyDescent="0.2">
      <c r="B180" s="19">
        <v>44652</v>
      </c>
      <c r="C180" s="19">
        <v>44651</v>
      </c>
      <c r="D180" s="38">
        <v>1.2310145146165129E-4</v>
      </c>
      <c r="E180" s="38">
        <v>1.6774494700591211E-4</v>
      </c>
      <c r="F180" s="38">
        <v>1.977957495003122E-4</v>
      </c>
      <c r="G180" s="38">
        <v>2.9999999999999818E-4</v>
      </c>
    </row>
    <row r="181" spans="2:7" x14ac:dyDescent="0.2">
      <c r="B181" s="19">
        <v>44655</v>
      </c>
      <c r="C181" s="19">
        <v>44652</v>
      </c>
      <c r="D181" s="38">
        <v>-4.694133184794723E-4</v>
      </c>
      <c r="E181" s="38">
        <v>-6.985657996535985E-4</v>
      </c>
      <c r="F181" s="38">
        <v>-7.3818886647815125E-4</v>
      </c>
      <c r="G181" s="38">
        <v>3.0000000000000171E-4</v>
      </c>
    </row>
    <row r="182" spans="2:7" x14ac:dyDescent="0.2">
      <c r="B182" s="19">
        <v>44656</v>
      </c>
      <c r="C182" s="19">
        <v>44655</v>
      </c>
      <c r="D182" s="38">
        <v>3.2548412164594691E-4</v>
      </c>
      <c r="E182" s="38">
        <v>5.8057018878981698E-4</v>
      </c>
      <c r="F182" s="38">
        <v>6.8879107797659937E-4</v>
      </c>
      <c r="G182" s="38">
        <v>-2.0000000000000231E-4</v>
      </c>
    </row>
    <row r="183" spans="2:7" x14ac:dyDescent="0.2">
      <c r="B183" s="19">
        <v>44657</v>
      </c>
      <c r="C183" s="19">
        <v>44656</v>
      </c>
      <c r="D183" s="38">
        <v>3.7702859620127868E-4</v>
      </c>
      <c r="E183" s="38">
        <v>6.9777976958126237E-4</v>
      </c>
      <c r="F183" s="38">
        <v>8.1370849480131777E-4</v>
      </c>
      <c r="G183" s="38">
        <v>-9.9999999999999395E-5</v>
      </c>
    </row>
    <row r="184" spans="2:7" x14ac:dyDescent="0.2">
      <c r="B184" s="19">
        <v>44658</v>
      </c>
      <c r="C184" s="19">
        <v>44657</v>
      </c>
      <c r="D184" s="38">
        <v>2.5577512820489361E-4</v>
      </c>
      <c r="E184" s="38">
        <v>2.780374535573376E-4</v>
      </c>
      <c r="F184" s="38">
        <v>2.6888674615856058E-4</v>
      </c>
      <c r="G184" s="38">
        <v>1.9999999999999879E-4</v>
      </c>
    </row>
    <row r="185" spans="2:7" x14ac:dyDescent="0.2">
      <c r="B185" s="19">
        <v>44659</v>
      </c>
      <c r="C185" s="19">
        <v>44658</v>
      </c>
      <c r="D185" s="38">
        <v>2.5035347897996548E-4</v>
      </c>
      <c r="E185" s="38">
        <v>1.3167924627806741E-4</v>
      </c>
      <c r="F185" s="38">
        <v>1.4454092962598241E-5</v>
      </c>
      <c r="G185" s="38">
        <v>-1.9999999999999879E-4</v>
      </c>
    </row>
    <row r="186" spans="2:7" x14ac:dyDescent="0.2">
      <c r="B186" s="19">
        <v>44662</v>
      </c>
      <c r="C186" s="19">
        <v>44659</v>
      </c>
      <c r="D186" s="38">
        <v>9.2285066992450651E-4</v>
      </c>
      <c r="E186" s="38">
        <v>1.094550287939739E-3</v>
      </c>
      <c r="F186" s="38">
        <v>1.0765901158831389E-3</v>
      </c>
      <c r="G186" s="38">
        <v>0</v>
      </c>
    </row>
    <row r="187" spans="2:7" x14ac:dyDescent="0.2">
      <c r="B187" s="19">
        <v>44663</v>
      </c>
      <c r="C187" s="19">
        <v>44662</v>
      </c>
      <c r="D187" s="38">
        <v>-4.9991899428276205E-4</v>
      </c>
      <c r="E187" s="38">
        <v>-3.5506523797059099E-4</v>
      </c>
      <c r="F187" s="38">
        <v>-2.0621400969063171E-4</v>
      </c>
      <c r="G187" s="38">
        <v>-2.9999999999999818E-4</v>
      </c>
    </row>
    <row r="188" spans="2:7" x14ac:dyDescent="0.2">
      <c r="B188" s="19">
        <v>44664</v>
      </c>
      <c r="C188" s="19">
        <v>44663</v>
      </c>
      <c r="D188" s="38">
        <v>-9.1774682036080966E-5</v>
      </c>
      <c r="E188" s="38">
        <v>-1.5077143067979051E-4</v>
      </c>
      <c r="F188" s="38">
        <v>-8.8757744167694552E-5</v>
      </c>
      <c r="G188" s="38">
        <v>3.0000000000000171E-4</v>
      </c>
    </row>
    <row r="189" spans="2:7" x14ac:dyDescent="0.2">
      <c r="B189" s="19">
        <v>44665</v>
      </c>
      <c r="C189" s="19">
        <v>44664</v>
      </c>
      <c r="D189" s="38">
        <v>-3.8403827298817201E-4</v>
      </c>
      <c r="E189" s="38">
        <v>1.5409399511303381E-4</v>
      </c>
      <c r="F189" s="38">
        <v>5.0166348476987296E-4</v>
      </c>
      <c r="G189" s="38">
        <v>1.9999999999999529E-4</v>
      </c>
    </row>
    <row r="190" spans="2:7" x14ac:dyDescent="0.2">
      <c r="B190" s="19">
        <v>44670</v>
      </c>
      <c r="C190" s="19">
        <v>44665</v>
      </c>
      <c r="D190" s="38">
        <v>3.7756472392615588E-4</v>
      </c>
      <c r="E190" s="38">
        <v>8.586749145939555E-4</v>
      </c>
      <c r="F190" s="38">
        <v>1.0999397689116269E-3</v>
      </c>
      <c r="G190" s="38">
        <v>-3.9999999999999758E-4</v>
      </c>
    </row>
    <row r="191" spans="2:7" x14ac:dyDescent="0.2">
      <c r="B191" s="19">
        <v>44671</v>
      </c>
      <c r="C191" s="19">
        <v>44670</v>
      </c>
      <c r="D191" s="38">
        <v>-1.355999418989651E-4</v>
      </c>
      <c r="E191" s="38">
        <v>-6.4450976879101493E-4</v>
      </c>
      <c r="F191" s="38">
        <v>-9.1043232512402934E-4</v>
      </c>
      <c r="G191" s="38">
        <v>3.9999999999999758E-4</v>
      </c>
    </row>
    <row r="192" spans="2:7" x14ac:dyDescent="0.2">
      <c r="B192" s="19">
        <v>44672</v>
      </c>
      <c r="C192" s="19">
        <v>44671</v>
      </c>
      <c r="D192" s="38">
        <v>9.2266723795608751E-4</v>
      </c>
      <c r="E192" s="38">
        <v>6.1361571084042697E-4</v>
      </c>
      <c r="F192" s="38">
        <v>3.1527174838977089E-4</v>
      </c>
      <c r="G192" s="38">
        <v>0</v>
      </c>
    </row>
    <row r="193" spans="2:7" x14ac:dyDescent="0.2">
      <c r="B193" s="19">
        <v>44673</v>
      </c>
      <c r="C193" s="19">
        <v>44672</v>
      </c>
      <c r="D193" s="38">
        <v>1.157666386586826E-3</v>
      </c>
      <c r="E193" s="38">
        <v>8.3719732342641285E-4</v>
      </c>
      <c r="F193" s="38">
        <v>5.5871262676825129E-4</v>
      </c>
      <c r="G193" s="38">
        <v>2.0000000000000231E-4</v>
      </c>
    </row>
    <row r="194" spans="2:7" x14ac:dyDescent="0.2">
      <c r="B194" s="19">
        <v>44676</v>
      </c>
      <c r="C194" s="19">
        <v>44673</v>
      </c>
      <c r="D194" s="38">
        <v>-9.7599219878422797E-4</v>
      </c>
      <c r="E194" s="38">
        <v>-9.3833669832064318E-4</v>
      </c>
      <c r="F194" s="38">
        <v>-7.7668437495005335E-4</v>
      </c>
      <c r="G194" s="38">
        <v>5.9999999999999984E-4</v>
      </c>
    </row>
    <row r="195" spans="2:7" x14ac:dyDescent="0.2">
      <c r="B195" s="19">
        <v>44677</v>
      </c>
      <c r="C195" s="19">
        <v>44676</v>
      </c>
      <c r="D195" s="38">
        <v>-1.623185852331764E-4</v>
      </c>
      <c r="E195" s="38">
        <v>-2.6153450688182368E-4</v>
      </c>
      <c r="F195" s="38">
        <v>-3.0001405672904109E-4</v>
      </c>
      <c r="G195" s="38">
        <v>3.0000000000000171E-4</v>
      </c>
    </row>
    <row r="196" spans="2:7" x14ac:dyDescent="0.2">
      <c r="B196" s="19">
        <v>44678</v>
      </c>
      <c r="C196" s="19">
        <v>44677</v>
      </c>
      <c r="D196" s="38">
        <v>-5.3753400255031726E-4</v>
      </c>
      <c r="E196" s="38">
        <v>-3.8553663842811481E-4</v>
      </c>
      <c r="F196" s="38">
        <v>-1.885206092232337E-4</v>
      </c>
      <c r="G196" s="38">
        <v>6.9999999999999923E-4</v>
      </c>
    </row>
    <row r="197" spans="2:7" x14ac:dyDescent="0.2">
      <c r="B197" s="19">
        <v>44679</v>
      </c>
      <c r="C197" s="19">
        <v>44678</v>
      </c>
      <c r="D197" s="38">
        <v>8.3774581841489226E-4</v>
      </c>
      <c r="E197" s="38">
        <v>9.7635763755762797E-4</v>
      </c>
      <c r="F197" s="38">
        <v>9.1631988979616087E-4</v>
      </c>
      <c r="G197" s="38">
        <v>-3.4694469519536142E-18</v>
      </c>
    </row>
    <row r="198" spans="2:7" x14ac:dyDescent="0.2">
      <c r="B198" s="19">
        <v>44680</v>
      </c>
      <c r="C198" s="19">
        <v>44679</v>
      </c>
      <c r="D198" s="38">
        <v>7.0188322695309037E-4</v>
      </c>
      <c r="E198" s="38">
        <v>2.489665089176361E-4</v>
      </c>
      <c r="F198" s="38">
        <v>-2.7479392258104859E-5</v>
      </c>
      <c r="G198" s="38">
        <v>9.9999999999999395E-5</v>
      </c>
    </row>
    <row r="199" spans="2:7" x14ac:dyDescent="0.2">
      <c r="B199" s="19">
        <v>44683</v>
      </c>
      <c r="C199" s="19">
        <v>44680</v>
      </c>
      <c r="D199" s="38">
        <v>-2.9752868489982352E-4</v>
      </c>
      <c r="E199" s="38">
        <v>3.3014828702116183E-4</v>
      </c>
      <c r="F199" s="38">
        <v>7.2544247499803372E-4</v>
      </c>
      <c r="G199" s="38">
        <v>0</v>
      </c>
    </row>
    <row r="200" spans="2:7" x14ac:dyDescent="0.2">
      <c r="B200" s="19">
        <v>44684</v>
      </c>
      <c r="C200" s="19">
        <v>44683</v>
      </c>
      <c r="D200" s="38">
        <v>-5.1684617717207438E-6</v>
      </c>
      <c r="E200" s="38">
        <v>-3.5598149372501308E-4</v>
      </c>
      <c r="F200" s="38">
        <v>-5.6988881031685805E-4</v>
      </c>
      <c r="G200" s="38">
        <v>-9.9999999999995925E-5</v>
      </c>
    </row>
    <row r="201" spans="2:7" x14ac:dyDescent="0.2">
      <c r="B201" s="19">
        <v>44685</v>
      </c>
      <c r="C201" s="19">
        <v>44684</v>
      </c>
      <c r="D201" s="38">
        <v>6.9028102635851243E-4</v>
      </c>
      <c r="E201" s="38">
        <v>8.0221421458894372E-4</v>
      </c>
      <c r="F201" s="38">
        <v>7.789347561334304E-4</v>
      </c>
      <c r="G201" s="38">
        <v>4.9999999999999697E-4</v>
      </c>
    </row>
    <row r="202" spans="2:7" x14ac:dyDescent="0.2">
      <c r="B202" s="19">
        <v>44686</v>
      </c>
      <c r="C202" s="19">
        <v>44685</v>
      </c>
      <c r="D202" s="38">
        <v>-2.6675801208766011E-4</v>
      </c>
      <c r="E202" s="38">
        <v>-9.5353861737630316E-5</v>
      </c>
      <c r="F202" s="38">
        <v>2.7055534665683039E-5</v>
      </c>
      <c r="G202" s="38">
        <v>1.0000000000000291E-4</v>
      </c>
    </row>
    <row r="203" spans="2:7" x14ac:dyDescent="0.2">
      <c r="B203" s="19">
        <v>44687</v>
      </c>
      <c r="C203" s="19">
        <v>44686</v>
      </c>
      <c r="D203" s="38">
        <v>7.7816817912796472E-4</v>
      </c>
      <c r="E203" s="38">
        <v>9.1638773238402436E-4</v>
      </c>
      <c r="F203" s="38">
        <v>9.2276705261438649E-4</v>
      </c>
      <c r="G203" s="38">
        <v>3.9999999999999758E-4</v>
      </c>
    </row>
    <row r="204" spans="2:7" x14ac:dyDescent="0.2">
      <c r="B204" s="19">
        <v>44690</v>
      </c>
      <c r="C204" s="19">
        <v>44687</v>
      </c>
      <c r="D204" s="38">
        <v>-8.0986499431997313E-4</v>
      </c>
      <c r="E204" s="38">
        <v>-2.5652985216949997E-4</v>
      </c>
      <c r="F204" s="38">
        <v>2.5840912699149308E-4</v>
      </c>
      <c r="G204" s="38">
        <v>1.1999999999999999E-3</v>
      </c>
    </row>
    <row r="205" spans="2:7" x14ac:dyDescent="0.2">
      <c r="B205" s="19">
        <v>44691</v>
      </c>
      <c r="C205" s="19">
        <v>44690</v>
      </c>
      <c r="D205" s="38">
        <v>-7.6508483942923974E-4</v>
      </c>
      <c r="E205" s="38">
        <v>-9.8354806237271886E-4</v>
      </c>
      <c r="F205" s="38">
        <v>-9.7926261309947728E-4</v>
      </c>
      <c r="G205" s="38">
        <v>2.9999999999999818E-4</v>
      </c>
    </row>
    <row r="206" spans="2:7" x14ac:dyDescent="0.2">
      <c r="B206" s="19">
        <v>44692</v>
      </c>
      <c r="C206" s="19">
        <v>44691</v>
      </c>
      <c r="D206" s="38">
        <v>-1.739646571839249E-4</v>
      </c>
      <c r="E206" s="38">
        <v>1.0971038946623079E-5</v>
      </c>
      <c r="F206" s="38">
        <v>2.3899352337566039E-4</v>
      </c>
      <c r="G206" s="38">
        <v>3.4694469519536142E-18</v>
      </c>
    </row>
    <row r="207" spans="2:7" x14ac:dyDescent="0.2">
      <c r="B207" s="19">
        <v>44693</v>
      </c>
      <c r="C207" s="19">
        <v>44692</v>
      </c>
      <c r="D207" s="38">
        <v>-1.0856904457036179E-3</v>
      </c>
      <c r="E207" s="38">
        <v>-1.661624340790379E-3</v>
      </c>
      <c r="F207" s="38">
        <v>-1.471923001751276E-3</v>
      </c>
      <c r="G207" s="38">
        <v>-1.0000000000000291E-4</v>
      </c>
    </row>
    <row r="208" spans="2:7" x14ac:dyDescent="0.2">
      <c r="B208" s="19">
        <v>44694</v>
      </c>
      <c r="C208" s="19">
        <v>44693</v>
      </c>
      <c r="D208" s="38">
        <v>7.8505573001579347E-4</v>
      </c>
      <c r="E208" s="38">
        <v>8.5945179833367413E-4</v>
      </c>
      <c r="F208" s="38">
        <v>6.5495101435908247E-4</v>
      </c>
      <c r="G208" s="38">
        <v>0</v>
      </c>
    </row>
    <row r="209" spans="2:7" x14ac:dyDescent="0.2">
      <c r="B209" s="19">
        <v>44697</v>
      </c>
      <c r="C209" s="19">
        <v>44694</v>
      </c>
      <c r="D209" s="38">
        <v>-2.7536381275670201E-5</v>
      </c>
      <c r="E209" s="38">
        <v>-5.5110813671888248E-5</v>
      </c>
      <c r="F209" s="38">
        <v>4.0800723170831069E-5</v>
      </c>
      <c r="G209" s="38">
        <v>-3.9999999999999758E-4</v>
      </c>
    </row>
    <row r="210" spans="2:7" x14ac:dyDescent="0.2">
      <c r="B210" s="19">
        <v>44698</v>
      </c>
      <c r="C210" s="19">
        <v>44697</v>
      </c>
      <c r="D210" s="38">
        <v>1.3748620162931549E-3</v>
      </c>
      <c r="E210" s="38">
        <v>1.4289451391697771E-3</v>
      </c>
      <c r="F210" s="38">
        <v>8.8034242096812244E-4</v>
      </c>
      <c r="G210" s="38">
        <v>0</v>
      </c>
    </row>
    <row r="211" spans="2:7" x14ac:dyDescent="0.2">
      <c r="B211" s="19">
        <v>44699</v>
      </c>
      <c r="C211" s="19">
        <v>44698</v>
      </c>
      <c r="D211" s="38">
        <v>6.7757268463442856E-4</v>
      </c>
      <c r="E211" s="38">
        <v>3.2036126213649119E-4</v>
      </c>
      <c r="F211" s="38">
        <v>-2.9164905254636799E-5</v>
      </c>
      <c r="G211" s="38">
        <v>-3.0000000000000512E-4</v>
      </c>
    </row>
    <row r="212" spans="2:7" x14ac:dyDescent="0.2">
      <c r="B212" s="19">
        <v>44700</v>
      </c>
      <c r="C212" s="19">
        <v>44699</v>
      </c>
      <c r="D212" s="38">
        <v>-6.9911105102621546E-4</v>
      </c>
      <c r="E212" s="38">
        <v>-9.4295241611079637E-4</v>
      </c>
      <c r="F212" s="38">
        <v>-9.7671665211353752E-4</v>
      </c>
      <c r="G212" s="38">
        <v>9.0000000000000496E-4</v>
      </c>
    </row>
    <row r="213" spans="2:7" x14ac:dyDescent="0.2">
      <c r="B213" s="19">
        <v>44701</v>
      </c>
      <c r="C213" s="19">
        <v>44700</v>
      </c>
      <c r="D213" s="38">
        <v>-2.6702590812027971E-4</v>
      </c>
      <c r="E213" s="38">
        <v>9.0250949267054771E-5</v>
      </c>
      <c r="F213" s="38">
        <v>4.5389506734089079E-4</v>
      </c>
      <c r="G213" s="38">
        <v>-2.0000000000000231E-4</v>
      </c>
    </row>
    <row r="214" spans="2:7" x14ac:dyDescent="0.2">
      <c r="B214" s="19">
        <v>44704</v>
      </c>
      <c r="C214" s="19">
        <v>44701</v>
      </c>
      <c r="D214" s="38">
        <v>1.7858738218181179E-4</v>
      </c>
      <c r="E214" s="38">
        <v>1.413041349813231E-4</v>
      </c>
      <c r="F214" s="38">
        <v>1.220396137018905E-4</v>
      </c>
      <c r="G214" s="38">
        <v>9.9999999999999395E-5</v>
      </c>
    </row>
    <row r="215" spans="2:7" x14ac:dyDescent="0.2">
      <c r="B215" s="19">
        <v>44705</v>
      </c>
      <c r="C215" s="19">
        <v>44704</v>
      </c>
      <c r="D215" s="38">
        <v>2.5956163827374219E-4</v>
      </c>
      <c r="E215" s="38">
        <v>3.0766103580439139E-4</v>
      </c>
      <c r="F215" s="38">
        <v>2.5425457470793639E-4</v>
      </c>
      <c r="G215" s="38">
        <v>3.0000000000000171E-4</v>
      </c>
    </row>
    <row r="216" spans="2:7" x14ac:dyDescent="0.2">
      <c r="B216" s="19">
        <v>44706</v>
      </c>
      <c r="C216" s="19">
        <v>44705</v>
      </c>
      <c r="D216" s="38">
        <v>-6.527304991116934E-4</v>
      </c>
      <c r="E216" s="38">
        <v>-6.2456411319351899E-4</v>
      </c>
      <c r="F216" s="38">
        <v>-3.1091516640356642E-4</v>
      </c>
      <c r="G216" s="38">
        <v>-9.9999999999995925E-5</v>
      </c>
    </row>
    <row r="217" spans="2:7" x14ac:dyDescent="0.2">
      <c r="B217" s="19">
        <v>44707</v>
      </c>
      <c r="C217" s="19">
        <v>44706</v>
      </c>
      <c r="D217" s="38">
        <v>-4.4509335079054871E-4</v>
      </c>
      <c r="E217" s="38">
        <v>-3.3233671439423292E-4</v>
      </c>
      <c r="F217" s="38">
        <v>3.3477170686356181E-4</v>
      </c>
      <c r="G217" s="38">
        <v>2.9999999999999818E-4</v>
      </c>
    </row>
    <row r="218" spans="2:7" x14ac:dyDescent="0.2">
      <c r="B218" s="19">
        <v>44708</v>
      </c>
      <c r="C218" s="19">
        <v>44707</v>
      </c>
      <c r="D218" s="38">
        <v>3.1468362821127191E-4</v>
      </c>
      <c r="E218" s="38">
        <v>-2.813491053830185E-5</v>
      </c>
      <c r="F218" s="38">
        <v>-2.3546681060862901E-4</v>
      </c>
      <c r="G218" s="38">
        <v>-1.0000000000000011E-3</v>
      </c>
    </row>
    <row r="219" spans="2:7" x14ac:dyDescent="0.2">
      <c r="B219" s="19">
        <v>44711</v>
      </c>
      <c r="C219" s="19">
        <v>44708</v>
      </c>
      <c r="D219" s="38">
        <v>1.102368593726757E-3</v>
      </c>
      <c r="E219" s="38">
        <v>1.5586659454769869E-3</v>
      </c>
      <c r="F219" s="38">
        <v>1.1164715219335441E-3</v>
      </c>
      <c r="G219" s="38">
        <v>-5.0000000000000044E-4</v>
      </c>
    </row>
    <row r="220" spans="2:7" x14ac:dyDescent="0.2">
      <c r="B220" s="19">
        <v>44712</v>
      </c>
      <c r="C220" s="19">
        <v>44711</v>
      </c>
      <c r="D220" s="38">
        <v>7.7705520897420688E-4</v>
      </c>
      <c r="E220" s="38">
        <v>8.0541262108597272E-4</v>
      </c>
      <c r="F220" s="38">
        <v>5.6613536627238628E-4</v>
      </c>
      <c r="G220" s="38">
        <v>0</v>
      </c>
    </row>
    <row r="221" spans="2:7" x14ac:dyDescent="0.2">
      <c r="B221" s="19">
        <v>44713</v>
      </c>
      <c r="C221" s="19">
        <v>44712</v>
      </c>
      <c r="D221" s="38">
        <v>-3.2258612719170653E-4</v>
      </c>
      <c r="E221" s="38">
        <v>-2.325257943567496E-4</v>
      </c>
      <c r="F221" s="38">
        <v>1.1619512547650369E-4</v>
      </c>
      <c r="G221" s="38">
        <v>0</v>
      </c>
    </row>
    <row r="222" spans="2:7" x14ac:dyDescent="0.2">
      <c r="B222" s="19">
        <v>44714</v>
      </c>
      <c r="C222" s="19">
        <v>44713</v>
      </c>
      <c r="D222" s="38">
        <v>1.403520557990445E-3</v>
      </c>
      <c r="E222" s="38">
        <v>1.372398097635666E-3</v>
      </c>
      <c r="F222" s="38">
        <v>9.0842207866245403E-4</v>
      </c>
      <c r="G222" s="38">
        <v>-3.0000000000000171E-4</v>
      </c>
    </row>
    <row r="223" spans="2:7" x14ac:dyDescent="0.2">
      <c r="B223" s="19">
        <v>44715</v>
      </c>
      <c r="C223" s="19">
        <v>44714</v>
      </c>
      <c r="D223" s="38">
        <v>3.090194639342415E-4</v>
      </c>
      <c r="E223" s="38">
        <v>3.4189597000486641E-4</v>
      </c>
      <c r="F223" s="38">
        <v>3.2544950590064452E-4</v>
      </c>
      <c r="G223" s="38">
        <v>0</v>
      </c>
    </row>
    <row r="224" spans="2:7" x14ac:dyDescent="0.2">
      <c r="B224" s="19">
        <v>44718</v>
      </c>
      <c r="C224" s="19">
        <v>44715</v>
      </c>
      <c r="D224" s="38">
        <v>3.4979749379265672E-4</v>
      </c>
      <c r="E224" s="38">
        <v>2.8873228536689492E-4</v>
      </c>
      <c r="F224" s="38">
        <v>2.6909809032624188E-4</v>
      </c>
      <c r="G224" s="38">
        <v>-1.9999999999999879E-4</v>
      </c>
    </row>
    <row r="225" spans="2:7" x14ac:dyDescent="0.2">
      <c r="B225" s="19">
        <v>44719</v>
      </c>
      <c r="C225" s="19">
        <v>44718</v>
      </c>
      <c r="D225" s="38">
        <v>-9.9730699765192971E-5</v>
      </c>
      <c r="E225" s="38">
        <v>-1.0311183684249579E-4</v>
      </c>
      <c r="F225" s="38">
        <v>-9.4971887399717195E-5</v>
      </c>
      <c r="G225" s="38">
        <v>1.9999999999999879E-4</v>
      </c>
    </row>
    <row r="226" spans="2:7" x14ac:dyDescent="0.2">
      <c r="B226" s="19">
        <v>44720</v>
      </c>
      <c r="C226" s="19">
        <v>44719</v>
      </c>
      <c r="D226" s="38">
        <v>8.6127613076008875E-4</v>
      </c>
      <c r="E226" s="38">
        <v>7.8095962381644068E-4</v>
      </c>
      <c r="F226" s="38">
        <v>6.2522728519532646E-4</v>
      </c>
      <c r="G226" s="38">
        <v>-9.9999999999999395E-5</v>
      </c>
    </row>
    <row r="227" spans="2:7" x14ac:dyDescent="0.2">
      <c r="B227" s="19">
        <v>44721</v>
      </c>
      <c r="C227" s="19">
        <v>44720</v>
      </c>
      <c r="D227" s="38">
        <v>1.449936540189697E-3</v>
      </c>
      <c r="E227" s="38">
        <v>8.6038661064770545E-4</v>
      </c>
      <c r="F227" s="38">
        <v>5.3573821174568957E-4</v>
      </c>
      <c r="G227" s="38">
        <v>3.0000000000000512E-4</v>
      </c>
    </row>
    <row r="228" spans="2:7" x14ac:dyDescent="0.2">
      <c r="B228" s="19">
        <v>44722</v>
      </c>
      <c r="C228" s="19">
        <v>44721</v>
      </c>
      <c r="D228" s="38">
        <v>1.2076069173506941E-3</v>
      </c>
      <c r="E228" s="38">
        <v>6.4733056066590064E-4</v>
      </c>
      <c r="F228" s="38">
        <v>4.0220831336225388E-4</v>
      </c>
      <c r="G228" s="38">
        <v>8.9999999999999455E-4</v>
      </c>
    </row>
    <row r="229" spans="2:7" x14ac:dyDescent="0.2">
      <c r="B229" s="19">
        <v>44725</v>
      </c>
      <c r="C229" s="19">
        <v>44722</v>
      </c>
      <c r="D229" s="38">
        <v>1.7811843674348639E-3</v>
      </c>
      <c r="E229" s="38">
        <v>1.4260000413229891E-3</v>
      </c>
      <c r="F229" s="38">
        <v>1.2941256499874221E-3</v>
      </c>
      <c r="G229" s="38">
        <v>1.600000000000004E-3</v>
      </c>
    </row>
    <row r="230" spans="2:7" x14ac:dyDescent="0.2">
      <c r="B230" s="19">
        <v>44726</v>
      </c>
      <c r="C230" s="19">
        <v>44725</v>
      </c>
      <c r="D230" s="38">
        <v>5.6127631638138581E-4</v>
      </c>
      <c r="E230" s="38">
        <v>8.1936217496149724E-4</v>
      </c>
      <c r="F230" s="38">
        <v>9.0832252279214251E-4</v>
      </c>
      <c r="G230" s="38">
        <v>9.9999999999999395E-4</v>
      </c>
    </row>
    <row r="231" spans="2:7" x14ac:dyDescent="0.2">
      <c r="B231" s="19">
        <v>44727</v>
      </c>
      <c r="C231" s="19">
        <v>44726</v>
      </c>
      <c r="D231" s="38">
        <v>-4.0560648760944688E-4</v>
      </c>
      <c r="E231" s="38">
        <v>-4.0516075506728458E-4</v>
      </c>
      <c r="F231" s="38">
        <v>-4.0245643728823582E-4</v>
      </c>
      <c r="G231" s="38">
        <v>3.4694469519536142E-18</v>
      </c>
    </row>
    <row r="232" spans="2:7" x14ac:dyDescent="0.2">
      <c r="B232" s="19">
        <v>44728</v>
      </c>
      <c r="C232" s="19">
        <v>44727</v>
      </c>
      <c r="D232" s="38">
        <v>8.0062769231314598E-4</v>
      </c>
      <c r="E232" s="38">
        <v>1.306339024378655E-3</v>
      </c>
      <c r="F232" s="38">
        <v>1.518868728745008E-3</v>
      </c>
      <c r="G232" s="38">
        <v>4.0000000000000099E-4</v>
      </c>
    </row>
    <row r="233" spans="2:7" x14ac:dyDescent="0.2">
      <c r="B233" s="19">
        <v>44729</v>
      </c>
      <c r="C233" s="19">
        <v>44728</v>
      </c>
      <c r="D233" s="38">
        <v>-7.1956224745347783E-4</v>
      </c>
      <c r="E233" s="38">
        <v>-1.3131384846682291E-3</v>
      </c>
      <c r="F233" s="38">
        <v>-7.7758328857871484E-4</v>
      </c>
      <c r="G233" s="38">
        <v>9.9999999999999395E-4</v>
      </c>
    </row>
    <row r="234" spans="2:7" x14ac:dyDescent="0.2">
      <c r="B234" s="19">
        <v>44732</v>
      </c>
      <c r="C234" s="19">
        <v>44729</v>
      </c>
      <c r="D234" s="38">
        <v>2.7976838870316482E-4</v>
      </c>
      <c r="E234" s="38">
        <v>-1.0382829877744399E-5</v>
      </c>
      <c r="F234" s="38">
        <v>1.9355042531358019E-4</v>
      </c>
      <c r="G234" s="38">
        <v>1.0408340855860839E-17</v>
      </c>
    </row>
    <row r="235" spans="2:7" x14ac:dyDescent="0.2">
      <c r="B235" s="19">
        <v>44733</v>
      </c>
      <c r="C235" s="19">
        <v>44732</v>
      </c>
      <c r="D235" s="38">
        <v>-2.2206275664642811E-4</v>
      </c>
      <c r="E235" s="38">
        <v>2.757571871616904E-4</v>
      </c>
      <c r="F235" s="38">
        <v>2.8506577604055228E-4</v>
      </c>
      <c r="G235" s="38">
        <v>-3.0000000000000171E-4</v>
      </c>
    </row>
    <row r="236" spans="2:7" x14ac:dyDescent="0.2">
      <c r="B236" s="19">
        <v>44734</v>
      </c>
      <c r="C236" s="19">
        <v>44733</v>
      </c>
      <c r="D236" s="38">
        <v>-1.0096053824750139E-3</v>
      </c>
      <c r="E236" s="38">
        <v>-1.3391386484316631E-3</v>
      </c>
      <c r="F236" s="38">
        <v>-1.3869264114724741E-3</v>
      </c>
      <c r="G236" s="38">
        <v>-1.0000000000000291E-4</v>
      </c>
    </row>
    <row r="237" spans="2:7" x14ac:dyDescent="0.2">
      <c r="B237" s="19">
        <v>44735</v>
      </c>
      <c r="C237" s="19">
        <v>44734</v>
      </c>
      <c r="D237" s="38">
        <v>-1.973906018755623E-3</v>
      </c>
      <c r="E237" s="38">
        <v>-2.7993280280763731E-3</v>
      </c>
      <c r="F237" s="38">
        <v>-2.028063402349315E-3</v>
      </c>
      <c r="G237" s="38">
        <v>1.099999999999997E-3</v>
      </c>
    </row>
    <row r="238" spans="2:7" x14ac:dyDescent="0.2">
      <c r="B238" s="19">
        <v>44736</v>
      </c>
      <c r="C238" s="19">
        <v>44735</v>
      </c>
      <c r="D238" s="38">
        <v>5.6558987091593661E-4</v>
      </c>
      <c r="E238" s="38">
        <v>9.0259651134572474E-4</v>
      </c>
      <c r="F238" s="38">
        <v>9.5813587000318813E-4</v>
      </c>
      <c r="G238" s="38">
        <v>-2.0000000000000231E-4</v>
      </c>
    </row>
    <row r="239" spans="2:7" x14ac:dyDescent="0.2">
      <c r="B239" s="19">
        <v>44739</v>
      </c>
      <c r="C239" s="19">
        <v>44736</v>
      </c>
      <c r="D239" s="38">
        <v>1.022187322913346E-4</v>
      </c>
      <c r="E239" s="38">
        <v>3.7696267450420921E-4</v>
      </c>
      <c r="F239" s="38">
        <v>1.664318103576645E-4</v>
      </c>
      <c r="G239" s="38">
        <v>3.4694469519536142E-18</v>
      </c>
    </row>
    <row r="240" spans="2:7" x14ac:dyDescent="0.2">
      <c r="B240" s="19">
        <v>44740</v>
      </c>
      <c r="C240" s="19">
        <v>44739</v>
      </c>
      <c r="D240" s="38">
        <v>7.2796076592844539E-4</v>
      </c>
      <c r="E240" s="38">
        <v>1.1940141374837991E-3</v>
      </c>
      <c r="F240" s="38">
        <v>1.269847139676161E-3</v>
      </c>
      <c r="G240" s="38">
        <v>3.4694469519536142E-18</v>
      </c>
    </row>
    <row r="241" spans="2:7" x14ac:dyDescent="0.2">
      <c r="B241" s="19">
        <v>44741</v>
      </c>
      <c r="C241" s="19">
        <v>44740</v>
      </c>
      <c r="D241" s="38">
        <v>-2.2936175015735889E-4</v>
      </c>
      <c r="E241" s="38">
        <v>-8.1900590265045377E-4</v>
      </c>
      <c r="F241" s="38">
        <v>-7.104954322338132E-4</v>
      </c>
      <c r="G241" s="38">
        <v>6.9999999999999576E-4</v>
      </c>
    </row>
    <row r="242" spans="2:7" x14ac:dyDescent="0.2">
      <c r="B242" s="19">
        <v>44742</v>
      </c>
      <c r="C242" s="19">
        <v>44741</v>
      </c>
      <c r="D242" s="38">
        <v>-2.56563436573816E-3</v>
      </c>
      <c r="E242" s="38">
        <v>-2.1901885788160901E-3</v>
      </c>
      <c r="F242" s="38">
        <v>-1.5881687180655209E-3</v>
      </c>
      <c r="G242" s="38">
        <v>1.6000000000000009E-3</v>
      </c>
    </row>
    <row r="243" spans="2:7" x14ac:dyDescent="0.2">
      <c r="B243" s="19">
        <v>44743</v>
      </c>
      <c r="C243" s="19">
        <v>44742</v>
      </c>
      <c r="D243" s="38">
        <v>-1.390977708152139E-3</v>
      </c>
      <c r="E243" s="38">
        <v>-1.4794368542673101E-3</v>
      </c>
      <c r="F243" s="38">
        <v>-9.3945905378089653E-4</v>
      </c>
      <c r="G243" s="38">
        <v>-4.0000000000000099E-4</v>
      </c>
    </row>
    <row r="244" spans="2:7" x14ac:dyDescent="0.2">
      <c r="B244" s="19">
        <v>44746</v>
      </c>
      <c r="C244" s="19">
        <v>44743</v>
      </c>
      <c r="D244" s="38">
        <v>1.0593365459104741E-3</v>
      </c>
      <c r="E244" s="38">
        <v>7.5549337089959E-4</v>
      </c>
      <c r="F244" s="38">
        <v>4.5591910825377308E-4</v>
      </c>
      <c r="G244" s="38">
        <v>5.0000000000000391E-4</v>
      </c>
    </row>
    <row r="245" spans="2:7" x14ac:dyDescent="0.2">
      <c r="B245" s="19">
        <v>44747</v>
      </c>
      <c r="C245" s="19">
        <v>44746</v>
      </c>
      <c r="D245" s="38">
        <v>-1.723375834501865E-3</v>
      </c>
      <c r="E245" s="38">
        <v>-1.353719194238989E-3</v>
      </c>
      <c r="F245" s="38">
        <v>-1.1410384662488391E-3</v>
      </c>
      <c r="G245" s="38">
        <v>2.9999999999999818E-4</v>
      </c>
    </row>
    <row r="246" spans="2:7" x14ac:dyDescent="0.2">
      <c r="B246" s="19">
        <v>44748</v>
      </c>
      <c r="C246" s="19">
        <v>44747</v>
      </c>
      <c r="D246" s="38">
        <v>-8.0479193018456784E-4</v>
      </c>
      <c r="E246" s="38">
        <v>-1.1064553142800719E-3</v>
      </c>
      <c r="F246" s="38">
        <v>-8.3900624863862683E-4</v>
      </c>
      <c r="G246" s="38">
        <v>-1.9999999999999529E-4</v>
      </c>
    </row>
    <row r="247" spans="2:7" x14ac:dyDescent="0.2">
      <c r="B247" s="19">
        <v>44749</v>
      </c>
      <c r="C247" s="19">
        <v>44748</v>
      </c>
      <c r="D247" s="38">
        <v>1.3580481204099109E-3</v>
      </c>
      <c r="E247" s="38">
        <v>1.388436934704366E-3</v>
      </c>
      <c r="F247" s="38">
        <v>1.11710497124195E-3</v>
      </c>
      <c r="G247" s="38">
        <v>-4.0000000000000099E-4</v>
      </c>
    </row>
    <row r="248" spans="2:7" x14ac:dyDescent="0.2">
      <c r="B248" s="19">
        <v>44750</v>
      </c>
      <c r="C248" s="19">
        <v>44749</v>
      </c>
      <c r="D248" s="38">
        <v>-2.0922595573152301E-4</v>
      </c>
      <c r="E248" s="38">
        <v>1.6919406992549869E-4</v>
      </c>
      <c r="F248" s="38">
        <v>9.6958696812093556E-5</v>
      </c>
      <c r="G248" s="38">
        <v>-1.0000000000000291E-4</v>
      </c>
    </row>
    <row r="249" spans="2:7" x14ac:dyDescent="0.2">
      <c r="B249" s="19">
        <v>44753</v>
      </c>
      <c r="C249" s="19">
        <v>44750</v>
      </c>
      <c r="D249" s="38">
        <v>-6.8011896187301652E-4</v>
      </c>
      <c r="E249" s="38">
        <v>-7.8127718177936623E-4</v>
      </c>
      <c r="F249" s="38">
        <v>-4.7225466107617652E-4</v>
      </c>
      <c r="G249" s="38">
        <v>-4.0000000000000099E-4</v>
      </c>
    </row>
    <row r="250" spans="2:7" x14ac:dyDescent="0.2">
      <c r="B250" s="19">
        <v>44754</v>
      </c>
      <c r="C250" s="19">
        <v>44753</v>
      </c>
      <c r="D250" s="38">
        <v>-1.1003900600622309E-3</v>
      </c>
      <c r="E250" s="38">
        <v>-1.1655282077674891E-3</v>
      </c>
      <c r="F250" s="38">
        <v>-1.3792450781226939E-3</v>
      </c>
      <c r="G250" s="38">
        <v>5.9999999999999984E-4</v>
      </c>
    </row>
    <row r="251" spans="2:7" x14ac:dyDescent="0.2">
      <c r="B251" s="19">
        <v>44755</v>
      </c>
      <c r="C251" s="19">
        <v>44754</v>
      </c>
      <c r="D251" s="38">
        <v>9.1931087901988683E-4</v>
      </c>
      <c r="E251" s="38">
        <v>8.9774905987045645E-4</v>
      </c>
      <c r="F251" s="38">
        <v>7.5459287586366643E-4</v>
      </c>
      <c r="G251" s="38">
        <v>-1.1999999999999999E-3</v>
      </c>
    </row>
    <row r="252" spans="2:7" x14ac:dyDescent="0.2">
      <c r="B252" s="19">
        <v>44756</v>
      </c>
      <c r="C252" s="19">
        <v>44755</v>
      </c>
      <c r="D252" s="38">
        <v>1.1658542686895079E-3</v>
      </c>
      <c r="E252" s="38">
        <v>5.999646179936681E-4</v>
      </c>
      <c r="F252" s="38">
        <v>-1.9588924561487341E-6</v>
      </c>
      <c r="G252" s="38">
        <v>-9.9999999999999395E-5</v>
      </c>
    </row>
    <row r="253" spans="2:7" x14ac:dyDescent="0.2">
      <c r="B253" s="19">
        <v>44757</v>
      </c>
      <c r="C253" s="19">
        <v>44756</v>
      </c>
      <c r="D253" s="38">
        <v>-5.6540683440219498E-4</v>
      </c>
      <c r="E253" s="38">
        <v>-5.8548109589290701E-4</v>
      </c>
      <c r="F253" s="38">
        <v>-4.2999933429845559E-4</v>
      </c>
      <c r="G253" s="38">
        <v>9.0000000000000149E-4</v>
      </c>
    </row>
    <row r="254" spans="2:7" x14ac:dyDescent="0.2">
      <c r="B254" s="19">
        <v>44760</v>
      </c>
      <c r="C254" s="19">
        <v>44757</v>
      </c>
      <c r="D254" s="38">
        <v>4.2987777257441449E-4</v>
      </c>
      <c r="E254" s="38">
        <v>7.6040941008612487E-4</v>
      </c>
      <c r="F254" s="38">
        <v>7.0520984257735862E-4</v>
      </c>
      <c r="G254" s="38">
        <v>-9.0000000000000496E-4</v>
      </c>
    </row>
    <row r="255" spans="2:7" x14ac:dyDescent="0.2">
      <c r="B255" s="19">
        <v>44761</v>
      </c>
      <c r="C255" s="19">
        <v>44760</v>
      </c>
      <c r="D255" s="38">
        <v>8.284784975109722E-4</v>
      </c>
      <c r="E255" s="38">
        <v>5.965918904828043E-4</v>
      </c>
      <c r="F255" s="38">
        <v>2.7274644191170252E-4</v>
      </c>
      <c r="G255" s="38">
        <v>-2.9999999999999818E-4</v>
      </c>
    </row>
    <row r="256" spans="2:7" x14ac:dyDescent="0.2">
      <c r="B256" s="19">
        <v>44762</v>
      </c>
      <c r="C256" s="19">
        <v>44761</v>
      </c>
      <c r="D256" s="38">
        <v>-3.0654045521325002E-4</v>
      </c>
      <c r="E256" s="38">
        <v>-5.3785945733773183E-5</v>
      </c>
      <c r="F256" s="38">
        <v>-1.635648579634795E-4</v>
      </c>
      <c r="G256" s="38">
        <v>-7.9999999999999863E-4</v>
      </c>
    </row>
    <row r="257" spans="2:7" x14ac:dyDescent="0.2">
      <c r="B257" s="19">
        <v>44763</v>
      </c>
      <c r="C257" s="19">
        <v>44762</v>
      </c>
      <c r="D257" s="38">
        <v>4.1945526891551052E-4</v>
      </c>
      <c r="E257" s="38">
        <v>5.0770013436553241E-4</v>
      </c>
      <c r="F257" s="38">
        <v>5.2657889831109889E-4</v>
      </c>
      <c r="G257" s="38">
        <v>-7.9999999999999863E-4</v>
      </c>
    </row>
    <row r="258" spans="2:7" x14ac:dyDescent="0.2">
      <c r="B258" s="19">
        <v>44764</v>
      </c>
      <c r="C258" s="19">
        <v>44763</v>
      </c>
      <c r="D258" s="38">
        <v>-1.9515892781796691E-3</v>
      </c>
      <c r="E258" s="38">
        <v>-2.5218349304891689E-3</v>
      </c>
      <c r="F258" s="38">
        <v>-2.5434978644774619E-3</v>
      </c>
      <c r="G258" s="38">
        <v>2.9999999999999818E-4</v>
      </c>
    </row>
    <row r="259" spans="2:7" x14ac:dyDescent="0.2">
      <c r="B259" s="19">
        <v>44767</v>
      </c>
      <c r="C259" s="19">
        <v>44764</v>
      </c>
      <c r="D259" s="38">
        <v>3.6422183854750489E-4</v>
      </c>
      <c r="E259" s="38">
        <v>2.4570714913021811E-4</v>
      </c>
      <c r="F259" s="38">
        <v>5.9141382472605551E-4</v>
      </c>
      <c r="G259" s="38">
        <v>-1.1999999999999999E-3</v>
      </c>
    </row>
    <row r="260" spans="2:7" x14ac:dyDescent="0.2">
      <c r="B260" s="19">
        <v>44768</v>
      </c>
      <c r="C260" s="19">
        <v>44767</v>
      </c>
      <c r="D260" s="38">
        <v>-1.1491527839747381E-3</v>
      </c>
      <c r="E260" s="38">
        <v>-1.498888383232878E-3</v>
      </c>
      <c r="F260" s="38">
        <v>-1.4954325541440879E-3</v>
      </c>
      <c r="G260" s="38">
        <v>-2.0000000000000231E-4</v>
      </c>
    </row>
    <row r="261" spans="2:7" x14ac:dyDescent="0.2">
      <c r="B261" s="19">
        <v>44769</v>
      </c>
      <c r="C261" s="19">
        <v>44768</v>
      </c>
      <c r="D261" s="38">
        <v>4.2153046607042562E-4</v>
      </c>
      <c r="E261" s="38">
        <v>2.4486210900199953E-4</v>
      </c>
      <c r="F261" s="38">
        <v>1.2274796687053791E-4</v>
      </c>
      <c r="G261" s="38">
        <v>6.0000000000000331E-4</v>
      </c>
    </row>
    <row r="262" spans="2:7" x14ac:dyDescent="0.2">
      <c r="B262" s="19">
        <v>44770</v>
      </c>
      <c r="C262" s="19">
        <v>44769</v>
      </c>
      <c r="D262" s="38">
        <v>-1.2343300146383739E-3</v>
      </c>
      <c r="E262" s="38">
        <v>-1.6463564536634489E-3</v>
      </c>
      <c r="F262" s="38">
        <v>-1.2666680221149159E-3</v>
      </c>
      <c r="G262" s="38">
        <v>-6.0000000000000331E-4</v>
      </c>
    </row>
    <row r="263" spans="2:7" x14ac:dyDescent="0.2">
      <c r="B263" s="19">
        <v>44771</v>
      </c>
      <c r="C263" s="19">
        <v>44770</v>
      </c>
      <c r="D263" s="38">
        <v>2.6401103555336638E-4</v>
      </c>
      <c r="E263" s="38">
        <v>4.8449238401744241E-4</v>
      </c>
      <c r="F263" s="38">
        <v>3.2957835973702892E-4</v>
      </c>
      <c r="G263" s="38">
        <v>-3.9999999999999758E-4</v>
      </c>
    </row>
    <row r="264" spans="2:7" x14ac:dyDescent="0.2">
      <c r="B264" s="19">
        <v>44774</v>
      </c>
      <c r="C264" s="19">
        <v>44771</v>
      </c>
      <c r="D264" s="38">
        <v>-4.8180598084042198E-4</v>
      </c>
      <c r="E264" s="38">
        <v>-7.0921054457196309E-4</v>
      </c>
      <c r="F264" s="38">
        <v>-7.8500224400778439E-4</v>
      </c>
      <c r="G264" s="38">
        <v>-2.9999999999999818E-4</v>
      </c>
    </row>
    <row r="265" spans="2:7" x14ac:dyDescent="0.2">
      <c r="B265" s="19">
        <v>44775</v>
      </c>
      <c r="C265" s="19">
        <v>44774</v>
      </c>
      <c r="D265" s="38">
        <v>2.8464962014905553E-4</v>
      </c>
      <c r="E265" s="38">
        <v>-1.756240004176313E-4</v>
      </c>
      <c r="F265" s="38">
        <v>-1.7056590450892009E-4</v>
      </c>
      <c r="G265" s="38">
        <v>1.9999999999999879E-4</v>
      </c>
    </row>
    <row r="266" spans="2:7" x14ac:dyDescent="0.2">
      <c r="B266" s="19">
        <v>44776</v>
      </c>
      <c r="C266" s="19">
        <v>44775</v>
      </c>
      <c r="D266" s="38">
        <v>1.1106266262475731E-3</v>
      </c>
      <c r="E266" s="38">
        <v>1.313710160598306E-3</v>
      </c>
      <c r="F266" s="38">
        <v>9.2627011819165078E-4</v>
      </c>
      <c r="G266" s="38">
        <v>-3.4694469519536142E-18</v>
      </c>
    </row>
    <row r="267" spans="2:7" x14ac:dyDescent="0.2">
      <c r="B267" s="19">
        <v>44777</v>
      </c>
      <c r="C267" s="19">
        <v>44776</v>
      </c>
      <c r="D267" s="38">
        <v>-2.9775002693590988E-4</v>
      </c>
      <c r="E267" s="38">
        <v>-6.1937339609831332E-4</v>
      </c>
      <c r="F267" s="38">
        <v>-4.446398182718532E-4</v>
      </c>
      <c r="G267" s="38">
        <v>-5.0000000000000044E-4</v>
      </c>
    </row>
    <row r="268" spans="2:7" x14ac:dyDescent="0.2">
      <c r="B268" s="19">
        <v>44778</v>
      </c>
      <c r="C268" s="19">
        <v>44777</v>
      </c>
      <c r="D268" s="38">
        <v>1.146218243336401E-3</v>
      </c>
      <c r="E268" s="38">
        <v>1.173089869592667E-3</v>
      </c>
      <c r="F268" s="38">
        <v>8.4448969356857098E-4</v>
      </c>
      <c r="G268" s="38">
        <v>9.9999999999999395E-5</v>
      </c>
    </row>
    <row r="269" spans="2:7" x14ac:dyDescent="0.2">
      <c r="B269" s="19">
        <v>44781</v>
      </c>
      <c r="C269" s="19">
        <v>44778</v>
      </c>
      <c r="D269" s="38">
        <v>-3.8064690811983991E-4</v>
      </c>
      <c r="E269" s="38">
        <v>-3.6756103620653839E-4</v>
      </c>
      <c r="F269" s="38">
        <v>-2.408842620890052E-4</v>
      </c>
      <c r="G269" s="38">
        <v>1.0000000000000631E-4</v>
      </c>
    </row>
    <row r="270" spans="2:7" x14ac:dyDescent="0.2">
      <c r="B270" s="19">
        <v>44782</v>
      </c>
      <c r="C270" s="19">
        <v>44781</v>
      </c>
      <c r="D270" s="38">
        <v>6.6832076728003294E-4</v>
      </c>
      <c r="E270" s="38">
        <v>7.4525768408245825E-4</v>
      </c>
      <c r="F270" s="38">
        <v>6.9396852779556213E-4</v>
      </c>
      <c r="G270" s="38">
        <v>-5.0000000000000738E-4</v>
      </c>
    </row>
    <row r="271" spans="2:7" x14ac:dyDescent="0.2">
      <c r="B271" s="19">
        <v>44783</v>
      </c>
      <c r="C271" s="19">
        <v>44782</v>
      </c>
      <c r="D271" s="38">
        <v>-5.8423494227255023E-4</v>
      </c>
      <c r="E271" s="38">
        <v>-7.1212768681702329E-4</v>
      </c>
      <c r="F271" s="38">
        <v>-7.0860611760274576E-4</v>
      </c>
      <c r="G271" s="38">
        <v>4.0000000000000099E-4</v>
      </c>
    </row>
    <row r="272" spans="2:7" x14ac:dyDescent="0.2">
      <c r="B272" s="19">
        <v>44784</v>
      </c>
      <c r="C272" s="19">
        <v>44783</v>
      </c>
      <c r="D272" s="38">
        <v>2.8849540172880787E-4</v>
      </c>
      <c r="E272" s="38">
        <v>4.284450895274987E-4</v>
      </c>
      <c r="F272" s="38">
        <v>6.5819214804336418E-4</v>
      </c>
      <c r="G272" s="38">
        <v>-4.9999999999999697E-4</v>
      </c>
    </row>
    <row r="273" spans="2:7" x14ac:dyDescent="0.2">
      <c r="B273" s="19">
        <v>44785</v>
      </c>
      <c r="C273" s="19">
        <v>44784</v>
      </c>
      <c r="D273" s="38">
        <v>1.745716541658119E-4</v>
      </c>
      <c r="E273" s="38">
        <v>2.35040114760823E-4</v>
      </c>
      <c r="F273" s="38">
        <v>3.0598406046608231E-4</v>
      </c>
      <c r="G273" s="38">
        <v>-2.0000000000000231E-4</v>
      </c>
    </row>
    <row r="274" spans="2:7" x14ac:dyDescent="0.2">
      <c r="B274" s="19">
        <v>44788</v>
      </c>
      <c r="C274" s="19">
        <v>44785</v>
      </c>
      <c r="D274" s="38">
        <v>-1.0336523855145659E-4</v>
      </c>
      <c r="E274" s="38">
        <v>-4.1684740005836288E-5</v>
      </c>
      <c r="F274" s="38">
        <v>-5.9898563534117183E-4</v>
      </c>
      <c r="G274" s="38">
        <v>2.000000000000057E-4</v>
      </c>
    </row>
    <row r="275" spans="2:7" x14ac:dyDescent="0.2">
      <c r="B275" s="19">
        <v>44789</v>
      </c>
      <c r="C275" s="19">
        <v>44788</v>
      </c>
      <c r="D275" s="38">
        <v>3.7273312476567179E-4</v>
      </c>
      <c r="E275" s="38">
        <v>3.3932194967920953E-4</v>
      </c>
      <c r="F275" s="38">
        <v>8.0123931987569237E-4</v>
      </c>
      <c r="G275" s="38">
        <v>-4.0000000000000099E-4</v>
      </c>
    </row>
    <row r="276" spans="2:7" x14ac:dyDescent="0.2">
      <c r="B276" s="19">
        <v>44790</v>
      </c>
      <c r="C276" s="19">
        <v>44789</v>
      </c>
      <c r="D276" s="38">
        <v>1.622407702794568E-3</v>
      </c>
      <c r="E276" s="38">
        <v>1.262317282372258E-3</v>
      </c>
      <c r="F276" s="38">
        <v>8.0970734201474097E-4</v>
      </c>
      <c r="G276" s="38">
        <v>1.0000000000000291E-4</v>
      </c>
    </row>
    <row r="277" spans="2:7" x14ac:dyDescent="0.2">
      <c r="B277" s="19">
        <v>44791</v>
      </c>
      <c r="C277" s="19">
        <v>44790</v>
      </c>
      <c r="D277" s="38">
        <v>3.1272678469812352E-4</v>
      </c>
      <c r="E277" s="38">
        <v>3.2589338283685321E-4</v>
      </c>
      <c r="F277" s="38">
        <v>2.1144295429041321E-4</v>
      </c>
      <c r="G277" s="38">
        <v>5.9999999999999637E-4</v>
      </c>
    </row>
    <row r="278" spans="2:7" x14ac:dyDescent="0.2">
      <c r="B278" s="19">
        <v>44792</v>
      </c>
      <c r="C278" s="19">
        <v>44791</v>
      </c>
      <c r="D278" s="38">
        <v>6.4604883502589368E-4</v>
      </c>
      <c r="E278" s="38">
        <v>1.0943139389456311E-3</v>
      </c>
      <c r="F278" s="38">
        <v>1.3555369130771879E-3</v>
      </c>
      <c r="G278" s="38">
        <v>1.9999999999999879E-4</v>
      </c>
    </row>
    <row r="279" spans="2:7" x14ac:dyDescent="0.2">
      <c r="B279" s="19">
        <v>44795</v>
      </c>
      <c r="C279" s="19">
        <v>44792</v>
      </c>
      <c r="D279" s="38">
        <v>6.5485912672959279E-4</v>
      </c>
      <c r="E279" s="38">
        <v>6.7532892502274525E-4</v>
      </c>
      <c r="F279" s="38">
        <v>4.255483451264027E-4</v>
      </c>
      <c r="G279" s="38">
        <v>5.0000000000000044E-4</v>
      </c>
    </row>
    <row r="280" spans="2:7" x14ac:dyDescent="0.2">
      <c r="B280" s="19">
        <v>44796</v>
      </c>
      <c r="C280" s="19">
        <v>44795</v>
      </c>
      <c r="D280" s="38">
        <v>2.6819531632071332E-4</v>
      </c>
      <c r="E280" s="38">
        <v>7.1697510448063759E-4</v>
      </c>
      <c r="F280" s="38">
        <v>7.6785430340122786E-4</v>
      </c>
      <c r="G280" s="38">
        <v>8.000000000000021E-4</v>
      </c>
    </row>
    <row r="281" spans="2:7" x14ac:dyDescent="0.2">
      <c r="B281" s="19">
        <v>44797</v>
      </c>
      <c r="C281" s="19">
        <v>44796</v>
      </c>
      <c r="D281" s="38">
        <v>1.967261865659167E-4</v>
      </c>
      <c r="E281" s="38">
        <v>3.0117897182583078E-4</v>
      </c>
      <c r="F281" s="38">
        <v>2.8097007999997042E-4</v>
      </c>
      <c r="G281" s="38">
        <v>2.9999999999999818E-4</v>
      </c>
    </row>
    <row r="282" spans="2:7" x14ac:dyDescent="0.2">
      <c r="B282" s="19">
        <v>44798</v>
      </c>
      <c r="C282" s="19">
        <v>44797</v>
      </c>
      <c r="D282" s="38">
        <v>-7.113554342327872E-4</v>
      </c>
      <c r="E282" s="38">
        <v>-5.6807012922988932E-4</v>
      </c>
      <c r="F282" s="38">
        <v>-1.879212020807729E-4</v>
      </c>
      <c r="G282" s="38">
        <v>-5.9999999999999984E-4</v>
      </c>
    </row>
    <row r="283" spans="2:7" x14ac:dyDescent="0.2">
      <c r="B283" s="19">
        <v>44799</v>
      </c>
      <c r="C283" s="19">
        <v>44798</v>
      </c>
      <c r="D283" s="38">
        <v>1.0915049598137459E-3</v>
      </c>
      <c r="E283" s="38">
        <v>9.4051367296152898E-4</v>
      </c>
      <c r="F283" s="38">
        <v>9.4153231320865879E-4</v>
      </c>
      <c r="G283" s="38">
        <v>-3.0000000000000171E-4</v>
      </c>
    </row>
    <row r="284" spans="2:7" x14ac:dyDescent="0.2">
      <c r="B284" s="19">
        <v>44802</v>
      </c>
      <c r="C284" s="19">
        <v>44799</v>
      </c>
      <c r="D284" s="38">
        <v>8.6454149557560825E-4</v>
      </c>
      <c r="E284" s="38">
        <v>1.146018916750676E-3</v>
      </c>
      <c r="F284" s="38">
        <v>8.8578519322715307E-4</v>
      </c>
      <c r="G284" s="38">
        <v>-9.9999999999999395E-5</v>
      </c>
    </row>
    <row r="285" spans="2:7" x14ac:dyDescent="0.2">
      <c r="B285" s="19">
        <v>44803</v>
      </c>
      <c r="C285" s="19">
        <v>44802</v>
      </c>
      <c r="D285" s="38">
        <v>2.2355556295915351E-4</v>
      </c>
      <c r="E285" s="38">
        <v>-4.4703741808281572E-5</v>
      </c>
      <c r="F285" s="38">
        <v>-7.2768783282967965E-4</v>
      </c>
      <c r="G285" s="38">
        <v>5.0000000000000044E-4</v>
      </c>
    </row>
    <row r="286" spans="2:7" x14ac:dyDescent="0.2">
      <c r="B286" s="19">
        <v>44804</v>
      </c>
      <c r="C286" s="19">
        <v>44803</v>
      </c>
      <c r="D286" s="38">
        <v>8.4496173648633717E-4</v>
      </c>
      <c r="E286" s="38">
        <v>6.7588630686318991E-4</v>
      </c>
      <c r="F286" s="38">
        <v>3.8447132214836609E-4</v>
      </c>
      <c r="G286" s="38">
        <v>6.0000000000000331E-4</v>
      </c>
    </row>
    <row r="287" spans="2:7" x14ac:dyDescent="0.2">
      <c r="B287" s="19">
        <v>44805</v>
      </c>
      <c r="C287" s="19">
        <v>44804</v>
      </c>
      <c r="D287" s="38">
        <v>-4.1694058415364672E-5</v>
      </c>
      <c r="E287" s="38">
        <v>1.685691526337775E-4</v>
      </c>
      <c r="F287" s="38">
        <v>6.6054235532034614E-4</v>
      </c>
      <c r="G287" s="38">
        <v>5.0000000000000044E-4</v>
      </c>
    </row>
    <row r="288" spans="2:7" x14ac:dyDescent="0.2">
      <c r="B288" s="19">
        <v>44806</v>
      </c>
      <c r="C288" s="19">
        <v>44805</v>
      </c>
      <c r="D288" s="38">
        <v>-9.3054021461862028E-4</v>
      </c>
      <c r="E288" s="38">
        <v>-1.1149370037417409E-3</v>
      </c>
      <c r="F288" s="38">
        <v>-9.3393816995198005E-4</v>
      </c>
      <c r="G288" s="38">
        <v>3.9999999999999758E-4</v>
      </c>
    </row>
    <row r="289" spans="2:7" x14ac:dyDescent="0.2">
      <c r="B289" s="19">
        <v>44809</v>
      </c>
      <c r="C289" s="19">
        <v>44806</v>
      </c>
      <c r="D289" s="38">
        <v>2.7907426816930168E-4</v>
      </c>
      <c r="E289" s="38">
        <v>8.5830595307284999E-4</v>
      </c>
      <c r="F289" s="38">
        <v>8.5182789201128546E-4</v>
      </c>
      <c r="G289" s="38">
        <v>-6.9388939039072284E-18</v>
      </c>
    </row>
    <row r="290" spans="2:7" x14ac:dyDescent="0.2">
      <c r="B290" s="19">
        <v>44810</v>
      </c>
      <c r="C290" s="19">
        <v>44809</v>
      </c>
      <c r="D290" s="38">
        <v>-4.4452592473201089E-5</v>
      </c>
      <c r="E290" s="38">
        <v>-1.4713915476002179E-4</v>
      </c>
      <c r="F290" s="38">
        <v>5.300116245361558E-4</v>
      </c>
      <c r="G290" s="38">
        <v>2.000000000000057E-4</v>
      </c>
    </row>
    <row r="291" spans="2:7" x14ac:dyDescent="0.2">
      <c r="B291" s="19">
        <v>44811</v>
      </c>
      <c r="C291" s="19">
        <v>44810</v>
      </c>
      <c r="D291" s="38">
        <v>-1.190752756276616E-3</v>
      </c>
      <c r="E291" s="38">
        <v>-5.1878331239395281E-5</v>
      </c>
      <c r="F291" s="38">
        <v>-6.6530492019343732E-4</v>
      </c>
      <c r="G291" s="38">
        <v>3.4694469519536142E-18</v>
      </c>
    </row>
    <row r="292" spans="2:7" x14ac:dyDescent="0.2">
      <c r="B292" s="19">
        <v>44812</v>
      </c>
      <c r="C292" s="19">
        <v>44811</v>
      </c>
      <c r="D292" s="38">
        <v>1.25836824303974E-3</v>
      </c>
      <c r="E292" s="38">
        <v>6.5189777868886883E-4</v>
      </c>
      <c r="F292" s="38">
        <v>5.4297880466275955E-4</v>
      </c>
      <c r="G292" s="38">
        <v>-3.0000000000000859E-4</v>
      </c>
    </row>
    <row r="293" spans="2:7" x14ac:dyDescent="0.2">
      <c r="B293" s="19">
        <v>44813</v>
      </c>
      <c r="C293" s="19">
        <v>44812</v>
      </c>
      <c r="D293" s="38">
        <v>1.8588410579333989E-3</v>
      </c>
      <c r="E293" s="38">
        <v>1.0093048824736559E-3</v>
      </c>
      <c r="F293" s="38">
        <v>7.8038073188171214E-4</v>
      </c>
      <c r="G293" s="38">
        <v>-8.9999999999999802E-4</v>
      </c>
    </row>
    <row r="294" spans="2:7" x14ac:dyDescent="0.2">
      <c r="B294" s="19">
        <v>44816</v>
      </c>
      <c r="C294" s="19">
        <v>44813</v>
      </c>
      <c r="D294" s="38">
        <v>8.467048682222339E-5</v>
      </c>
      <c r="E294" s="38">
        <v>-3.7492142242818652E-4</v>
      </c>
      <c r="F294" s="38">
        <v>-3.7861523211648462E-4</v>
      </c>
      <c r="G294" s="38">
        <v>-5.9999999999999637E-4</v>
      </c>
    </row>
    <row r="295" spans="2:7" x14ac:dyDescent="0.2">
      <c r="B295" s="19">
        <v>44817</v>
      </c>
      <c r="C295" s="19">
        <v>44816</v>
      </c>
      <c r="D295" s="38">
        <v>8.5611086297578999E-4</v>
      </c>
      <c r="E295" s="38">
        <v>1.0015305789690919E-3</v>
      </c>
      <c r="F295" s="38">
        <v>6.8293585916199759E-4</v>
      </c>
      <c r="G295" s="38">
        <v>-2.0000000000000231E-4</v>
      </c>
    </row>
    <row r="296" spans="2:7" x14ac:dyDescent="0.2">
      <c r="B296" s="19">
        <v>44818</v>
      </c>
      <c r="C296" s="19">
        <v>44817</v>
      </c>
      <c r="D296" s="38">
        <v>1.4463240599663779E-4</v>
      </c>
      <c r="E296" s="38">
        <v>3.5097849388789759E-4</v>
      </c>
      <c r="F296" s="38">
        <v>1.048736027916795E-4</v>
      </c>
      <c r="G296" s="38">
        <v>7.000000000000027E-4</v>
      </c>
    </row>
    <row r="297" spans="2:7" x14ac:dyDescent="0.2">
      <c r="B297" s="19">
        <v>44819</v>
      </c>
      <c r="C297" s="19">
        <v>44818</v>
      </c>
      <c r="D297" s="38">
        <v>7.2455505833239099E-4</v>
      </c>
      <c r="E297" s="38">
        <v>9.4339914366366184E-5</v>
      </c>
      <c r="F297" s="38">
        <v>-2.2881928910912719E-4</v>
      </c>
      <c r="G297" s="38">
        <v>0</v>
      </c>
    </row>
    <row r="298" spans="2:7" x14ac:dyDescent="0.2">
      <c r="B298" s="19">
        <v>44820</v>
      </c>
      <c r="C298" s="19">
        <v>44819</v>
      </c>
      <c r="D298" s="38">
        <v>7.6553950998047016E-4</v>
      </c>
      <c r="E298" s="38">
        <v>9.516027999539288E-4</v>
      </c>
      <c r="F298" s="38">
        <v>5.4001439647216945E-4</v>
      </c>
      <c r="G298" s="38">
        <v>3.0000000000000171E-4</v>
      </c>
    </row>
    <row r="299" spans="2:7" x14ac:dyDescent="0.2">
      <c r="B299" s="19">
        <v>44823</v>
      </c>
      <c r="C299" s="19">
        <v>44820</v>
      </c>
      <c r="D299" s="38">
        <v>8.8876824456818673E-5</v>
      </c>
      <c r="E299" s="38">
        <v>-8.7275776829459639E-5</v>
      </c>
      <c r="F299" s="38">
        <v>2.4643504401558602E-4</v>
      </c>
      <c r="G299" s="38">
        <v>-3.4694469519536142E-18</v>
      </c>
    </row>
    <row r="300" spans="2:7" x14ac:dyDescent="0.2">
      <c r="B300" s="19">
        <v>44824</v>
      </c>
      <c r="C300" s="19">
        <v>44823</v>
      </c>
      <c r="D300" s="38">
        <v>1.528965854092183E-3</v>
      </c>
      <c r="E300" s="38">
        <v>1.4438387213307831E-3</v>
      </c>
      <c r="F300" s="38">
        <v>1.3940463668115179E-3</v>
      </c>
      <c r="G300" s="38">
        <v>-2.9999999999999818E-4</v>
      </c>
    </row>
    <row r="301" spans="2:7" x14ac:dyDescent="0.2">
      <c r="B301" s="19">
        <v>44825</v>
      </c>
      <c r="C301" s="19">
        <v>44824</v>
      </c>
      <c r="D301" s="38">
        <v>7.2292315254719741E-5</v>
      </c>
      <c r="E301" s="38">
        <v>-3.6494433131572732E-4</v>
      </c>
      <c r="F301" s="38">
        <v>-7.0153706994270301E-4</v>
      </c>
      <c r="G301" s="38">
        <v>6.999999999999923E-4</v>
      </c>
    </row>
    <row r="302" spans="2:7" x14ac:dyDescent="0.2">
      <c r="B302" s="19">
        <v>44826</v>
      </c>
      <c r="C302" s="19">
        <v>44825</v>
      </c>
      <c r="D302" s="38">
        <v>1.269035759695943E-3</v>
      </c>
      <c r="E302" s="38">
        <v>9.943217770045816E-4</v>
      </c>
      <c r="F302" s="38">
        <v>7.865782821620329E-4</v>
      </c>
      <c r="G302" s="38">
        <v>3.0000000000001212E-4</v>
      </c>
    </row>
    <row r="303" spans="2:7" x14ac:dyDescent="0.2">
      <c r="B303" s="19">
        <v>44827</v>
      </c>
      <c r="C303" s="19">
        <v>44826</v>
      </c>
      <c r="D303" s="38">
        <v>6.6735053891560023E-4</v>
      </c>
      <c r="E303" s="38">
        <v>5.2220227983056436E-4</v>
      </c>
      <c r="F303" s="38">
        <v>2.2429490953893361E-4</v>
      </c>
      <c r="G303" s="38">
        <v>1.9999999999999529E-4</v>
      </c>
    </row>
    <row r="304" spans="2:7" x14ac:dyDescent="0.2">
      <c r="B304" s="19">
        <v>44830</v>
      </c>
      <c r="C304" s="19">
        <v>44827</v>
      </c>
      <c r="D304" s="38">
        <v>5.4300827151444048E-4</v>
      </c>
      <c r="E304" s="38">
        <v>7.1263813113790764E-4</v>
      </c>
      <c r="F304" s="38">
        <v>7.7576465617335694E-4</v>
      </c>
      <c r="G304" s="38">
        <v>2.9999999999999472E-4</v>
      </c>
    </row>
    <row r="305" spans="2:7" x14ac:dyDescent="0.2">
      <c r="B305" s="19">
        <v>44831</v>
      </c>
      <c r="C305" s="19">
        <v>44830</v>
      </c>
      <c r="D305" s="38">
        <v>1.7741498675378359E-4</v>
      </c>
      <c r="E305" s="38">
        <v>5.3515122839343718E-4</v>
      </c>
      <c r="F305" s="38">
        <v>9.0273952691807824E-4</v>
      </c>
      <c r="G305" s="38">
        <v>6.9388939039072284E-18</v>
      </c>
    </row>
    <row r="306" spans="2:7" x14ac:dyDescent="0.2">
      <c r="B306" s="19">
        <v>44832</v>
      </c>
      <c r="C306" s="19">
        <v>44831</v>
      </c>
      <c r="D306" s="38">
        <v>-1.082300273737086E-3</v>
      </c>
      <c r="E306" s="38">
        <v>-4.2802782597845332E-4</v>
      </c>
      <c r="F306" s="38">
        <v>1.2460057960388821E-4</v>
      </c>
      <c r="G306" s="38">
        <v>0</v>
      </c>
    </row>
    <row r="307" spans="2:7" x14ac:dyDescent="0.2">
      <c r="B307" s="19">
        <v>44833</v>
      </c>
      <c r="C307" s="19">
        <v>44832</v>
      </c>
      <c r="D307" s="38">
        <v>1.8294425876800441E-4</v>
      </c>
      <c r="E307" s="38">
        <v>4.9525742460106853E-4</v>
      </c>
      <c r="F307" s="38">
        <v>5.7139833128122194E-4</v>
      </c>
      <c r="G307" s="38">
        <v>1.2999999999999991E-3</v>
      </c>
    </row>
    <row r="308" spans="2:7" x14ac:dyDescent="0.2">
      <c r="B308" s="19">
        <v>44834</v>
      </c>
      <c r="C308" s="19">
        <v>44833</v>
      </c>
      <c r="D308" s="38">
        <v>-1.305649735987194E-3</v>
      </c>
      <c r="E308" s="38">
        <v>-1.338054290238939E-3</v>
      </c>
      <c r="F308" s="38">
        <v>-1.177294073450137E-3</v>
      </c>
      <c r="G308" s="38">
        <v>1.9999999999999529E-4</v>
      </c>
    </row>
    <row r="309" spans="2:7" x14ac:dyDescent="0.2">
      <c r="B309" s="19">
        <v>44837</v>
      </c>
      <c r="C309" s="19">
        <v>44834</v>
      </c>
      <c r="D309" s="38">
        <v>-6.40430724719393E-4</v>
      </c>
      <c r="E309" s="38">
        <v>-1.0675757543585631E-3</v>
      </c>
      <c r="F309" s="38">
        <v>-9.0079767331239721E-4</v>
      </c>
      <c r="G309" s="38">
        <v>-2.9999999999999119E-4</v>
      </c>
    </row>
    <row r="310" spans="2:7" x14ac:dyDescent="0.2">
      <c r="B310" s="19">
        <v>44838</v>
      </c>
      <c r="C310" s="19">
        <v>44837</v>
      </c>
      <c r="D310" s="38">
        <v>-1.135771506408664E-3</v>
      </c>
      <c r="E310" s="38">
        <v>-1.197164802482765E-3</v>
      </c>
      <c r="F310" s="38">
        <v>-1.08635229292452E-3</v>
      </c>
      <c r="G310" s="38">
        <v>2.9999999999999119E-4</v>
      </c>
    </row>
    <row r="311" spans="2:7" x14ac:dyDescent="0.2">
      <c r="B311" s="19">
        <v>44839</v>
      </c>
      <c r="C311" s="19">
        <v>44838</v>
      </c>
      <c r="D311" s="38">
        <v>7.0946618085296863E-4</v>
      </c>
      <c r="E311" s="38">
        <v>9.4587832368346267E-4</v>
      </c>
      <c r="F311" s="38">
        <v>1.030123999114296E-3</v>
      </c>
      <c r="G311" s="38">
        <v>-1.300000000000003E-3</v>
      </c>
    </row>
    <row r="312" spans="2:7" x14ac:dyDescent="0.2">
      <c r="B312" s="19">
        <v>44840</v>
      </c>
      <c r="C312" s="19">
        <v>44839</v>
      </c>
      <c r="D312" s="38">
        <v>1.448892957850403E-3</v>
      </c>
      <c r="E312" s="38">
        <v>7.5848616374957212E-4</v>
      </c>
      <c r="F312" s="38">
        <v>1.113363045511961E-3</v>
      </c>
      <c r="G312" s="38">
        <v>5.0000000000001085E-4</v>
      </c>
    </row>
    <row r="313" spans="2:7" x14ac:dyDescent="0.2">
      <c r="B313" s="19">
        <v>44841</v>
      </c>
      <c r="C313" s="19">
        <v>44840</v>
      </c>
      <c r="D313" s="38">
        <v>9.0924080868251544E-4</v>
      </c>
      <c r="E313" s="38">
        <v>1.056393913856844E-3</v>
      </c>
      <c r="F313" s="38">
        <v>1.2770308462494091E-3</v>
      </c>
      <c r="G313" s="38">
        <v>9.9999999999995925E-5</v>
      </c>
    </row>
    <row r="314" spans="2:7" x14ac:dyDescent="0.2">
      <c r="B314" s="19">
        <v>44844</v>
      </c>
      <c r="C314" s="19">
        <v>44841</v>
      </c>
      <c r="D314" s="38">
        <v>-3.0422704158492708E-4</v>
      </c>
      <c r="E314" s="38">
        <v>-3.7415317635756951E-5</v>
      </c>
      <c r="F314" s="38">
        <v>2.9890645714153799E-4</v>
      </c>
      <c r="G314" s="38">
        <v>2.9999999999999818E-4</v>
      </c>
    </row>
    <row r="315" spans="2:7" x14ac:dyDescent="0.2">
      <c r="B315" s="19">
        <v>44845</v>
      </c>
      <c r="C315" s="19">
        <v>44844</v>
      </c>
      <c r="D315" s="38">
        <v>7.6910339424612201E-4</v>
      </c>
      <c r="E315" s="38">
        <v>1.0268828731347279E-3</v>
      </c>
      <c r="F315" s="38">
        <v>1.429953000691944E-3</v>
      </c>
      <c r="G315" s="38">
        <v>0</v>
      </c>
    </row>
    <row r="316" spans="2:7" x14ac:dyDescent="0.2">
      <c r="B316" s="19">
        <v>44846</v>
      </c>
      <c r="C316" s="19">
        <v>44845</v>
      </c>
      <c r="D316" s="38">
        <v>-3.3292650138922261E-4</v>
      </c>
      <c r="E316" s="38">
        <v>-1.4926114299539109E-4</v>
      </c>
      <c r="F316" s="38">
        <v>4.4451911605640151E-4</v>
      </c>
      <c r="G316" s="38">
        <v>9.9999999999999395E-5</v>
      </c>
    </row>
    <row r="317" spans="2:7" x14ac:dyDescent="0.2">
      <c r="B317" s="19">
        <v>44847</v>
      </c>
      <c r="C317" s="19">
        <v>44846</v>
      </c>
      <c r="D317" s="38">
        <v>5.7941787489887084E-4</v>
      </c>
      <c r="E317" s="38">
        <v>6.1625763742460815E-5</v>
      </c>
      <c r="F317" s="38">
        <v>-4.3558576897311663E-4</v>
      </c>
      <c r="G317" s="38">
        <v>3.0000000000000512E-4</v>
      </c>
    </row>
    <row r="318" spans="2:7" x14ac:dyDescent="0.2">
      <c r="B318" s="19">
        <v>44848</v>
      </c>
      <c r="C318" s="19">
        <v>44847</v>
      </c>
      <c r="D318" s="38">
        <v>-3.4255090562269191E-4</v>
      </c>
      <c r="E318" s="38">
        <v>-7.3732890662699807E-4</v>
      </c>
      <c r="F318" s="38">
        <v>-6.0970797770465435E-4</v>
      </c>
      <c r="G318" s="38">
        <v>3.9999999999999758E-4</v>
      </c>
    </row>
    <row r="319" spans="2:7" x14ac:dyDescent="0.2">
      <c r="B319" s="19">
        <v>44851</v>
      </c>
      <c r="C319" s="19">
        <v>44848</v>
      </c>
      <c r="D319" s="38">
        <v>1.8431926582751501E-4</v>
      </c>
      <c r="E319" s="38">
        <v>-4.4029599707961359E-5</v>
      </c>
      <c r="F319" s="38">
        <v>-1.5641683460509981E-4</v>
      </c>
      <c r="G319" s="38">
        <v>0</v>
      </c>
    </row>
    <row r="320" spans="2:7" x14ac:dyDescent="0.2">
      <c r="B320" s="19">
        <v>44852</v>
      </c>
      <c r="C320" s="19">
        <v>44851</v>
      </c>
      <c r="D320" s="38">
        <v>5.3034785856855005E-4</v>
      </c>
      <c r="E320" s="38">
        <v>2.5919723494929528E-4</v>
      </c>
      <c r="F320" s="38">
        <v>-1.032992604350219E-4</v>
      </c>
      <c r="G320" s="38">
        <v>-1.0000000000000011E-3</v>
      </c>
    </row>
    <row r="321" spans="2:7" x14ac:dyDescent="0.2">
      <c r="B321" s="19">
        <v>44853</v>
      </c>
      <c r="C321" s="19">
        <v>44852</v>
      </c>
      <c r="D321" s="38">
        <v>1.3495499468609039E-3</v>
      </c>
      <c r="E321" s="38">
        <v>1.242588101531085E-3</v>
      </c>
      <c r="F321" s="38">
        <v>7.9040826570656725E-4</v>
      </c>
      <c r="G321" s="38">
        <v>0</v>
      </c>
    </row>
    <row r="322" spans="2:7" x14ac:dyDescent="0.2">
      <c r="B322" s="19">
        <v>44854</v>
      </c>
      <c r="C322" s="19">
        <v>44853</v>
      </c>
      <c r="D322" s="38">
        <v>5.7008541474929883E-4</v>
      </c>
      <c r="E322" s="38">
        <v>4.896350305800129E-4</v>
      </c>
      <c r="F322" s="38">
        <v>6.3465221258013002E-4</v>
      </c>
      <c r="G322" s="38">
        <v>9.9999999999995925E-5</v>
      </c>
    </row>
    <row r="323" spans="2:7" x14ac:dyDescent="0.2">
      <c r="B323" s="19">
        <v>44855</v>
      </c>
      <c r="C323" s="19">
        <v>44854</v>
      </c>
      <c r="D323" s="38">
        <v>-3.7055014956892737E-4</v>
      </c>
      <c r="E323" s="38">
        <v>-2.2962076778605681E-5</v>
      </c>
      <c r="F323" s="38">
        <v>3.7912612864658338E-4</v>
      </c>
      <c r="G323" s="38">
        <v>1.9999999999999879E-4</v>
      </c>
    </row>
    <row r="324" spans="2:7" x14ac:dyDescent="0.2">
      <c r="B324" s="19">
        <v>44858</v>
      </c>
      <c r="C324" s="19">
        <v>44855</v>
      </c>
      <c r="D324" s="38">
        <v>-6.624734897770039E-4</v>
      </c>
      <c r="E324" s="38">
        <v>-1.0333254927501691E-3</v>
      </c>
      <c r="F324" s="38">
        <v>-1.254079887973193E-3</v>
      </c>
      <c r="G324" s="38">
        <v>-4.9999999999999351E-4</v>
      </c>
    </row>
    <row r="325" spans="2:7" x14ac:dyDescent="0.2">
      <c r="B325" s="19">
        <v>44859</v>
      </c>
      <c r="C325" s="19">
        <v>44858</v>
      </c>
      <c r="D325" s="38">
        <v>-5.1323300439697767E-4</v>
      </c>
      <c r="E325" s="38">
        <v>-8.7834944227077605E-4</v>
      </c>
      <c r="F325" s="38">
        <v>-1.337861081396489E-3</v>
      </c>
      <c r="G325" s="38">
        <v>7.000000000000027E-4</v>
      </c>
    </row>
    <row r="326" spans="2:7" x14ac:dyDescent="0.2">
      <c r="B326" s="19">
        <v>44860</v>
      </c>
      <c r="C326" s="19">
        <v>44859</v>
      </c>
      <c r="D326" s="38">
        <v>-7.3529653872687886E-6</v>
      </c>
      <c r="E326" s="38">
        <v>-2.2192807566391229E-4</v>
      </c>
      <c r="F326" s="38">
        <v>-1.8948075444453691E-4</v>
      </c>
      <c r="G326" s="38">
        <v>9.9999999999999395E-5</v>
      </c>
    </row>
    <row r="327" spans="2:7" x14ac:dyDescent="0.2">
      <c r="B327" s="19">
        <v>44861</v>
      </c>
      <c r="C327" s="19">
        <v>44860</v>
      </c>
      <c r="D327" s="38">
        <v>-7.5855111244139614E-4</v>
      </c>
      <c r="E327" s="38">
        <v>-1.1003245442853459E-3</v>
      </c>
      <c r="F327" s="38">
        <v>-1.0236427967703461E-3</v>
      </c>
      <c r="G327" s="38">
        <v>-6.0000000000000678E-4</v>
      </c>
    </row>
    <row r="328" spans="2:7" x14ac:dyDescent="0.2">
      <c r="B328" s="19">
        <v>44862</v>
      </c>
      <c r="C328" s="19">
        <v>44861</v>
      </c>
      <c r="D328" s="38">
        <v>5.3533137985277417E-5</v>
      </c>
      <c r="E328" s="38">
        <v>2.6680018664340319E-4</v>
      </c>
      <c r="F328" s="38">
        <v>1.9805465213128259E-4</v>
      </c>
      <c r="G328" s="38">
        <v>-3.0000000000000171E-4</v>
      </c>
    </row>
    <row r="329" spans="2:7" x14ac:dyDescent="0.2">
      <c r="B329" s="19">
        <v>44865</v>
      </c>
      <c r="C329" s="19">
        <v>44862</v>
      </c>
      <c r="D329" s="38">
        <v>5.0484888633485145E-4</v>
      </c>
      <c r="E329" s="38">
        <v>6.5585201217919012E-4</v>
      </c>
      <c r="F329" s="38">
        <v>5.4473929223334411E-4</v>
      </c>
      <c r="G329" s="38">
        <v>-1.9999999999999529E-4</v>
      </c>
    </row>
    <row r="330" spans="2:7" x14ac:dyDescent="0.2">
      <c r="B330" s="19">
        <v>44866</v>
      </c>
      <c r="C330" s="19">
        <v>44865</v>
      </c>
      <c r="D330" s="38">
        <v>-3.3334466318148131E-4</v>
      </c>
      <c r="E330" s="38">
        <v>-1.7000889713440079E-4</v>
      </c>
      <c r="F330" s="38">
        <v>1.4524104865571219E-4</v>
      </c>
      <c r="G330" s="38">
        <v>-2.0000000000000231E-4</v>
      </c>
    </row>
    <row r="331" spans="2:7" x14ac:dyDescent="0.2">
      <c r="B331" s="19">
        <v>44867</v>
      </c>
      <c r="C331" s="19">
        <v>44866</v>
      </c>
      <c r="D331" s="38">
        <v>1.030576638539303E-4</v>
      </c>
      <c r="E331" s="38">
        <v>1.067837731972936E-4</v>
      </c>
      <c r="F331" s="38">
        <v>-1.9583565989098739E-4</v>
      </c>
      <c r="G331" s="38">
        <v>-6.999999999999923E-4</v>
      </c>
    </row>
    <row r="332" spans="2:7" x14ac:dyDescent="0.2">
      <c r="B332" s="19">
        <v>44868</v>
      </c>
      <c r="C332" s="19">
        <v>44867</v>
      </c>
      <c r="D332" s="38">
        <v>6.8889091454754636E-4</v>
      </c>
      <c r="E332" s="38">
        <v>1.121921828505394E-3</v>
      </c>
      <c r="F332" s="38">
        <v>1.0804539929417591E-3</v>
      </c>
      <c r="G332" s="38">
        <v>1.9999999999999529E-4</v>
      </c>
    </row>
    <row r="333" spans="2:7" x14ac:dyDescent="0.2">
      <c r="B333" s="19">
        <v>44869</v>
      </c>
      <c r="C333" s="19">
        <v>44868</v>
      </c>
      <c r="D333" s="38">
        <v>6.6360107142405395E-4</v>
      </c>
      <c r="E333" s="38">
        <v>3.975521998947594E-4</v>
      </c>
      <c r="F333" s="38">
        <v>2.8605735661506662E-4</v>
      </c>
      <c r="G333" s="38">
        <v>-1.0000000000000291E-4</v>
      </c>
    </row>
    <row r="334" spans="2:7" x14ac:dyDescent="0.2">
      <c r="B334" s="19">
        <v>44872</v>
      </c>
      <c r="C334" s="19">
        <v>44869</v>
      </c>
      <c r="D334" s="38">
        <v>7.085917574812077E-4</v>
      </c>
      <c r="E334" s="38">
        <v>5.7772378246516778E-4</v>
      </c>
      <c r="F334" s="38">
        <v>5.5595070368309046E-4</v>
      </c>
      <c r="G334" s="38">
        <v>-5.9999999999999984E-4</v>
      </c>
    </row>
    <row r="335" spans="2:7" x14ac:dyDescent="0.2">
      <c r="B335" s="19">
        <v>44873</v>
      </c>
      <c r="C335" s="19">
        <v>44872</v>
      </c>
      <c r="D335" s="38">
        <v>2.6740818824538831E-4</v>
      </c>
      <c r="E335" s="38">
        <v>5.536314850537738E-5</v>
      </c>
      <c r="F335" s="38">
        <v>-3.6877186961209452E-4</v>
      </c>
      <c r="G335" s="38">
        <v>-5.0000000000000391E-4</v>
      </c>
    </row>
    <row r="336" spans="2:7" x14ac:dyDescent="0.2">
      <c r="B336" s="19">
        <v>44874</v>
      </c>
      <c r="C336" s="19">
        <v>44873</v>
      </c>
      <c r="D336" s="38">
        <v>-8.6736173798840355E-17</v>
      </c>
      <c r="E336" s="38">
        <v>-9.3675067702747583E-17</v>
      </c>
      <c r="F336" s="38">
        <v>-8.6736173798840355E-17</v>
      </c>
      <c r="G336" s="38">
        <v>-2.9999999999999818E-4</v>
      </c>
    </row>
    <row r="337" spans="2:7" x14ac:dyDescent="0.2">
      <c r="B337" s="19">
        <v>44875</v>
      </c>
      <c r="C337" s="19">
        <v>44874</v>
      </c>
      <c r="D337" s="38">
        <v>-1.5776001336540199E-3</v>
      </c>
      <c r="E337" s="38">
        <v>-1.5327633111892819E-3</v>
      </c>
      <c r="F337" s="38">
        <v>-2.435122105059188E-3</v>
      </c>
      <c r="G337" s="38">
        <v>6.9388939039072284E-18</v>
      </c>
    </row>
    <row r="338" spans="2:7" x14ac:dyDescent="0.2">
      <c r="B338" s="19">
        <v>44876</v>
      </c>
      <c r="C338" s="19">
        <v>44875</v>
      </c>
      <c r="D338" s="38">
        <v>1.3778962073403951E-3</v>
      </c>
      <c r="E338" s="38">
        <v>2.6313556725232959E-4</v>
      </c>
      <c r="F338" s="38">
        <v>9.475312117052069E-4</v>
      </c>
      <c r="G338" s="38">
        <v>-1.1000000000000001E-3</v>
      </c>
    </row>
    <row r="339" spans="2:7" x14ac:dyDescent="0.2">
      <c r="B339" s="19">
        <v>44879</v>
      </c>
      <c r="C339" s="19">
        <v>44876</v>
      </c>
      <c r="D339" s="38">
        <v>-2.305146348215055E-4</v>
      </c>
      <c r="E339" s="38">
        <v>-3.4912454507320811E-4</v>
      </c>
      <c r="F339" s="38">
        <v>-3.1958422930544039E-4</v>
      </c>
      <c r="G339" s="38">
        <v>-9.0000000000000149E-4</v>
      </c>
    </row>
    <row r="340" spans="2:7" x14ac:dyDescent="0.2">
      <c r="B340" s="19">
        <v>44880</v>
      </c>
      <c r="C340" s="19">
        <v>44879</v>
      </c>
      <c r="D340" s="38">
        <v>1.4323558815605361E-4</v>
      </c>
      <c r="E340" s="38">
        <v>5.8850830850741547E-5</v>
      </c>
      <c r="F340" s="38">
        <v>-2.0228968719058349E-4</v>
      </c>
      <c r="G340" s="38">
        <v>3.4694469519536142E-18</v>
      </c>
    </row>
    <row r="341" spans="2:7" x14ac:dyDescent="0.2">
      <c r="B341" s="19">
        <v>44881</v>
      </c>
      <c r="C341" s="19">
        <v>44880</v>
      </c>
      <c r="D341" s="38">
        <v>-1.740599625915176E-4</v>
      </c>
      <c r="E341" s="38">
        <v>-4.6511832693637081E-4</v>
      </c>
      <c r="F341" s="38">
        <v>-8.7904713012820074E-4</v>
      </c>
      <c r="G341" s="38">
        <v>-3.0000000000000171E-4</v>
      </c>
    </row>
    <row r="342" spans="2:7" x14ac:dyDescent="0.2">
      <c r="B342" s="19">
        <v>44882</v>
      </c>
      <c r="C342" s="19">
        <v>44881</v>
      </c>
      <c r="D342" s="38">
        <v>-2.2709712638288931E-4</v>
      </c>
      <c r="E342" s="38">
        <v>3.7960377834694158E-5</v>
      </c>
      <c r="F342" s="38">
        <v>3.5543013236868232E-4</v>
      </c>
      <c r="G342" s="38">
        <v>4.9999999999999697E-4</v>
      </c>
    </row>
    <row r="343" spans="2:7" x14ac:dyDescent="0.2">
      <c r="B343" s="19">
        <v>44883</v>
      </c>
      <c r="C343" s="19">
        <v>44882</v>
      </c>
      <c r="D343" s="38">
        <v>-4.2348863894753688E-4</v>
      </c>
      <c r="E343" s="38">
        <v>-2.1885504947217679E-4</v>
      </c>
      <c r="F343" s="38">
        <v>-2.4482363594462852E-4</v>
      </c>
      <c r="G343" s="38">
        <v>-5.0000000000000391E-4</v>
      </c>
    </row>
    <row r="344" spans="2:7" x14ac:dyDescent="0.2">
      <c r="B344" s="19">
        <v>44886</v>
      </c>
      <c r="C344" s="19">
        <v>44883</v>
      </c>
      <c r="D344" s="38">
        <v>-1.4172529060684991E-4</v>
      </c>
      <c r="E344" s="38">
        <v>-3.0152563876349742E-4</v>
      </c>
      <c r="F344" s="38">
        <v>-5.0711849626110944E-4</v>
      </c>
      <c r="G344" s="38">
        <v>1.0000000000000291E-4</v>
      </c>
    </row>
    <row r="345" spans="2:7" x14ac:dyDescent="0.2">
      <c r="B345" s="19">
        <v>44887</v>
      </c>
      <c r="C345" s="19">
        <v>44886</v>
      </c>
      <c r="D345" s="38">
        <v>4.0927349880176539E-4</v>
      </c>
      <c r="E345" s="38">
        <v>3.3011631725900561E-4</v>
      </c>
      <c r="F345" s="38">
        <v>1.5660989027999059E-4</v>
      </c>
      <c r="G345" s="38">
        <v>0</v>
      </c>
    </row>
    <row r="346" spans="2:7" x14ac:dyDescent="0.2">
      <c r="B346" s="19">
        <v>44888</v>
      </c>
      <c r="C346" s="19">
        <v>44887</v>
      </c>
      <c r="D346" s="38">
        <v>1.274457762918367E-4</v>
      </c>
      <c r="E346" s="38">
        <v>-5.1122475079646429E-5</v>
      </c>
      <c r="F346" s="38">
        <v>-7.1306278263403092E-4</v>
      </c>
      <c r="G346" s="38">
        <v>-2.0000000000000231E-4</v>
      </c>
    </row>
    <row r="347" spans="2:7" x14ac:dyDescent="0.2">
      <c r="B347" s="19">
        <v>44889</v>
      </c>
      <c r="C347" s="19">
        <v>44888</v>
      </c>
      <c r="D347" s="38">
        <v>-5.3726771514581162E-4</v>
      </c>
      <c r="E347" s="38">
        <v>-8.9090028274920255E-4</v>
      </c>
      <c r="F347" s="38">
        <v>-9.0134164505629305E-4</v>
      </c>
      <c r="G347" s="38">
        <v>6.9388939039072284E-18</v>
      </c>
    </row>
    <row r="348" spans="2:7" x14ac:dyDescent="0.2">
      <c r="B348" s="19">
        <v>44890</v>
      </c>
      <c r="C348" s="19">
        <v>44889</v>
      </c>
      <c r="D348" s="38">
        <v>9.0769174477206213E-4</v>
      </c>
      <c r="E348" s="38">
        <v>9.7146339103940105E-4</v>
      </c>
      <c r="F348" s="38">
        <v>1.180480359241752E-3</v>
      </c>
      <c r="G348" s="38">
        <v>-5.0000000000000738E-4</v>
      </c>
    </row>
    <row r="349" spans="2:7" x14ac:dyDescent="0.2">
      <c r="B349" s="19">
        <v>44893</v>
      </c>
      <c r="C349" s="19">
        <v>44890</v>
      </c>
      <c r="D349" s="38">
        <v>-1.702129367450837E-4</v>
      </c>
      <c r="E349" s="38">
        <v>1.801651504051982E-4</v>
      </c>
      <c r="F349" s="38">
        <v>2.7209211887055379E-4</v>
      </c>
      <c r="G349" s="38">
        <v>2.000000000000057E-4</v>
      </c>
    </row>
    <row r="350" spans="2:7" x14ac:dyDescent="0.2">
      <c r="B350" s="19">
        <v>44894</v>
      </c>
      <c r="C350" s="19">
        <v>44893</v>
      </c>
      <c r="D350" s="38">
        <v>-7.7785297967166919E-4</v>
      </c>
      <c r="E350" s="38">
        <v>-6.1433709772505327E-4</v>
      </c>
      <c r="F350" s="38">
        <v>-6.6874360000094418E-4</v>
      </c>
      <c r="G350" s="38">
        <v>-9.9999999999999395E-5</v>
      </c>
    </row>
    <row r="351" spans="2:7" x14ac:dyDescent="0.2">
      <c r="B351" s="19">
        <v>44895</v>
      </c>
      <c r="C351" s="19">
        <v>44894</v>
      </c>
      <c r="D351" s="38">
        <v>3.7137650228854721E-4</v>
      </c>
      <c r="E351" s="38">
        <v>2.7984778603662441E-4</v>
      </c>
      <c r="F351" s="38">
        <v>3.9297533388354946E-6</v>
      </c>
      <c r="G351" s="38">
        <v>0</v>
      </c>
    </row>
    <row r="352" spans="2:7" x14ac:dyDescent="0.2">
      <c r="B352" s="19">
        <v>44896</v>
      </c>
      <c r="C352" s="19">
        <v>44895</v>
      </c>
      <c r="D352" s="38">
        <v>-1.1568270220542571E-3</v>
      </c>
      <c r="E352" s="38">
        <v>-1.269806004487443E-3</v>
      </c>
      <c r="F352" s="38">
        <v>-1.1215487696013479E-3</v>
      </c>
      <c r="G352" s="38">
        <v>-1.0000000000000631E-4</v>
      </c>
    </row>
    <row r="353" spans="2:7" x14ac:dyDescent="0.2">
      <c r="B353" s="19">
        <v>44897</v>
      </c>
      <c r="C353" s="19">
        <v>44896</v>
      </c>
      <c r="D353" s="38">
        <v>3.5630893869970792E-4</v>
      </c>
      <c r="E353" s="38">
        <v>3.336511741864126E-4</v>
      </c>
      <c r="F353" s="38">
        <v>2.3177958455963471E-4</v>
      </c>
      <c r="G353" s="38">
        <v>-9.9999999999995925E-5</v>
      </c>
    </row>
    <row r="354" spans="2:7" x14ac:dyDescent="0.2">
      <c r="B354" s="19">
        <v>44900</v>
      </c>
      <c r="C354" s="19">
        <v>44897</v>
      </c>
      <c r="D354" s="38">
        <v>3.307887941777915E-4</v>
      </c>
      <c r="E354" s="38">
        <v>2.19794139297326E-4</v>
      </c>
      <c r="F354" s="38">
        <v>1.209363019222115E-4</v>
      </c>
      <c r="G354" s="38">
        <v>-9.9999999999999395E-5</v>
      </c>
    </row>
    <row r="355" spans="2:7" x14ac:dyDescent="0.2">
      <c r="B355" s="19">
        <v>44901</v>
      </c>
      <c r="C355" s="19">
        <v>44900</v>
      </c>
      <c r="D355" s="38">
        <v>-5.0156374974255624E-4</v>
      </c>
      <c r="E355" s="38">
        <v>-5.7268351837447273E-4</v>
      </c>
      <c r="F355" s="38">
        <v>-5.6604286140950894E-4</v>
      </c>
      <c r="G355" s="38">
        <v>-1.9999999999999879E-4</v>
      </c>
    </row>
    <row r="356" spans="2:7" x14ac:dyDescent="0.2">
      <c r="B356" s="19">
        <v>44902</v>
      </c>
      <c r="C356" s="19">
        <v>44901</v>
      </c>
      <c r="D356" s="38">
        <v>-3.4438540092195802E-4</v>
      </c>
      <c r="E356" s="38">
        <v>-2.9771638999647951E-4</v>
      </c>
      <c r="F356" s="38">
        <v>-1.0144567652887319E-4</v>
      </c>
      <c r="G356" s="38">
        <v>2.9999999999999818E-4</v>
      </c>
    </row>
    <row r="357" spans="2:7" x14ac:dyDescent="0.2">
      <c r="B357" s="19">
        <v>44903</v>
      </c>
      <c r="C357" s="19">
        <v>44902</v>
      </c>
      <c r="D357" s="38">
        <v>2.3534156240448409E-4</v>
      </c>
      <c r="E357" s="38">
        <v>2.5631221225342482E-4</v>
      </c>
      <c r="F357" s="38">
        <v>2.9645857623282479E-4</v>
      </c>
      <c r="G357" s="38">
        <v>9.9999999999999395E-5</v>
      </c>
    </row>
    <row r="358" spans="2:7" x14ac:dyDescent="0.2">
      <c r="B358" s="19">
        <v>44904</v>
      </c>
      <c r="C358" s="19">
        <v>44903</v>
      </c>
      <c r="D358" s="38">
        <v>1.0166408399599691E-3</v>
      </c>
      <c r="E358" s="38">
        <v>9.9537005717319216E-4</v>
      </c>
      <c r="F358" s="38">
        <v>9.6795138201045614E-4</v>
      </c>
      <c r="G358" s="38">
        <v>0</v>
      </c>
    </row>
    <row r="359" spans="2:7" x14ac:dyDescent="0.2">
      <c r="B359" s="19">
        <v>44907</v>
      </c>
      <c r="C359" s="19">
        <v>44904</v>
      </c>
      <c r="D359" s="38">
        <v>3.571328564741863E-5</v>
      </c>
      <c r="E359" s="38">
        <v>-6.11603172378343E-5</v>
      </c>
      <c r="F359" s="38">
        <v>-2.8178500267266732E-4</v>
      </c>
      <c r="G359" s="38">
        <v>1.9999999999999879E-4</v>
      </c>
    </row>
    <row r="360" spans="2:7" x14ac:dyDescent="0.2">
      <c r="B360" s="19">
        <v>44908</v>
      </c>
      <c r="C360" s="19">
        <v>44907</v>
      </c>
      <c r="D360" s="38">
        <v>-5.8295705816520035E-4</v>
      </c>
      <c r="E360" s="38">
        <v>-3.7777243005735969E-4</v>
      </c>
      <c r="F360" s="38">
        <v>-1.3791386948026901E-4</v>
      </c>
      <c r="G360" s="38">
        <v>-5.0000000000000044E-4</v>
      </c>
    </row>
    <row r="361" spans="2:7" x14ac:dyDescent="0.2">
      <c r="B361" s="19">
        <v>44909</v>
      </c>
      <c r="C361" s="19">
        <v>44908</v>
      </c>
      <c r="D361" s="38">
        <v>1.126180177683234E-4</v>
      </c>
      <c r="E361" s="38">
        <v>4.8812849304986569E-4</v>
      </c>
      <c r="F361" s="38">
        <v>7.4926718204521361E-4</v>
      </c>
      <c r="G361" s="38">
        <v>-6.9999999999999923E-4</v>
      </c>
    </row>
    <row r="362" spans="2:7" x14ac:dyDescent="0.2">
      <c r="B362" s="19">
        <v>44910</v>
      </c>
      <c r="C362" s="19">
        <v>44909</v>
      </c>
      <c r="D362" s="38">
        <v>1.6507314289136499E-3</v>
      </c>
      <c r="E362" s="38">
        <v>4.797372634372972E-4</v>
      </c>
      <c r="F362" s="38">
        <v>7.1282852394800866E-4</v>
      </c>
      <c r="G362" s="38">
        <v>3.0000000000000512E-4</v>
      </c>
    </row>
    <row r="363" spans="2:7" x14ac:dyDescent="0.2">
      <c r="B363" s="19">
        <v>44911</v>
      </c>
      <c r="C363" s="19">
        <v>44910</v>
      </c>
      <c r="D363" s="38">
        <v>1.999820776306057E-3</v>
      </c>
      <c r="E363" s="38">
        <v>2.344402490338245E-3</v>
      </c>
      <c r="F363" s="38">
        <v>1.605653848205654E-3</v>
      </c>
      <c r="G363" s="38">
        <v>-4.0000000000000452E-4</v>
      </c>
    </row>
    <row r="364" spans="2:7" x14ac:dyDescent="0.2">
      <c r="B364" s="19">
        <v>44914</v>
      </c>
      <c r="C364" s="19">
        <v>44911</v>
      </c>
      <c r="D364" s="38">
        <v>-3.5380970896702058E-4</v>
      </c>
      <c r="E364" s="38">
        <v>-4.4289590927372453E-5</v>
      </c>
      <c r="F364" s="38">
        <v>3.3846666323036212E-4</v>
      </c>
      <c r="G364" s="38">
        <v>5.0000000000000044E-4</v>
      </c>
    </row>
    <row r="365" spans="2:7" x14ac:dyDescent="0.2">
      <c r="B365" s="19">
        <v>44915</v>
      </c>
      <c r="C365" s="19">
        <v>44914</v>
      </c>
      <c r="D365" s="38">
        <v>6.660408455778366E-4</v>
      </c>
      <c r="E365" s="38">
        <v>8.1940800444905634E-4</v>
      </c>
      <c r="F365" s="38">
        <v>8.5814897962404116E-4</v>
      </c>
      <c r="G365" s="38">
        <v>-3.0000000000000171E-4</v>
      </c>
    </row>
    <row r="366" spans="2:7" x14ac:dyDescent="0.2">
      <c r="B366" s="19">
        <v>44916</v>
      </c>
      <c r="C366" s="19">
        <v>44915</v>
      </c>
      <c r="D366" s="38">
        <v>-2.2585444369390559E-5</v>
      </c>
      <c r="E366" s="38">
        <v>5.7780917626780448E-5</v>
      </c>
      <c r="F366" s="38">
        <v>-1.2293625029420611E-5</v>
      </c>
      <c r="G366" s="38">
        <v>1.9999999999999879E-4</v>
      </c>
    </row>
    <row r="367" spans="2:7" x14ac:dyDescent="0.2">
      <c r="B367" s="19">
        <v>44917</v>
      </c>
      <c r="C367" s="19">
        <v>44916</v>
      </c>
      <c r="D367" s="38">
        <v>6.7667093836280487E-4</v>
      </c>
      <c r="E367" s="38">
        <v>7.90172136197035E-4</v>
      </c>
      <c r="F367" s="38">
        <v>8.209013956517984E-4</v>
      </c>
      <c r="G367" s="38">
        <v>-2.9999999999999818E-4</v>
      </c>
    </row>
    <row r="368" spans="2:7" x14ac:dyDescent="0.2">
      <c r="B368" s="19">
        <v>44918</v>
      </c>
      <c r="C368" s="19">
        <v>44917</v>
      </c>
      <c r="D368" s="38">
        <v>3.8262637686958811E-4</v>
      </c>
      <c r="E368" s="38">
        <v>3.9226963521251859E-4</v>
      </c>
      <c r="F368" s="38">
        <v>2.2233289175305199E-4</v>
      </c>
      <c r="G368" s="38">
        <v>-9.9999999999999395E-5</v>
      </c>
    </row>
    <row r="369" spans="2:7" x14ac:dyDescent="0.2">
      <c r="B369" s="19">
        <v>44922</v>
      </c>
      <c r="C369" s="19">
        <v>44918</v>
      </c>
      <c r="D369" s="38">
        <v>4.1161460989497939E-5</v>
      </c>
      <c r="E369" s="38">
        <v>1.631517537607034E-4</v>
      </c>
      <c r="F369" s="38">
        <v>3.6741702023831291E-4</v>
      </c>
      <c r="G369" s="38">
        <v>-7.000000000000027E-4</v>
      </c>
    </row>
    <row r="370" spans="2:7" x14ac:dyDescent="0.2">
      <c r="B370" s="19">
        <v>44923</v>
      </c>
      <c r="C370" s="19">
        <v>44922</v>
      </c>
      <c r="D370" s="38">
        <v>4.0606042970472989E-5</v>
      </c>
      <c r="E370" s="38">
        <v>1.081729077740887E-5</v>
      </c>
      <c r="F370" s="38">
        <v>2.098897483775175E-4</v>
      </c>
      <c r="G370" s="38">
        <v>4.0000000000000452E-4</v>
      </c>
    </row>
    <row r="371" spans="2:7" x14ac:dyDescent="0.2">
      <c r="B371" s="19">
        <v>44924</v>
      </c>
      <c r="C371" s="19">
        <v>44923</v>
      </c>
      <c r="D371" s="38">
        <v>1.4885284779591471E-4</v>
      </c>
      <c r="E371" s="38">
        <v>-8.9962239324659771E-5</v>
      </c>
      <c r="F371" s="38">
        <v>4.6622262483940469E-5</v>
      </c>
      <c r="G371" s="38">
        <v>1.9999999999999529E-4</v>
      </c>
    </row>
    <row r="372" spans="2:7" x14ac:dyDescent="0.2">
      <c r="B372" s="19">
        <v>44925</v>
      </c>
      <c r="C372" s="19">
        <v>44924</v>
      </c>
      <c r="D372" s="38">
        <v>5.4334129028705755E-4</v>
      </c>
      <c r="E372" s="38">
        <v>2.7963177307873191E-4</v>
      </c>
      <c r="F372" s="38">
        <v>2.8608798996052759E-4</v>
      </c>
      <c r="G372" s="38">
        <v>-5.9999999999999637E-4</v>
      </c>
    </row>
    <row r="373" spans="2:7" x14ac:dyDescent="0.2">
      <c r="B373" s="19">
        <v>44928</v>
      </c>
      <c r="C373" s="19">
        <v>44925</v>
      </c>
      <c r="D373" s="38">
        <v>1.7617848659243551E-4</v>
      </c>
      <c r="E373" s="38">
        <v>-7.4683911410525911E-5</v>
      </c>
      <c r="F373" s="38">
        <v>-3.7059457029266571E-4</v>
      </c>
      <c r="G373" s="38">
        <v>3.9999999999999411E-4</v>
      </c>
    </row>
    <row r="374" spans="2:7" x14ac:dyDescent="0.2">
      <c r="B374" s="19">
        <v>44929</v>
      </c>
      <c r="C374" s="19">
        <v>44928</v>
      </c>
      <c r="D374" s="38">
        <v>-3.6670521088552621E-4</v>
      </c>
      <c r="E374" s="38">
        <v>-6.4609846937535229E-4</v>
      </c>
      <c r="F374" s="38">
        <v>-8.0032190635339479E-4</v>
      </c>
      <c r="G374" s="38">
        <v>8.000000000000021E-4</v>
      </c>
    </row>
    <row r="375" spans="2:7" x14ac:dyDescent="0.2">
      <c r="B375" s="19">
        <v>44930</v>
      </c>
      <c r="C375" s="19">
        <v>44929</v>
      </c>
      <c r="D375" s="38">
        <v>-6.3274814280323693E-4</v>
      </c>
      <c r="E375" s="38">
        <v>-8.8182172803108472E-4</v>
      </c>
      <c r="F375" s="38">
        <v>-8.3857264736954956E-4</v>
      </c>
      <c r="G375" s="38">
        <v>-6.9999999999999923E-4</v>
      </c>
    </row>
    <row r="376" spans="2:7" x14ac:dyDescent="0.2">
      <c r="B376" s="19">
        <v>44931</v>
      </c>
      <c r="C376" s="19">
        <v>44930</v>
      </c>
      <c r="D376" s="38">
        <v>5.5339186702683257E-4</v>
      </c>
      <c r="E376" s="38">
        <v>7.1055333765862594E-4</v>
      </c>
      <c r="F376" s="38">
        <v>6.1378303166139195E-4</v>
      </c>
      <c r="G376" s="38">
        <v>-2.9999999999999119E-4</v>
      </c>
    </row>
    <row r="377" spans="2:7" x14ac:dyDescent="0.2">
      <c r="B377" s="19">
        <v>44932</v>
      </c>
      <c r="C377" s="19">
        <v>44931</v>
      </c>
      <c r="D377" s="38">
        <v>-1.8784571704081809E-4</v>
      </c>
      <c r="E377" s="38">
        <v>-5.0183659182615956E-4</v>
      </c>
      <c r="F377" s="38">
        <v>-5.1451251385379107E-4</v>
      </c>
      <c r="G377" s="38">
        <v>-3.0000000000000512E-4</v>
      </c>
    </row>
    <row r="378" spans="2:7" x14ac:dyDescent="0.2">
      <c r="B378" s="19">
        <v>44935</v>
      </c>
      <c r="C378" s="19">
        <v>44932</v>
      </c>
      <c r="D378" s="38">
        <v>-5.1249543047802298E-4</v>
      </c>
      <c r="E378" s="38">
        <v>-1.00119857959588E-4</v>
      </c>
      <c r="F378" s="38">
        <v>-1.4755899388110841E-4</v>
      </c>
      <c r="G378" s="38">
        <v>-1.9999999999999879E-4</v>
      </c>
    </row>
    <row r="379" spans="2:7" x14ac:dyDescent="0.2">
      <c r="B379" s="19">
        <v>44936</v>
      </c>
      <c r="C379" s="19">
        <v>44935</v>
      </c>
      <c r="D379" s="38">
        <v>4.820695023657097E-4</v>
      </c>
      <c r="E379" s="38">
        <v>2.5451621675962391E-4</v>
      </c>
      <c r="F379" s="38">
        <v>9.643823101531529E-5</v>
      </c>
      <c r="G379" s="38">
        <v>0</v>
      </c>
    </row>
    <row r="380" spans="2:7" x14ac:dyDescent="0.2">
      <c r="B380" s="19">
        <v>44937</v>
      </c>
      <c r="C380" s="19">
        <v>44936</v>
      </c>
      <c r="D380" s="38">
        <v>-2.5835487471477509E-4</v>
      </c>
      <c r="E380" s="38">
        <v>-7.3443273035848564E-4</v>
      </c>
      <c r="F380" s="38">
        <v>-9.5571706048701646E-4</v>
      </c>
      <c r="G380" s="38">
        <v>-3.4694469519536142E-18</v>
      </c>
    </row>
    <row r="381" spans="2:7" x14ac:dyDescent="0.2">
      <c r="B381" s="19">
        <v>44938</v>
      </c>
      <c r="C381" s="19">
        <v>44937</v>
      </c>
      <c r="D381" s="38">
        <v>-5.5338429180907395E-4</v>
      </c>
      <c r="E381" s="38">
        <v>-4.7403236043842828E-4</v>
      </c>
      <c r="F381" s="38">
        <v>-5.9860365018971767E-4</v>
      </c>
      <c r="G381" s="38">
        <v>-4.0000000000000099E-4</v>
      </c>
    </row>
    <row r="382" spans="2:7" x14ac:dyDescent="0.2">
      <c r="B382" s="19">
        <v>44939</v>
      </c>
      <c r="C382" s="19">
        <v>44938</v>
      </c>
      <c r="D382" s="38">
        <v>-1.7503274568748259E-4</v>
      </c>
      <c r="E382" s="38">
        <v>-2.6082295213274848E-4</v>
      </c>
      <c r="F382" s="38">
        <v>-3.3304509525355561E-4</v>
      </c>
      <c r="G382" s="38">
        <v>3.4694469519536142E-18</v>
      </c>
    </row>
    <row r="383" spans="2:7" x14ac:dyDescent="0.2">
      <c r="B383" s="19">
        <v>44942</v>
      </c>
      <c r="C383" s="19">
        <v>44939</v>
      </c>
      <c r="D383" s="38">
        <v>1.5607259003470869E-4</v>
      </c>
      <c r="E383" s="38">
        <v>-1.01605439650071E-5</v>
      </c>
      <c r="F383" s="38">
        <v>2.7987314510584388E-4</v>
      </c>
      <c r="G383" s="38">
        <v>-8.0000000000000557E-4</v>
      </c>
    </row>
    <row r="384" spans="2:7" x14ac:dyDescent="0.2">
      <c r="B384" s="19">
        <v>44943</v>
      </c>
      <c r="C384" s="19">
        <v>44942</v>
      </c>
      <c r="D384" s="38">
        <v>-1.5399713428030859E-4</v>
      </c>
      <c r="E384" s="38">
        <v>-6.2793599170534592E-5</v>
      </c>
      <c r="F384" s="38">
        <v>-1.151130140121179E-4</v>
      </c>
      <c r="G384" s="38">
        <v>2.0000000000000231E-4</v>
      </c>
    </row>
    <row r="385" spans="2:7" x14ac:dyDescent="0.2">
      <c r="B385" s="19">
        <v>44944</v>
      </c>
      <c r="C385" s="19">
        <v>44943</v>
      </c>
      <c r="D385" s="38">
        <v>-1.338886299480594E-3</v>
      </c>
      <c r="E385" s="38">
        <v>-1.065246819712633E-3</v>
      </c>
      <c r="F385" s="38">
        <v>-1.544815812809155E-3</v>
      </c>
      <c r="G385" s="38">
        <v>-1.9999999999999529E-4</v>
      </c>
    </row>
    <row r="386" spans="2:7" x14ac:dyDescent="0.2">
      <c r="B386" s="19">
        <v>44945</v>
      </c>
      <c r="C386" s="19">
        <v>44944</v>
      </c>
      <c r="D386" s="38">
        <v>8.9129146624980504E-4</v>
      </c>
      <c r="E386" s="38">
        <v>3.3460688878548742E-4</v>
      </c>
      <c r="F386" s="38">
        <v>5.4854837352696917E-4</v>
      </c>
      <c r="G386" s="38">
        <v>5.0000000000000044E-4</v>
      </c>
    </row>
    <row r="387" spans="2:7" x14ac:dyDescent="0.2">
      <c r="B387" s="19">
        <v>44946</v>
      </c>
      <c r="C387" s="19">
        <v>44945</v>
      </c>
      <c r="D387" s="38">
        <v>6.8541647777520254E-4</v>
      </c>
      <c r="E387" s="38">
        <v>8.4235039316917296E-4</v>
      </c>
      <c r="F387" s="38">
        <v>1.088988032744438E-3</v>
      </c>
      <c r="G387" s="38">
        <v>-2.000000000000057E-4</v>
      </c>
    </row>
    <row r="388" spans="2:7" x14ac:dyDescent="0.2">
      <c r="B388" s="19">
        <v>44949</v>
      </c>
      <c r="C388" s="19">
        <v>44946</v>
      </c>
      <c r="D388" s="38">
        <v>9.1156102880719792E-5</v>
      </c>
      <c r="E388" s="38">
        <v>3.2749522019758989E-4</v>
      </c>
      <c r="F388" s="38">
        <v>4.5650128090942219E-4</v>
      </c>
      <c r="G388" s="38">
        <v>-3.4694469519536142E-18</v>
      </c>
    </row>
    <row r="389" spans="2:7" x14ac:dyDescent="0.2">
      <c r="B389" s="19">
        <v>44950</v>
      </c>
      <c r="C389" s="19">
        <v>44949</v>
      </c>
      <c r="D389" s="38">
        <v>1.7961787011524721E-4</v>
      </c>
      <c r="E389" s="38">
        <v>1.0789495721949539E-4</v>
      </c>
      <c r="F389" s="38">
        <v>-2.8559241720713811E-5</v>
      </c>
      <c r="G389" s="38">
        <v>1.0000000000000631E-4</v>
      </c>
    </row>
    <row r="390" spans="2:7" x14ac:dyDescent="0.2">
      <c r="B390" s="19">
        <v>44951</v>
      </c>
      <c r="C390" s="19">
        <v>44950</v>
      </c>
      <c r="D390" s="38">
        <v>-8.5212753588207249E-4</v>
      </c>
      <c r="E390" s="38">
        <v>-8.394988777545194E-4</v>
      </c>
      <c r="F390" s="38">
        <v>-7.5567706382579508E-4</v>
      </c>
      <c r="G390" s="38">
        <v>9.9999999999999395E-5</v>
      </c>
    </row>
    <row r="391" spans="2:7" x14ac:dyDescent="0.2">
      <c r="B391" s="19">
        <v>44952</v>
      </c>
      <c r="C391" s="19">
        <v>44951</v>
      </c>
      <c r="D391" s="38">
        <v>4.6367113686050793E-4</v>
      </c>
      <c r="E391" s="38">
        <v>7.0582315665685194E-4</v>
      </c>
      <c r="F391" s="38">
        <v>6.316923178561612E-4</v>
      </c>
      <c r="G391" s="38">
        <v>-5.0000000000000391E-4</v>
      </c>
    </row>
    <row r="392" spans="2:7" x14ac:dyDescent="0.2">
      <c r="B392" s="19">
        <v>44953</v>
      </c>
      <c r="C392" s="19">
        <v>44952</v>
      </c>
      <c r="D392" s="38">
        <v>4.0990421176599281E-4</v>
      </c>
      <c r="E392" s="38">
        <v>5.0089378127137971E-4</v>
      </c>
      <c r="F392" s="38">
        <v>6.6263787025841112E-4</v>
      </c>
      <c r="G392" s="38">
        <v>-2.9999999999999119E-4</v>
      </c>
    </row>
    <row r="393" spans="2:7" x14ac:dyDescent="0.2">
      <c r="B393" s="19">
        <v>44956</v>
      </c>
      <c r="C393" s="19">
        <v>44953</v>
      </c>
      <c r="D393" s="38">
        <v>7.2454720891284782E-4</v>
      </c>
      <c r="E393" s="38">
        <v>5.805450200280747E-4</v>
      </c>
      <c r="F393" s="38">
        <v>2.8745347370820809E-4</v>
      </c>
      <c r="G393" s="38">
        <v>-6.9388939039072284E-18</v>
      </c>
    </row>
    <row r="394" spans="2:7" x14ac:dyDescent="0.2">
      <c r="B394" s="19">
        <v>44957</v>
      </c>
      <c r="C394" s="19">
        <v>44956</v>
      </c>
      <c r="D394" s="38">
        <v>-3.633303527318249E-4</v>
      </c>
      <c r="E394" s="38">
        <v>-3.2762300174147407E-4</v>
      </c>
      <c r="F394" s="38">
        <v>1.508339889273735E-6</v>
      </c>
      <c r="G394" s="38">
        <v>2.000000000000057E-4</v>
      </c>
    </row>
    <row r="395" spans="2:7" x14ac:dyDescent="0.2">
      <c r="B395" s="19">
        <v>44958</v>
      </c>
      <c r="C395" s="19">
        <v>44957</v>
      </c>
      <c r="D395" s="38">
        <v>1.591474103537667E-4</v>
      </c>
      <c r="E395" s="38">
        <v>2.2686894797039819E-4</v>
      </c>
      <c r="F395" s="38">
        <v>-1.195473469207259E-5</v>
      </c>
      <c r="G395" s="38">
        <v>1.0000000000000291E-4</v>
      </c>
    </row>
    <row r="396" spans="2:7" x14ac:dyDescent="0.2">
      <c r="B396" s="19">
        <v>44959</v>
      </c>
      <c r="C396" s="19">
        <v>44958</v>
      </c>
      <c r="D396" s="38">
        <v>-1.1153654284082361E-3</v>
      </c>
      <c r="E396" s="38">
        <v>-1.123492622785466E-3</v>
      </c>
      <c r="F396" s="38">
        <v>-1.157278885506492E-3</v>
      </c>
      <c r="G396" s="38">
        <v>-8.0000000000000904E-4</v>
      </c>
    </row>
    <row r="397" spans="2:7" x14ac:dyDescent="0.2">
      <c r="B397" s="19">
        <v>44960</v>
      </c>
      <c r="C397" s="19">
        <v>44959</v>
      </c>
      <c r="D397" s="38">
        <v>3.2722640218838667E-5</v>
      </c>
      <c r="E397" s="38">
        <v>1.031803822992769E-4</v>
      </c>
      <c r="F397" s="38">
        <v>1.914225930100891E-4</v>
      </c>
      <c r="G397" s="38">
        <v>-3.9999999999999758E-4</v>
      </c>
    </row>
    <row r="398" spans="2:7" x14ac:dyDescent="0.2">
      <c r="B398" s="19">
        <v>44963</v>
      </c>
      <c r="C398" s="19">
        <v>44960</v>
      </c>
      <c r="D398" s="38">
        <v>5.3526058345984215E-4</v>
      </c>
      <c r="E398" s="38">
        <v>7.0638884353564635E-4</v>
      </c>
      <c r="F398" s="38">
        <v>9.7289316688705524E-4</v>
      </c>
      <c r="G398" s="38">
        <v>-3.9999999999999411E-4</v>
      </c>
    </row>
    <row r="399" spans="2:7" x14ac:dyDescent="0.2">
      <c r="B399" s="19">
        <v>44964</v>
      </c>
      <c r="C399" s="19">
        <v>44963</v>
      </c>
      <c r="D399" s="38">
        <v>2.8887006395798143E-4</v>
      </c>
      <c r="E399" s="38">
        <v>4.1217896799131468E-4</v>
      </c>
      <c r="F399" s="38">
        <v>1.790374140539161E-4</v>
      </c>
      <c r="G399" s="38">
        <v>2.9999999999999818E-4</v>
      </c>
    </row>
    <row r="400" spans="2:7" x14ac:dyDescent="0.2">
      <c r="B400" s="19">
        <v>44965</v>
      </c>
      <c r="C400" s="19">
        <v>44964</v>
      </c>
      <c r="D400" s="38">
        <v>9.211800625400883E-4</v>
      </c>
      <c r="E400" s="38">
        <v>5.3023953065886933E-4</v>
      </c>
      <c r="F400" s="38">
        <v>4.6344535617868007E-4</v>
      </c>
      <c r="G400" s="38">
        <v>-3.0000000000000512E-4</v>
      </c>
    </row>
    <row r="401" spans="2:7" x14ac:dyDescent="0.2">
      <c r="B401" s="19">
        <v>44966</v>
      </c>
      <c r="C401" s="19">
        <v>44965</v>
      </c>
      <c r="D401" s="38">
        <v>-3.8522071259403101E-4</v>
      </c>
      <c r="E401" s="38">
        <v>-5.8266842571055855E-4</v>
      </c>
      <c r="F401" s="38">
        <v>-6.1375362486556367E-4</v>
      </c>
      <c r="G401" s="38">
        <v>2.000000000000057E-4</v>
      </c>
    </row>
    <row r="402" spans="2:7" x14ac:dyDescent="0.2">
      <c r="B402" s="19">
        <v>44967</v>
      </c>
      <c r="C402" s="19">
        <v>44966</v>
      </c>
      <c r="D402" s="38">
        <v>7.3660958098490173E-4</v>
      </c>
      <c r="E402" s="38">
        <v>6.3010951103613377E-4</v>
      </c>
      <c r="F402" s="38">
        <v>7.1954528258407965E-4</v>
      </c>
      <c r="G402" s="38">
        <v>-1.0000000000000291E-4</v>
      </c>
    </row>
    <row r="403" spans="2:7" x14ac:dyDescent="0.2">
      <c r="B403" s="19">
        <v>44970</v>
      </c>
      <c r="C403" s="19">
        <v>44967</v>
      </c>
      <c r="D403" s="38">
        <v>5.1168712958424636E-4</v>
      </c>
      <c r="E403" s="38">
        <v>3.2791526771209709E-4</v>
      </c>
      <c r="F403" s="38">
        <v>1.083654504340816E-4</v>
      </c>
      <c r="G403" s="38">
        <v>3.9999999999999758E-4</v>
      </c>
    </row>
    <row r="404" spans="2:7" x14ac:dyDescent="0.2">
      <c r="B404" s="19">
        <v>44971</v>
      </c>
      <c r="C404" s="19">
        <v>44970</v>
      </c>
      <c r="D404" s="38">
        <v>7.4922727263127334E-4</v>
      </c>
      <c r="E404" s="38">
        <v>6.4494133318784494E-4</v>
      </c>
      <c r="F404" s="38">
        <v>5.5520902781434553E-4</v>
      </c>
      <c r="G404" s="38">
        <v>-1.9999999999999529E-4</v>
      </c>
    </row>
    <row r="405" spans="2:7" x14ac:dyDescent="0.2">
      <c r="B405" s="19">
        <v>44972</v>
      </c>
      <c r="C405" s="19">
        <v>44971</v>
      </c>
      <c r="D405" s="38">
        <v>-3.8823806585101123E-5</v>
      </c>
      <c r="E405" s="38">
        <v>2.9496239541711161E-4</v>
      </c>
      <c r="F405" s="38">
        <v>3.8824377323964238E-4</v>
      </c>
      <c r="G405" s="38">
        <v>2.9999999999999818E-4</v>
      </c>
    </row>
    <row r="406" spans="2:7" x14ac:dyDescent="0.2">
      <c r="B406" s="19">
        <v>44973</v>
      </c>
      <c r="C406" s="19">
        <v>44972</v>
      </c>
      <c r="D406" s="38">
        <v>3.5289374946826171E-4</v>
      </c>
      <c r="E406" s="38">
        <v>6.4221367155289227E-4</v>
      </c>
      <c r="F406" s="38">
        <v>7.4702443068206878E-4</v>
      </c>
      <c r="G406" s="38">
        <v>-4.0000000000000799E-4</v>
      </c>
    </row>
    <row r="407" spans="2:7" x14ac:dyDescent="0.2">
      <c r="B407" s="19">
        <v>44974</v>
      </c>
      <c r="C407" s="19">
        <v>44973</v>
      </c>
      <c r="D407" s="38">
        <v>-2.883038247667967E-4</v>
      </c>
      <c r="E407" s="38">
        <v>-5.9168417673232873E-4</v>
      </c>
      <c r="F407" s="38">
        <v>-6.5392608455574E-4</v>
      </c>
      <c r="G407" s="38">
        <v>6.9388939039072284E-18</v>
      </c>
    </row>
    <row r="408" spans="2:7" x14ac:dyDescent="0.2">
      <c r="B408" s="19">
        <v>44977</v>
      </c>
      <c r="C408" s="19">
        <v>44974</v>
      </c>
      <c r="D408" s="38">
        <v>3.1941557467600468E-5</v>
      </c>
      <c r="E408" s="38">
        <v>-1.2767779258511869E-4</v>
      </c>
      <c r="F408" s="38">
        <v>-2.2792006916941621E-4</v>
      </c>
      <c r="G408" s="38">
        <v>2.0000000000000231E-4</v>
      </c>
    </row>
    <row r="409" spans="2:7" x14ac:dyDescent="0.2">
      <c r="B409" s="19">
        <v>44978</v>
      </c>
      <c r="C409" s="19">
        <v>44977</v>
      </c>
      <c r="D409" s="38">
        <v>9.3862267950864733E-4</v>
      </c>
      <c r="E409" s="38">
        <v>1.2761204444410169E-3</v>
      </c>
      <c r="F409" s="38">
        <v>1.070843932244752E-3</v>
      </c>
      <c r="G409" s="38">
        <v>9.9999999999999395E-5</v>
      </c>
    </row>
    <row r="410" spans="2:7" x14ac:dyDescent="0.2">
      <c r="B410" s="19">
        <v>44979</v>
      </c>
      <c r="C410" s="19">
        <v>44978</v>
      </c>
      <c r="D410" s="38">
        <v>-3.0103656407912469E-4</v>
      </c>
      <c r="E410" s="38">
        <v>-3.7023827306651921E-4</v>
      </c>
      <c r="F410" s="38">
        <v>-1.9421467268344869E-4</v>
      </c>
      <c r="G410" s="38">
        <v>1.9999999999999879E-4</v>
      </c>
    </row>
    <row r="411" spans="2:7" x14ac:dyDescent="0.2">
      <c r="B411" s="19">
        <v>44980</v>
      </c>
      <c r="C411" s="19">
        <v>44979</v>
      </c>
      <c r="D411" s="38">
        <v>-7.8932762132190998E-5</v>
      </c>
      <c r="E411" s="38">
        <v>-2.8660470739579752E-4</v>
      </c>
      <c r="F411" s="38">
        <v>-2.93266539437953E-4</v>
      </c>
      <c r="G411" s="38">
        <v>9.9999999999995925E-5</v>
      </c>
    </row>
    <row r="412" spans="2:7" x14ac:dyDescent="0.2">
      <c r="B412" s="19">
        <v>44981</v>
      </c>
      <c r="C412" s="19">
        <v>44980</v>
      </c>
      <c r="D412" s="38">
        <v>1.2700058438606251E-3</v>
      </c>
      <c r="E412" s="38">
        <v>9.3972535898361603E-4</v>
      </c>
      <c r="F412" s="38">
        <v>4.7150105300211922E-4</v>
      </c>
      <c r="G412" s="38">
        <v>2.0000000000000231E-4</v>
      </c>
    </row>
    <row r="413" spans="2:7" x14ac:dyDescent="0.2">
      <c r="B413" s="19">
        <v>44984</v>
      </c>
      <c r="C413" s="19">
        <v>44981</v>
      </c>
      <c r="D413" s="38">
        <v>1.671451147952849E-4</v>
      </c>
      <c r="E413" s="38">
        <v>1.08592543649106E-4</v>
      </c>
      <c r="F413" s="38">
        <v>2.7281617372451611E-4</v>
      </c>
      <c r="G413" s="38">
        <v>-2.9999999999999818E-4</v>
      </c>
    </row>
    <row r="414" spans="2:7" x14ac:dyDescent="0.2">
      <c r="B414" s="19">
        <v>44985</v>
      </c>
      <c r="C414" s="19">
        <v>44984</v>
      </c>
      <c r="D414" s="38">
        <v>1.259624689045082E-3</v>
      </c>
      <c r="E414" s="38">
        <v>1.3546607309937279E-3</v>
      </c>
      <c r="F414" s="38">
        <v>1.388466107146599E-3</v>
      </c>
      <c r="G414" s="38">
        <v>0</v>
      </c>
    </row>
    <row r="415" spans="2:7" x14ac:dyDescent="0.2">
      <c r="B415" s="19">
        <v>44986</v>
      </c>
      <c r="C415" s="19">
        <v>44985</v>
      </c>
      <c r="D415" s="38">
        <v>2.5593741884900531E-4</v>
      </c>
      <c r="E415" s="38">
        <v>-9.6316466453201521E-6</v>
      </c>
      <c r="F415" s="38">
        <v>-1.5838486019281381E-4</v>
      </c>
      <c r="G415" s="38">
        <v>-9.9999999999999395E-5</v>
      </c>
    </row>
    <row r="416" spans="2:7" x14ac:dyDescent="0.2">
      <c r="B416" s="19">
        <v>44987</v>
      </c>
      <c r="C416" s="19">
        <v>44986</v>
      </c>
      <c r="D416" s="38">
        <v>-1.503427032397385E-4</v>
      </c>
      <c r="E416" s="38">
        <v>1.02165844504995E-4</v>
      </c>
      <c r="F416" s="38">
        <v>4.4956335224800159E-4</v>
      </c>
      <c r="G416" s="38">
        <v>1.9999999999999529E-4</v>
      </c>
    </row>
    <row r="417" spans="2:7" x14ac:dyDescent="0.2">
      <c r="B417" s="19">
        <v>44988</v>
      </c>
      <c r="C417" s="19">
        <v>44987</v>
      </c>
      <c r="D417" s="38">
        <v>3.1128487503330471E-4</v>
      </c>
      <c r="E417" s="38">
        <v>-4.5752095010526822E-5</v>
      </c>
      <c r="F417" s="38">
        <v>-2.6670480356103318E-4</v>
      </c>
      <c r="G417" s="38">
        <v>6.0000000000000331E-4</v>
      </c>
    </row>
    <row r="418" spans="2:7" x14ac:dyDescent="0.2">
      <c r="B418" s="19">
        <v>44991</v>
      </c>
      <c r="C418" s="19">
        <v>44988</v>
      </c>
      <c r="D418" s="38">
        <v>8.89665180273079E-4</v>
      </c>
      <c r="E418" s="38">
        <v>7.5950787785350124E-4</v>
      </c>
      <c r="F418" s="38">
        <v>4.3511275877717789E-4</v>
      </c>
      <c r="G418" s="38">
        <v>-2.000000000000057E-4</v>
      </c>
    </row>
    <row r="419" spans="2:7" x14ac:dyDescent="0.2">
      <c r="B419" s="19">
        <v>44992</v>
      </c>
      <c r="C419" s="19">
        <v>44991</v>
      </c>
      <c r="D419" s="38">
        <v>-4.7317062775878438E-4</v>
      </c>
      <c r="E419" s="38">
        <v>-7.9769975519792397E-4</v>
      </c>
      <c r="F419" s="38">
        <v>-6.6003305216491559E-4</v>
      </c>
      <c r="G419" s="38">
        <v>6.9388939039072284E-18</v>
      </c>
    </row>
    <row r="420" spans="2:7" x14ac:dyDescent="0.2">
      <c r="B420" s="19">
        <v>44993</v>
      </c>
      <c r="C420" s="19">
        <v>44992</v>
      </c>
      <c r="D420" s="38">
        <v>2.8682796693905999E-4</v>
      </c>
      <c r="E420" s="38">
        <v>1.0724688720053011E-4</v>
      </c>
      <c r="F420" s="38">
        <v>-3.8034754664622439E-4</v>
      </c>
      <c r="G420" s="38">
        <v>-3.0000000000000512E-4</v>
      </c>
    </row>
    <row r="421" spans="2:7" x14ac:dyDescent="0.2">
      <c r="B421" s="19">
        <v>44994</v>
      </c>
      <c r="C421" s="19">
        <v>44993</v>
      </c>
      <c r="D421" s="38">
        <v>-2.6949387482853171E-4</v>
      </c>
      <c r="E421" s="38">
        <v>-5.7130061141490163E-5</v>
      </c>
      <c r="F421" s="38">
        <v>1.7167508330684711E-4</v>
      </c>
      <c r="G421" s="38">
        <v>-9.9999999999995925E-5</v>
      </c>
    </row>
    <row r="422" spans="2:7" x14ac:dyDescent="0.2">
      <c r="B422" s="19">
        <v>44995</v>
      </c>
      <c r="C422" s="19">
        <v>44994</v>
      </c>
      <c r="D422" s="38">
        <v>-2.2777629919886709E-3</v>
      </c>
      <c r="E422" s="38">
        <v>-2.0372103899826029E-3</v>
      </c>
      <c r="F422" s="38">
        <v>-1.930761025754329E-3</v>
      </c>
      <c r="G422" s="38">
        <v>4.9999999999999697E-4</v>
      </c>
    </row>
    <row r="423" spans="2:7" x14ac:dyDescent="0.2">
      <c r="B423" s="19">
        <v>44998</v>
      </c>
      <c r="C423" s="19">
        <v>44995</v>
      </c>
      <c r="D423" s="38">
        <v>-3.5627287682915391E-3</v>
      </c>
      <c r="E423" s="38">
        <v>-3.0964933384205091E-3</v>
      </c>
      <c r="F423" s="38">
        <v>-2.2766417842919259E-3</v>
      </c>
      <c r="G423" s="38">
        <v>1.2000000000000029E-3</v>
      </c>
    </row>
    <row r="424" spans="2:7" x14ac:dyDescent="0.2">
      <c r="B424" s="19">
        <v>44999</v>
      </c>
      <c r="C424" s="19">
        <v>44998</v>
      </c>
      <c r="D424" s="38">
        <v>2.6754378104191412E-3</v>
      </c>
      <c r="E424" s="38">
        <v>2.4124614966711429E-3</v>
      </c>
      <c r="F424" s="38">
        <v>2.18433549996596E-3</v>
      </c>
      <c r="G424" s="38">
        <v>5.0000000000000044E-4</v>
      </c>
    </row>
    <row r="425" spans="2:7" x14ac:dyDescent="0.2">
      <c r="B425" s="19">
        <v>45000</v>
      </c>
      <c r="C425" s="19">
        <v>44999</v>
      </c>
      <c r="D425" s="38">
        <v>-4.3467292059137311E-3</v>
      </c>
      <c r="E425" s="38">
        <v>-3.1248373874834009E-3</v>
      </c>
      <c r="F425" s="38">
        <v>-2.6464243757281722E-3</v>
      </c>
      <c r="G425" s="38">
        <v>5.9999999999999637E-4</v>
      </c>
    </row>
    <row r="426" spans="2:7" x14ac:dyDescent="0.2">
      <c r="B426" s="19">
        <v>45001</v>
      </c>
      <c r="C426" s="19">
        <v>45000</v>
      </c>
      <c r="D426" s="38">
        <v>5.7122067631915768E-4</v>
      </c>
      <c r="E426" s="38">
        <v>2.5699723551544229E-4</v>
      </c>
      <c r="F426" s="38">
        <v>1.9595153465269691E-4</v>
      </c>
      <c r="G426" s="38">
        <v>9.9999999999999395E-5</v>
      </c>
    </row>
    <row r="427" spans="2:7" x14ac:dyDescent="0.2">
      <c r="B427" s="19">
        <v>45002</v>
      </c>
      <c r="C427" s="19">
        <v>45001</v>
      </c>
      <c r="D427" s="38">
        <v>-1.0294412666327459E-3</v>
      </c>
      <c r="E427" s="38">
        <v>-8.0536215425886307E-4</v>
      </c>
      <c r="F427" s="38">
        <v>-7.6511986569480217E-4</v>
      </c>
      <c r="G427" s="38">
        <v>4.0000000000000799E-4</v>
      </c>
    </row>
    <row r="428" spans="2:7" x14ac:dyDescent="0.2">
      <c r="B428" s="19">
        <v>45005</v>
      </c>
      <c r="C428" s="19">
        <v>45002</v>
      </c>
      <c r="D428" s="38">
        <v>-9.7670306779785651E-4</v>
      </c>
      <c r="E428" s="38">
        <v>-5.9142684263349676E-4</v>
      </c>
      <c r="F428" s="38">
        <v>1.1280925231497289E-4</v>
      </c>
      <c r="G428" s="38">
        <v>1.299999999999996E-3</v>
      </c>
    </row>
    <row r="429" spans="2:7" x14ac:dyDescent="0.2">
      <c r="B429" s="19">
        <v>45006</v>
      </c>
      <c r="C429" s="19">
        <v>45005</v>
      </c>
      <c r="D429" s="38">
        <v>1.8280892635989499E-3</v>
      </c>
      <c r="E429" s="38">
        <v>1.5803802754518E-3</v>
      </c>
      <c r="F429" s="38">
        <v>1.266890059612138E-3</v>
      </c>
      <c r="G429" s="38">
        <v>-9.9999999999999742E-4</v>
      </c>
    </row>
    <row r="430" spans="2:7" x14ac:dyDescent="0.2">
      <c r="B430" s="19">
        <v>45007</v>
      </c>
      <c r="C430" s="19">
        <v>45006</v>
      </c>
      <c r="D430" s="38">
        <v>1.828856322295791E-3</v>
      </c>
      <c r="E430" s="38">
        <v>1.3550694659115699E-3</v>
      </c>
      <c r="F430" s="38">
        <v>1.0509265191143841E-3</v>
      </c>
      <c r="G430" s="38">
        <v>-5.0000000000000391E-4</v>
      </c>
    </row>
    <row r="431" spans="2:7" x14ac:dyDescent="0.2">
      <c r="B431" s="19">
        <v>45008</v>
      </c>
      <c r="C431" s="19">
        <v>45007</v>
      </c>
      <c r="D431" s="38">
        <v>-1.5381413740197111E-3</v>
      </c>
      <c r="E431" s="38">
        <v>-1.553648253617423E-3</v>
      </c>
      <c r="F431" s="38">
        <v>-1.1801874501366531E-3</v>
      </c>
      <c r="G431" s="38">
        <v>-3.9999999999999411E-4</v>
      </c>
    </row>
    <row r="432" spans="2:7" x14ac:dyDescent="0.2">
      <c r="B432" s="19">
        <v>45009</v>
      </c>
      <c r="C432" s="19">
        <v>45008</v>
      </c>
      <c r="D432" s="38">
        <v>-1.8013627536194799E-3</v>
      </c>
      <c r="E432" s="38">
        <v>-1.469862522552455E-3</v>
      </c>
      <c r="F432" s="38">
        <v>-1.1557865036360029E-3</v>
      </c>
      <c r="G432" s="38">
        <v>1.399999999999995E-3</v>
      </c>
    </row>
    <row r="433" spans="2:7" x14ac:dyDescent="0.2">
      <c r="B433" s="19">
        <v>45012</v>
      </c>
      <c r="C433" s="19">
        <v>45009</v>
      </c>
      <c r="D433" s="38">
        <v>1.7387154213365161E-3</v>
      </c>
      <c r="E433" s="38">
        <v>1.5635970126297619E-3</v>
      </c>
      <c r="F433" s="38">
        <v>1.4479712682734999E-3</v>
      </c>
      <c r="G433" s="38">
        <v>-9.0000000000000496E-4</v>
      </c>
    </row>
    <row r="434" spans="2:7" x14ac:dyDescent="0.2">
      <c r="B434" s="19">
        <v>45013</v>
      </c>
      <c r="C434" s="19">
        <v>45012</v>
      </c>
      <c r="D434" s="38">
        <v>7.8343591199354912E-5</v>
      </c>
      <c r="E434" s="38">
        <v>7.1733099777652326E-5</v>
      </c>
      <c r="F434" s="38">
        <v>2.1134918779856789E-5</v>
      </c>
      <c r="G434" s="38">
        <v>-7.9999999999999169E-4</v>
      </c>
    </row>
    <row r="435" spans="2:7" x14ac:dyDescent="0.2">
      <c r="B435" s="19">
        <v>45014</v>
      </c>
      <c r="C435" s="19">
        <v>45013</v>
      </c>
      <c r="D435" s="38">
        <v>5.5677856449927454E-4</v>
      </c>
      <c r="E435" s="38">
        <v>5.2852953167751085E-4</v>
      </c>
      <c r="F435" s="38">
        <v>4.4372745191580831E-4</v>
      </c>
      <c r="G435" s="38">
        <v>1.9999999999999879E-4</v>
      </c>
    </row>
    <row r="436" spans="2:7" x14ac:dyDescent="0.2">
      <c r="B436" s="19">
        <v>45015</v>
      </c>
      <c r="C436" s="19">
        <v>45014</v>
      </c>
      <c r="D436" s="38">
        <v>1.24355536121195E-3</v>
      </c>
      <c r="E436" s="38">
        <v>7.8845700714866643E-4</v>
      </c>
      <c r="F436" s="38">
        <v>5.3607639178573224E-4</v>
      </c>
      <c r="G436" s="38">
        <v>-6.0000000000000331E-4</v>
      </c>
    </row>
    <row r="437" spans="2:7" x14ac:dyDescent="0.2">
      <c r="B437" s="19">
        <v>45016</v>
      </c>
      <c r="C437" s="19">
        <v>45015</v>
      </c>
      <c r="D437" s="38">
        <v>-4.7916616988024491E-4</v>
      </c>
      <c r="E437" s="38">
        <v>-4.115244766700818E-4</v>
      </c>
      <c r="F437" s="38">
        <v>-4.3601622390238362E-4</v>
      </c>
      <c r="G437" s="38">
        <v>9.9999999999999395E-5</v>
      </c>
    </row>
    <row r="438" spans="2:7" x14ac:dyDescent="0.2">
      <c r="B438" s="19">
        <v>45019</v>
      </c>
      <c r="C438" s="19">
        <v>45016</v>
      </c>
      <c r="D438" s="38">
        <v>9.4775515701660262E-5</v>
      </c>
      <c r="E438" s="38">
        <v>-1.390630920331121E-4</v>
      </c>
      <c r="F438" s="38">
        <v>-1.8338338652646241E-4</v>
      </c>
      <c r="G438" s="38">
        <v>-5.9999999999999984E-4</v>
      </c>
    </row>
    <row r="439" spans="2:7" x14ac:dyDescent="0.2">
      <c r="B439" s="19">
        <v>45020</v>
      </c>
      <c r="C439" s="19">
        <v>45019</v>
      </c>
      <c r="D439" s="38">
        <v>8.2645304648128887E-5</v>
      </c>
      <c r="E439" s="38">
        <v>1.8027458943077959E-4</v>
      </c>
      <c r="F439" s="38">
        <v>2.8097675741691272E-4</v>
      </c>
      <c r="G439" s="38">
        <v>6.9388939039072284E-18</v>
      </c>
    </row>
    <row r="440" spans="2:7" x14ac:dyDescent="0.2">
      <c r="B440" s="19">
        <v>45021</v>
      </c>
      <c r="C440" s="19">
        <v>45020</v>
      </c>
      <c r="D440" s="38">
        <v>-1.341101134133479E-3</v>
      </c>
      <c r="E440" s="38">
        <v>-1.2182978004804249E-3</v>
      </c>
      <c r="F440" s="38">
        <v>-1.121119155562181E-3</v>
      </c>
      <c r="G440" s="38">
        <v>-2.9999999999999818E-4</v>
      </c>
    </row>
    <row r="441" spans="2:7" x14ac:dyDescent="0.2">
      <c r="B441" s="19">
        <v>45022</v>
      </c>
      <c r="C441" s="19">
        <v>45021</v>
      </c>
      <c r="D441" s="38">
        <v>-3.2116242957443841E-4</v>
      </c>
      <c r="E441" s="38">
        <v>-4.6659391023400049E-4</v>
      </c>
      <c r="F441" s="38">
        <v>-5.2292857671033116E-4</v>
      </c>
      <c r="G441" s="38">
        <v>2.9999999999998778E-4</v>
      </c>
    </row>
    <row r="442" spans="2:7" x14ac:dyDescent="0.2">
      <c r="B442" s="19">
        <v>45027</v>
      </c>
      <c r="C442" s="19">
        <v>45022</v>
      </c>
      <c r="D442" s="38">
        <v>1.525530915313465E-3</v>
      </c>
      <c r="E442" s="38">
        <v>1.444951994084589E-3</v>
      </c>
      <c r="F442" s="38">
        <v>1.337813101782815E-3</v>
      </c>
      <c r="G442" s="38">
        <v>-3.9999999999999758E-4</v>
      </c>
    </row>
    <row r="443" spans="2:7" x14ac:dyDescent="0.2">
      <c r="B443" s="19">
        <v>45028</v>
      </c>
      <c r="C443" s="19">
        <v>45027</v>
      </c>
      <c r="D443" s="38">
        <v>6.7912878302022611E-4</v>
      </c>
      <c r="E443" s="38">
        <v>5.5544366057576691E-4</v>
      </c>
      <c r="F443" s="38">
        <v>5.1487554616039266E-4</v>
      </c>
      <c r="G443" s="38">
        <v>-3.9999999999999758E-4</v>
      </c>
    </row>
    <row r="444" spans="2:7" x14ac:dyDescent="0.2">
      <c r="B444" s="19">
        <v>45029</v>
      </c>
      <c r="C444" s="19">
        <v>45028</v>
      </c>
      <c r="D444" s="38">
        <v>-1.3978545521156971E-4</v>
      </c>
      <c r="E444" s="38">
        <v>-1.9788482470251001E-5</v>
      </c>
      <c r="F444" s="38">
        <v>7.7132717491823488E-5</v>
      </c>
      <c r="G444" s="38">
        <v>-6.9999999999999923E-4</v>
      </c>
    </row>
    <row r="445" spans="2:7" x14ac:dyDescent="0.2">
      <c r="B445" s="19">
        <v>45030</v>
      </c>
      <c r="C445" s="19">
        <v>45029</v>
      </c>
      <c r="D445" s="38">
        <v>9.622730128460294E-4</v>
      </c>
      <c r="E445" s="38">
        <v>5.3907606024617555E-4</v>
      </c>
      <c r="F445" s="38">
        <v>2.8331926319779752E-4</v>
      </c>
      <c r="G445" s="38">
        <v>-1.9999999999999879E-4</v>
      </c>
    </row>
    <row r="446" spans="2:7" x14ac:dyDescent="0.2">
      <c r="B446" s="19">
        <v>45033</v>
      </c>
      <c r="C446" s="19">
        <v>45030</v>
      </c>
      <c r="D446" s="38">
        <v>2.2198811613807071E-4</v>
      </c>
      <c r="E446" s="38">
        <v>4.0080248911439348E-4</v>
      </c>
      <c r="F446" s="38">
        <v>7.5670082572853667E-4</v>
      </c>
      <c r="G446" s="38">
        <v>0</v>
      </c>
    </row>
    <row r="447" spans="2:7" x14ac:dyDescent="0.2">
      <c r="B447" s="19">
        <v>45034</v>
      </c>
      <c r="C447" s="19">
        <v>45033</v>
      </c>
      <c r="D447" s="38">
        <v>8.4199553906528363E-5</v>
      </c>
      <c r="E447" s="38">
        <v>-4.7682622859385883E-5</v>
      </c>
      <c r="F447" s="38">
        <v>3.3865263481196173E-5</v>
      </c>
      <c r="G447" s="38">
        <v>-5.0000000000000044E-4</v>
      </c>
    </row>
    <row r="448" spans="2:7" x14ac:dyDescent="0.2">
      <c r="B448" s="19">
        <v>45035</v>
      </c>
      <c r="C448" s="19">
        <v>45034</v>
      </c>
      <c r="D448" s="38">
        <v>7.4121129691615689E-4</v>
      </c>
      <c r="E448" s="38">
        <v>5.8407706609775109E-4</v>
      </c>
      <c r="F448" s="38">
        <v>3.9587322321492721E-4</v>
      </c>
      <c r="G448" s="38">
        <v>-2.000000000000057E-4</v>
      </c>
    </row>
    <row r="449" spans="2:7" x14ac:dyDescent="0.2">
      <c r="B449" s="19">
        <v>45036</v>
      </c>
      <c r="C449" s="19">
        <v>45035</v>
      </c>
      <c r="D449" s="38">
        <v>-3.9858699283239549E-4</v>
      </c>
      <c r="E449" s="38">
        <v>-3.3736894309087379E-4</v>
      </c>
      <c r="F449" s="38">
        <v>-1.7342576793147321E-4</v>
      </c>
      <c r="G449" s="38">
        <v>1.0000000000000291E-4</v>
      </c>
    </row>
    <row r="450" spans="2:7" x14ac:dyDescent="0.2">
      <c r="B450" s="19">
        <v>45037</v>
      </c>
      <c r="C450" s="19">
        <v>45036</v>
      </c>
      <c r="D450" s="38">
        <v>7.8928937916649539E-5</v>
      </c>
      <c r="E450" s="38">
        <v>8.6767681066031443E-5</v>
      </c>
      <c r="F450" s="38">
        <v>1.0742614488179129E-4</v>
      </c>
      <c r="G450" s="38">
        <v>2.000000000000057E-4</v>
      </c>
    </row>
    <row r="451" spans="2:7" x14ac:dyDescent="0.2">
      <c r="B451" s="19">
        <v>45040</v>
      </c>
      <c r="C451" s="19">
        <v>45037</v>
      </c>
      <c r="D451" s="38">
        <v>2.835624777655435E-4</v>
      </c>
      <c r="E451" s="38">
        <v>1.2462448039588311E-4</v>
      </c>
      <c r="F451" s="38">
        <v>2.862147508871787E-5</v>
      </c>
      <c r="G451" s="38">
        <v>-3.4694469519536142E-18</v>
      </c>
    </row>
    <row r="452" spans="2:7" x14ac:dyDescent="0.2">
      <c r="B452" s="19">
        <v>45041</v>
      </c>
      <c r="C452" s="19">
        <v>45040</v>
      </c>
      <c r="D452" s="38">
        <v>-1.0811936504147579E-3</v>
      </c>
      <c r="E452" s="38">
        <v>-8.7757358800350654E-4</v>
      </c>
      <c r="F452" s="38">
        <v>-8.1748329564423558E-4</v>
      </c>
      <c r="G452" s="38">
        <v>3.4694469519536142E-18</v>
      </c>
    </row>
    <row r="453" spans="2:7" x14ac:dyDescent="0.2">
      <c r="B453" s="19">
        <v>45042</v>
      </c>
      <c r="C453" s="19">
        <v>45041</v>
      </c>
      <c r="D453" s="38">
        <v>-7.0104028826857567E-4</v>
      </c>
      <c r="E453" s="38">
        <v>-6.4803302348808572E-4</v>
      </c>
      <c r="F453" s="38">
        <v>-4.1375682806050329E-4</v>
      </c>
      <c r="G453" s="38">
        <v>7.9999999999999169E-4</v>
      </c>
    </row>
    <row r="454" spans="2:7" x14ac:dyDescent="0.2">
      <c r="B454" s="19">
        <v>45043</v>
      </c>
      <c r="C454" s="19">
        <v>45042</v>
      </c>
      <c r="D454" s="38">
        <v>5.6237776751957153E-4</v>
      </c>
      <c r="E454" s="38">
        <v>7.3487657972311562E-4</v>
      </c>
      <c r="F454" s="38">
        <v>6.2820535471871247E-4</v>
      </c>
      <c r="G454" s="38">
        <v>-5.9999999999999984E-4</v>
      </c>
    </row>
    <row r="455" spans="2:7" x14ac:dyDescent="0.2">
      <c r="B455" s="19">
        <v>45044</v>
      </c>
      <c r="C455" s="19">
        <v>45043</v>
      </c>
      <c r="D455" s="38">
        <v>-6.6440638982416186E-4</v>
      </c>
      <c r="E455" s="38">
        <v>-7.2803612846754004E-4</v>
      </c>
      <c r="F455" s="38">
        <v>-8.2200127168411893E-4</v>
      </c>
      <c r="G455" s="38">
        <v>6.0000000000000331E-4</v>
      </c>
    </row>
    <row r="456" spans="2:7" x14ac:dyDescent="0.2">
      <c r="B456" s="19">
        <v>45048</v>
      </c>
      <c r="C456" s="19">
        <v>45044</v>
      </c>
      <c r="D456" s="38">
        <v>7.9371533099989455E-5</v>
      </c>
      <c r="E456" s="38">
        <v>-1.7900832103640709E-5</v>
      </c>
      <c r="F456" s="38">
        <v>3.6831337173370143E-5</v>
      </c>
      <c r="G456" s="38">
        <v>-3.9999999999999758E-4</v>
      </c>
    </row>
    <row r="457" spans="2:7" x14ac:dyDescent="0.2">
      <c r="B457" s="19">
        <v>45049</v>
      </c>
      <c r="C457" s="19">
        <v>45048</v>
      </c>
      <c r="D457" s="38">
        <v>-1.2958988860469029E-3</v>
      </c>
      <c r="E457" s="38">
        <v>-1.1996149034881191E-3</v>
      </c>
      <c r="F457" s="38">
        <v>-1.031378658889012E-3</v>
      </c>
      <c r="G457" s="38">
        <v>2.0000000000000231E-4</v>
      </c>
    </row>
    <row r="458" spans="2:7" x14ac:dyDescent="0.2">
      <c r="B458" s="19">
        <v>45050</v>
      </c>
      <c r="C458" s="19">
        <v>45049</v>
      </c>
      <c r="D458" s="38">
        <v>-7.8181312460644248E-5</v>
      </c>
      <c r="E458" s="38">
        <v>7.6976181581908665E-5</v>
      </c>
      <c r="F458" s="38">
        <v>1.3670214049968721E-4</v>
      </c>
      <c r="G458" s="38">
        <v>-1.0000000000000291E-4</v>
      </c>
    </row>
    <row r="459" spans="2:7" x14ac:dyDescent="0.2">
      <c r="B459" s="19">
        <v>45051</v>
      </c>
      <c r="C459" s="19">
        <v>45050</v>
      </c>
      <c r="D459" s="38">
        <v>-5.2192084874655778E-4</v>
      </c>
      <c r="E459" s="38">
        <v>-1.0437111620097141E-4</v>
      </c>
      <c r="F459" s="38">
        <v>2.6162919660504061E-4</v>
      </c>
      <c r="G459" s="38">
        <v>-9.9999999999999395E-5</v>
      </c>
    </row>
    <row r="460" spans="2:7" x14ac:dyDescent="0.2">
      <c r="B460" s="19">
        <v>45054</v>
      </c>
      <c r="C460" s="19">
        <v>45051</v>
      </c>
      <c r="D460" s="38">
        <v>6.4714672343570839E-4</v>
      </c>
      <c r="E460" s="38">
        <v>4.5577084015161959E-4</v>
      </c>
      <c r="F460" s="38">
        <v>3.9231833910101382E-4</v>
      </c>
      <c r="G460" s="38">
        <v>-1.0000000000000291E-4</v>
      </c>
    </row>
    <row r="461" spans="2:7" x14ac:dyDescent="0.2">
      <c r="B461" s="19">
        <v>45055</v>
      </c>
      <c r="C461" s="19">
        <v>45054</v>
      </c>
      <c r="D461" s="38">
        <v>5.000288465990127E-5</v>
      </c>
      <c r="E461" s="38">
        <v>-2.824021264880711E-6</v>
      </c>
      <c r="F461" s="38">
        <v>6.0728360582289198E-6</v>
      </c>
      <c r="G461" s="38">
        <v>-1.0000000000000291E-4</v>
      </c>
    </row>
    <row r="462" spans="2:7" x14ac:dyDescent="0.2">
      <c r="B462" s="19">
        <v>45056</v>
      </c>
      <c r="C462" s="19">
        <v>45055</v>
      </c>
      <c r="D462" s="38">
        <v>-5.9901603644815088E-4</v>
      </c>
      <c r="E462" s="38">
        <v>-4.8873804587472661E-4</v>
      </c>
      <c r="F462" s="38">
        <v>-4.1216876451903242E-4</v>
      </c>
      <c r="G462" s="38">
        <v>3.0000000000000171E-4</v>
      </c>
    </row>
    <row r="463" spans="2:7" x14ac:dyDescent="0.2">
      <c r="B463" s="19">
        <v>45057</v>
      </c>
      <c r="C463" s="19">
        <v>45056</v>
      </c>
      <c r="D463" s="38">
        <v>-5.0423572942789874E-4</v>
      </c>
      <c r="E463" s="38">
        <v>-6.7527515608071034E-4</v>
      </c>
      <c r="F463" s="38">
        <v>-7.7876371839585151E-4</v>
      </c>
      <c r="G463" s="38">
        <v>-4.9999999999999697E-4</v>
      </c>
    </row>
    <row r="464" spans="2:7" x14ac:dyDescent="0.2">
      <c r="B464" s="19">
        <v>45058</v>
      </c>
      <c r="C464" s="19">
        <v>45057</v>
      </c>
      <c r="D464" s="38">
        <v>5.3041472283981567E-4</v>
      </c>
      <c r="E464" s="38">
        <v>3.9572144040555049E-4</v>
      </c>
      <c r="F464" s="38">
        <v>3.8369169479990362E-4</v>
      </c>
      <c r="G464" s="38">
        <v>7.000000000000027E-4</v>
      </c>
    </row>
    <row r="465" spans="2:7" x14ac:dyDescent="0.2">
      <c r="B465" s="19">
        <v>45061</v>
      </c>
      <c r="C465" s="19">
        <v>45058</v>
      </c>
      <c r="D465" s="38">
        <v>2.9030211821799018E-4</v>
      </c>
      <c r="E465" s="38">
        <v>4.3851144393757332E-4</v>
      </c>
      <c r="F465" s="38">
        <v>6.0381633419144543E-4</v>
      </c>
      <c r="G465" s="38">
        <v>0</v>
      </c>
    </row>
    <row r="466" spans="2:7" x14ac:dyDescent="0.2">
      <c r="B466" s="19">
        <v>45062</v>
      </c>
      <c r="C466" s="19">
        <v>45061</v>
      </c>
      <c r="D466" s="38">
        <v>1.682980608690259E-4</v>
      </c>
      <c r="E466" s="38">
        <v>1.4964206877094921E-4</v>
      </c>
      <c r="F466" s="38">
        <v>1.6985423166954519E-4</v>
      </c>
      <c r="G466" s="38">
        <v>1.9999999999999529E-4</v>
      </c>
    </row>
    <row r="467" spans="2:7" x14ac:dyDescent="0.2">
      <c r="B467" s="19">
        <v>45063</v>
      </c>
      <c r="C467" s="19">
        <v>45062</v>
      </c>
      <c r="D467" s="38">
        <v>3.8638069551189327E-4</v>
      </c>
      <c r="E467" s="38">
        <v>2.4774462664876531E-4</v>
      </c>
      <c r="F467" s="38">
        <v>6.768429349662472E-5</v>
      </c>
      <c r="G467" s="38">
        <v>3.0000000000000171E-4</v>
      </c>
    </row>
    <row r="468" spans="2:7" x14ac:dyDescent="0.2">
      <c r="B468" s="19">
        <v>45064</v>
      </c>
      <c r="C468" s="19">
        <v>45063</v>
      </c>
      <c r="D468" s="38">
        <v>7.9216103275247737E-4</v>
      </c>
      <c r="E468" s="38">
        <v>7.3379699391703385E-4</v>
      </c>
      <c r="F468" s="38">
        <v>8.902022860889959E-4</v>
      </c>
      <c r="G468" s="38">
        <v>9.9999999999999395E-5</v>
      </c>
    </row>
    <row r="469" spans="2:7" x14ac:dyDescent="0.2">
      <c r="B469" s="19">
        <v>45065</v>
      </c>
      <c r="C469" s="19">
        <v>45064</v>
      </c>
      <c r="D469" s="38">
        <v>6.7886881305230171E-4</v>
      </c>
      <c r="E469" s="38">
        <v>7.6709308557532455E-4</v>
      </c>
      <c r="F469" s="38">
        <v>5.766354818501386E-4</v>
      </c>
      <c r="G469" s="38">
        <v>-1.0000000000000291E-4</v>
      </c>
    </row>
    <row r="470" spans="2:7" x14ac:dyDescent="0.2">
      <c r="B470" s="19">
        <v>45068</v>
      </c>
      <c r="C470" s="19">
        <v>45065</v>
      </c>
      <c r="D470" s="38">
        <v>-1.924492050000039E-4</v>
      </c>
      <c r="E470" s="38">
        <v>-2.8799630999998271E-5</v>
      </c>
      <c r="F470" s="38">
        <v>-2.0015018899999931E-4</v>
      </c>
      <c r="G470" s="38">
        <v>9.9999999999995925E-5</v>
      </c>
    </row>
    <row r="471" spans="2:7" x14ac:dyDescent="0.2">
      <c r="B471" s="19">
        <v>45069</v>
      </c>
      <c r="C471" s="19">
        <v>45068</v>
      </c>
      <c r="D471" s="38">
        <v>5.9345245100000249E-4</v>
      </c>
      <c r="E471" s="38">
        <v>5.1513834200000302E-4</v>
      </c>
      <c r="F471" s="38">
        <v>2.471767000000041E-5</v>
      </c>
      <c r="G471" s="38">
        <v>-3.9999999999999411E-4</v>
      </c>
    </row>
    <row r="472" spans="2:7" x14ac:dyDescent="0.2">
      <c r="B472" s="19">
        <v>45070</v>
      </c>
      <c r="C472" s="19">
        <v>45069</v>
      </c>
      <c r="D472" s="38">
        <v>-4.052242270000013E-4</v>
      </c>
      <c r="E472" s="38">
        <v>-6.5223886800000117E-4</v>
      </c>
      <c r="F472" s="38">
        <v>-2.1475968899999781E-4</v>
      </c>
      <c r="G472" s="38">
        <v>4.0000000000000452E-4</v>
      </c>
    </row>
    <row r="473" spans="2:7" x14ac:dyDescent="0.2">
      <c r="B473" s="19">
        <v>45071</v>
      </c>
      <c r="C473" s="19">
        <v>45070</v>
      </c>
      <c r="D473" s="38">
        <v>6.2597562000000356E-4</v>
      </c>
      <c r="E473" s="38">
        <v>5.1748183499999989E-4</v>
      </c>
      <c r="F473" s="38">
        <v>4.9376852199999738E-4</v>
      </c>
      <c r="G473" s="38">
        <v>-1.0000000000000291E-4</v>
      </c>
    </row>
    <row r="474" spans="2:7" x14ac:dyDescent="0.2">
      <c r="B474" s="19">
        <v>45072</v>
      </c>
      <c r="C474" s="19">
        <v>45071</v>
      </c>
      <c r="D474" s="38">
        <v>4.0071861099999842E-4</v>
      </c>
      <c r="E474" s="38">
        <v>4.495331399999962E-4</v>
      </c>
      <c r="F474" s="38">
        <v>3.7440199799999851E-4</v>
      </c>
      <c r="G474" s="38">
        <v>0</v>
      </c>
    </row>
    <row r="475" spans="2:7" x14ac:dyDescent="0.2">
      <c r="B475" s="19">
        <v>45075</v>
      </c>
      <c r="C475" s="19">
        <v>45072</v>
      </c>
      <c r="D475" s="38">
        <v>-1.3744585199999831E-4</v>
      </c>
      <c r="E475" s="38">
        <v>-4.4523418399999848E-4</v>
      </c>
      <c r="F475" s="38">
        <v>-8.0735333299999934E-4</v>
      </c>
      <c r="G475" s="38">
        <v>3.0000000000000171E-4</v>
      </c>
    </row>
    <row r="476" spans="2:7" x14ac:dyDescent="0.2">
      <c r="B476" s="19">
        <v>45076</v>
      </c>
      <c r="C476" s="19">
        <v>45075</v>
      </c>
      <c r="D476" s="38">
        <v>-5.8157832700000273E-4</v>
      </c>
      <c r="E476" s="38">
        <v>-8.6310886700000089E-4</v>
      </c>
      <c r="F476" s="38">
        <v>-8.1486236799999806E-4</v>
      </c>
      <c r="G476" s="38">
        <v>-1.9999999999999879E-4</v>
      </c>
    </row>
    <row r="477" spans="2:7" x14ac:dyDescent="0.2">
      <c r="B477" s="19">
        <v>45077</v>
      </c>
      <c r="C477" s="19">
        <v>45076</v>
      </c>
      <c r="D477" s="38">
        <v>-1.334155571000001E-3</v>
      </c>
      <c r="E477" s="38">
        <v>-1.123385274000001E-3</v>
      </c>
      <c r="F477" s="38">
        <v>-7.6569533700000456E-4</v>
      </c>
      <c r="G477" s="38">
        <v>9.9999999999999395E-5</v>
      </c>
    </row>
    <row r="478" spans="2:7" x14ac:dyDescent="0.2">
      <c r="B478" s="19">
        <v>45078</v>
      </c>
      <c r="C478" s="19">
        <v>45077</v>
      </c>
      <c r="D478" s="38">
        <v>-2.2241052700000191E-4</v>
      </c>
      <c r="E478" s="38">
        <v>-1.9249833199999969E-4</v>
      </c>
      <c r="F478" s="38">
        <v>-3.1249714999999692E-4</v>
      </c>
      <c r="G478" s="38">
        <v>9.9999999999999395E-5</v>
      </c>
    </row>
    <row r="479" spans="2:7" x14ac:dyDescent="0.2">
      <c r="B479" s="19">
        <v>45079</v>
      </c>
      <c r="C479" s="19">
        <v>45078</v>
      </c>
      <c r="D479" s="38">
        <v>8.831441010000024E-4</v>
      </c>
      <c r="E479" s="38">
        <v>5.4154779600000189E-4</v>
      </c>
      <c r="F479" s="38">
        <v>4.6613634700000059E-4</v>
      </c>
      <c r="G479" s="38">
        <v>-9.9999999999999395E-5</v>
      </c>
    </row>
    <row r="480" spans="2:7" x14ac:dyDescent="0.2">
      <c r="B480" s="19">
        <v>45082</v>
      </c>
      <c r="C480" s="19">
        <v>45079</v>
      </c>
      <c r="D480" s="38">
        <v>1.001385761E-3</v>
      </c>
      <c r="E480" s="38">
        <v>9.6200273200000228E-4</v>
      </c>
      <c r="F480" s="38">
        <v>8.0462597900000238E-4</v>
      </c>
      <c r="G480" s="38">
        <v>-1.0000000000000291E-4</v>
      </c>
    </row>
    <row r="481" spans="2:7" x14ac:dyDescent="0.2">
      <c r="B481" s="19">
        <v>45083</v>
      </c>
      <c r="C481" s="19">
        <v>45082</v>
      </c>
      <c r="D481" s="38">
        <v>-3.3064409800000189E-4</v>
      </c>
      <c r="E481" s="38">
        <v>-4.3231549700000269E-4</v>
      </c>
      <c r="F481" s="38">
        <v>-1.289147710000042E-4</v>
      </c>
      <c r="G481" s="38">
        <v>0</v>
      </c>
    </row>
    <row r="482" spans="2:7" x14ac:dyDescent="0.2">
      <c r="B482" s="19">
        <v>45084</v>
      </c>
      <c r="C482" s="19">
        <v>45083</v>
      </c>
      <c r="D482" s="38">
        <v>3.7653844600000352E-4</v>
      </c>
      <c r="E482" s="38">
        <v>4.1596205300000258E-4</v>
      </c>
      <c r="F482" s="38">
        <v>1.090067870000017E-4</v>
      </c>
      <c r="G482" s="38">
        <v>-3.0000000000000512E-4</v>
      </c>
    </row>
    <row r="483" spans="2:7" x14ac:dyDescent="0.2">
      <c r="B483" s="19">
        <v>45085</v>
      </c>
      <c r="C483" s="19">
        <v>45084</v>
      </c>
      <c r="D483" s="38">
        <v>7.6927539999979699E-6</v>
      </c>
      <c r="E483" s="38">
        <v>1.033281179999949E-4</v>
      </c>
      <c r="F483" s="38">
        <v>2.3203521099999719E-4</v>
      </c>
      <c r="G483" s="38">
        <v>-1.9999999999999529E-4</v>
      </c>
    </row>
    <row r="484" spans="2:7" x14ac:dyDescent="0.2">
      <c r="B484" s="19">
        <v>45086</v>
      </c>
      <c r="C484" s="19">
        <v>45085</v>
      </c>
      <c r="D484" s="38">
        <v>3.6032980599999889E-4</v>
      </c>
      <c r="E484" s="38">
        <v>1.054482990000029E-4</v>
      </c>
      <c r="F484" s="38">
        <v>-3.4344634999995682E-5</v>
      </c>
      <c r="G484" s="38">
        <v>-9.9999999999995925E-5</v>
      </c>
    </row>
    <row r="485" spans="2:7" x14ac:dyDescent="0.2">
      <c r="B485" s="19">
        <v>45089</v>
      </c>
      <c r="C485" s="19">
        <v>45086</v>
      </c>
      <c r="D485" s="38">
        <v>-2.34587986999997E-4</v>
      </c>
      <c r="E485" s="38">
        <v>-2.0352129600000049E-4</v>
      </c>
      <c r="F485" s="38">
        <v>-2.4382923900000131E-4</v>
      </c>
      <c r="G485" s="38">
        <v>-1.0000000000000291E-4</v>
      </c>
    </row>
    <row r="486" spans="2:7" x14ac:dyDescent="0.2">
      <c r="B486" s="19">
        <v>45090</v>
      </c>
      <c r="C486" s="19">
        <v>45089</v>
      </c>
      <c r="D486" s="38">
        <v>5.151333969999998E-4</v>
      </c>
      <c r="E486" s="38">
        <v>3.7948590100000262E-4</v>
      </c>
      <c r="F486" s="38">
        <v>2.634692549999991E-4</v>
      </c>
      <c r="G486" s="38">
        <v>-9.9999999999999395E-5</v>
      </c>
    </row>
    <row r="487" spans="2:7" x14ac:dyDescent="0.2">
      <c r="B487" s="19">
        <v>45091</v>
      </c>
      <c r="C487" s="19">
        <v>45090</v>
      </c>
      <c r="D487" s="38">
        <v>4.7718075799999682E-4</v>
      </c>
      <c r="E487" s="38">
        <v>5.8775935599999704E-4</v>
      </c>
      <c r="F487" s="38">
        <v>4.8176807499999969E-4</v>
      </c>
      <c r="G487" s="38">
        <v>-3.4694469519536142E-18</v>
      </c>
    </row>
    <row r="488" spans="2:7" x14ac:dyDescent="0.2">
      <c r="B488" s="19">
        <v>45092</v>
      </c>
      <c r="C488" s="19">
        <v>45091</v>
      </c>
      <c r="D488" s="38">
        <v>5.3554869700000313E-4</v>
      </c>
      <c r="E488" s="38">
        <v>2.3616727399999871E-4</v>
      </c>
      <c r="F488" s="38">
        <v>-1.13658204E-4</v>
      </c>
      <c r="G488" s="38">
        <v>-1.9999999999999529E-4</v>
      </c>
    </row>
    <row r="489" spans="2:7" x14ac:dyDescent="0.2">
      <c r="B489" s="19">
        <v>45093</v>
      </c>
      <c r="C489" s="19">
        <v>45092</v>
      </c>
      <c r="D489" s="38">
        <v>6.5146735999999789E-4</v>
      </c>
      <c r="E489" s="38">
        <v>3.4905411000000011E-4</v>
      </c>
      <c r="F489" s="38">
        <v>1.599034750000006E-4</v>
      </c>
      <c r="G489" s="38">
        <v>-3.4694469519536142E-18</v>
      </c>
    </row>
    <row r="490" spans="2:7" x14ac:dyDescent="0.2">
      <c r="B490" s="19">
        <v>45096</v>
      </c>
      <c r="C490" s="19">
        <v>45093</v>
      </c>
      <c r="D490" s="38">
        <v>2.9906440000001391E-5</v>
      </c>
      <c r="E490" s="38">
        <v>3.6775202500000098E-4</v>
      </c>
      <c r="F490" s="38">
        <v>3.7498979600000121E-4</v>
      </c>
      <c r="G490" s="38">
        <v>-1.9999999999999529E-4</v>
      </c>
    </row>
    <row r="491" spans="2:7" x14ac:dyDescent="0.2">
      <c r="B491" s="19">
        <v>45097</v>
      </c>
      <c r="C491" s="19">
        <v>45096</v>
      </c>
      <c r="D491" s="38">
        <v>9.4669571999998064E-5</v>
      </c>
      <c r="E491" s="38">
        <v>-4.6416859000000121E-4</v>
      </c>
      <c r="F491" s="38">
        <v>-8.3602447999999926E-4</v>
      </c>
      <c r="G491" s="38">
        <v>-9.9999999999999395E-5</v>
      </c>
    </row>
    <row r="492" spans="2:7" x14ac:dyDescent="0.2">
      <c r="B492" s="19">
        <v>45098</v>
      </c>
      <c r="C492" s="19">
        <v>45097</v>
      </c>
      <c r="D492" s="38">
        <v>2.8840461200000181E-4</v>
      </c>
      <c r="E492" s="38">
        <v>-1.4029180999998451E-5</v>
      </c>
      <c r="F492" s="38">
        <v>1.0725715599999711E-4</v>
      </c>
      <c r="G492" s="38">
        <v>3.9999999999999758E-4</v>
      </c>
    </row>
    <row r="493" spans="2:7" x14ac:dyDescent="0.2">
      <c r="B493" s="19">
        <v>45099</v>
      </c>
      <c r="C493" s="19">
        <v>45098</v>
      </c>
      <c r="D493" s="38">
        <v>4.567298620000021E-4</v>
      </c>
      <c r="E493" s="38">
        <v>4.5423107799999821E-4</v>
      </c>
      <c r="F493" s="38">
        <v>3.5180450900000262E-4</v>
      </c>
      <c r="G493" s="38">
        <v>-2.0000000000000231E-4</v>
      </c>
    </row>
    <row r="494" spans="2:7" x14ac:dyDescent="0.2">
      <c r="B494" s="19">
        <v>45100</v>
      </c>
      <c r="C494" s="19">
        <v>45099</v>
      </c>
      <c r="D494" s="38">
        <v>-1.0695088070000051E-3</v>
      </c>
      <c r="E494" s="38">
        <v>-1.333882953999999E-3</v>
      </c>
      <c r="F494" s="38">
        <v>-1.385010031E-3</v>
      </c>
      <c r="G494" s="38">
        <v>5.9999999999999984E-4</v>
      </c>
    </row>
    <row r="495" spans="2:7" x14ac:dyDescent="0.2">
      <c r="B495" s="19">
        <v>45103</v>
      </c>
      <c r="C495" s="19">
        <v>45100</v>
      </c>
      <c r="D495" s="38">
        <v>-2.105717699999593E-5</v>
      </c>
      <c r="E495" s="38">
        <v>-4.3694889999997683E-5</v>
      </c>
      <c r="F495" s="38">
        <v>-8.1406930000013644E-6</v>
      </c>
      <c r="G495" s="38">
        <v>0</v>
      </c>
    </row>
    <row r="496" spans="2:7" x14ac:dyDescent="0.2">
      <c r="B496" s="19">
        <v>45104</v>
      </c>
      <c r="C496" s="19">
        <v>45103</v>
      </c>
      <c r="D496" s="38">
        <v>-5.9083038000000421E-5</v>
      </c>
      <c r="E496" s="38">
        <v>-2.033446190000017E-4</v>
      </c>
      <c r="F496" s="38">
        <v>-3.7449437499999932E-4</v>
      </c>
      <c r="G496" s="38">
        <v>-9.9999999999995925E-5</v>
      </c>
    </row>
    <row r="497" spans="2:7" x14ac:dyDescent="0.2">
      <c r="B497" s="19">
        <v>45105</v>
      </c>
      <c r="C497" s="19">
        <v>45104</v>
      </c>
      <c r="D497" s="38">
        <v>2.5687525200000089E-4</v>
      </c>
      <c r="E497" s="38">
        <v>3.7384213500000352E-4</v>
      </c>
      <c r="F497" s="38">
        <v>2.7924519299999881E-4</v>
      </c>
      <c r="G497" s="38">
        <v>2.9999999999999818E-4</v>
      </c>
    </row>
    <row r="498" spans="2:7" x14ac:dyDescent="0.2">
      <c r="B498" s="19">
        <v>45106</v>
      </c>
      <c r="C498" s="19">
        <v>45105</v>
      </c>
      <c r="D498" s="38">
        <v>5.0266056799999972E-4</v>
      </c>
      <c r="E498" s="38">
        <v>4.3153263599999761E-4</v>
      </c>
      <c r="F498" s="38">
        <v>5.4388192900000146E-4</v>
      </c>
      <c r="G498" s="38">
        <v>-2.0000000000000231E-4</v>
      </c>
    </row>
    <row r="499" spans="2:7" x14ac:dyDescent="0.2">
      <c r="B499" s="19">
        <v>45107</v>
      </c>
      <c r="C499" s="19">
        <v>45106</v>
      </c>
      <c r="D499" s="38">
        <v>2.526753919999992E-4</v>
      </c>
      <c r="E499" s="38">
        <v>4.8325409699999719E-4</v>
      </c>
      <c r="F499" s="38">
        <v>4.9613335599999961E-4</v>
      </c>
      <c r="G499" s="38">
        <v>-2.9999999999999818E-4</v>
      </c>
    </row>
    <row r="500" spans="2:7" x14ac:dyDescent="0.2">
      <c r="B500" s="19">
        <v>45110</v>
      </c>
      <c r="C500" s="19">
        <v>45107</v>
      </c>
      <c r="D500" s="38">
        <v>8.4072518000001539E-5</v>
      </c>
      <c r="E500" s="38">
        <v>-2.2227063999999411E-5</v>
      </c>
      <c r="F500" s="38">
        <v>-2.3171425800000081E-4</v>
      </c>
      <c r="G500" s="38">
        <v>9.9999999999995925E-5</v>
      </c>
    </row>
    <row r="501" spans="2:7" x14ac:dyDescent="0.2">
      <c r="B501" s="19">
        <v>45111</v>
      </c>
      <c r="C501" s="19">
        <v>45110</v>
      </c>
      <c r="D501" s="38">
        <v>1.0124999399999809E-4</v>
      </c>
      <c r="E501" s="38">
        <v>2.5722481399999969E-4</v>
      </c>
      <c r="F501" s="38">
        <v>2.591065690000019E-4</v>
      </c>
      <c r="G501" s="38">
        <v>-1.9999999999999529E-4</v>
      </c>
    </row>
    <row r="502" spans="2:7" x14ac:dyDescent="0.2">
      <c r="B502" s="19">
        <v>45112</v>
      </c>
      <c r="C502" s="19">
        <v>45111</v>
      </c>
      <c r="D502" s="38">
        <v>-3.5645313199999742E-4</v>
      </c>
      <c r="E502" s="38">
        <v>-1.2229438199999959E-4</v>
      </c>
      <c r="F502" s="38">
        <v>7.7781412999997773E-5</v>
      </c>
      <c r="G502" s="38">
        <v>2.0000000000000231E-4</v>
      </c>
    </row>
    <row r="503" spans="2:7" x14ac:dyDescent="0.2">
      <c r="B503" s="19">
        <v>45113</v>
      </c>
      <c r="C503" s="19">
        <v>45112</v>
      </c>
      <c r="D503" s="38">
        <v>1.258611486E-3</v>
      </c>
      <c r="E503" s="38">
        <v>1.321122753999999E-3</v>
      </c>
      <c r="F503" s="38">
        <v>1.297579092000001E-3</v>
      </c>
      <c r="G503" s="38">
        <v>-3.0000000000000512E-4</v>
      </c>
    </row>
    <row r="504" spans="2:7" x14ac:dyDescent="0.2">
      <c r="B504" s="19">
        <v>45114</v>
      </c>
      <c r="C504" s="19">
        <v>45113</v>
      </c>
      <c r="D504" s="38">
        <v>-4.9037390900000255E-4</v>
      </c>
      <c r="E504" s="38">
        <v>8.5454914000002852E-5</v>
      </c>
      <c r="F504" s="38">
        <v>4.340669249999971E-4</v>
      </c>
      <c r="G504" s="38">
        <v>3.4694469519536142E-18</v>
      </c>
    </row>
    <row r="505" spans="2:7" x14ac:dyDescent="0.2">
      <c r="B505" s="19">
        <v>45117</v>
      </c>
      <c r="C505" s="19">
        <v>45114</v>
      </c>
      <c r="D505" s="38">
        <v>5.7032890000002778E-6</v>
      </c>
      <c r="E505" s="38">
        <v>1.5890708599999859E-4</v>
      </c>
      <c r="F505" s="38">
        <v>3.4831916799999899E-4</v>
      </c>
      <c r="G505" s="38">
        <v>-2.000000000000057E-4</v>
      </c>
    </row>
    <row r="506" spans="2:7" x14ac:dyDescent="0.2">
      <c r="B506" s="19">
        <v>45118</v>
      </c>
      <c r="C506" s="19">
        <v>45117</v>
      </c>
      <c r="D506" s="38">
        <v>2.6449643200000122E-4</v>
      </c>
      <c r="E506" s="38">
        <v>1.046285129999991E-4</v>
      </c>
      <c r="F506" s="38">
        <v>6.2849769000006273E-5</v>
      </c>
      <c r="G506" s="38">
        <v>3.0000000000000512E-4</v>
      </c>
    </row>
    <row r="507" spans="2:7" x14ac:dyDescent="0.2">
      <c r="B507" s="19">
        <v>45119</v>
      </c>
      <c r="C507" s="19">
        <v>45118</v>
      </c>
      <c r="D507" s="38">
        <v>-1.214624780000034E-4</v>
      </c>
      <c r="E507" s="38">
        <v>-1.9677336599999851E-4</v>
      </c>
      <c r="F507" s="38">
        <v>-4.9273573100000467E-4</v>
      </c>
      <c r="G507" s="38">
        <v>-2.9999999999999818E-4</v>
      </c>
    </row>
    <row r="508" spans="2:7" x14ac:dyDescent="0.2">
      <c r="B508" s="19">
        <v>45120</v>
      </c>
      <c r="C508" s="19">
        <v>45119</v>
      </c>
      <c r="D508" s="38">
        <v>-9.6918013799999689E-4</v>
      </c>
      <c r="E508" s="38">
        <v>-1.0560693909999991E-3</v>
      </c>
      <c r="F508" s="38">
        <v>-1.102798173999997E-3</v>
      </c>
      <c r="G508" s="38">
        <v>-2.9999999999999818E-4</v>
      </c>
    </row>
    <row r="509" spans="2:7" x14ac:dyDescent="0.2">
      <c r="B509" s="19">
        <v>45121</v>
      </c>
      <c r="C509" s="19">
        <v>45120</v>
      </c>
      <c r="D509" s="38">
        <v>-1.2624706099999969E-4</v>
      </c>
      <c r="E509" s="38">
        <v>-5.5969513600000187E-4</v>
      </c>
      <c r="F509" s="38">
        <v>-4.603578510000012E-4</v>
      </c>
      <c r="G509" s="38">
        <v>0</v>
      </c>
    </row>
    <row r="510" spans="2:7" x14ac:dyDescent="0.2">
      <c r="B510" s="19">
        <v>45124</v>
      </c>
      <c r="C510" s="19">
        <v>45121</v>
      </c>
      <c r="D510" s="38">
        <v>3.0037584400000039E-4</v>
      </c>
      <c r="E510" s="38">
        <v>1.458165330000018E-4</v>
      </c>
      <c r="F510" s="38">
        <v>1.164013189999986E-4</v>
      </c>
      <c r="G510" s="38">
        <v>-9.9999999999999395E-5</v>
      </c>
    </row>
    <row r="511" spans="2:7" x14ac:dyDescent="0.2">
      <c r="B511" s="19">
        <v>45125</v>
      </c>
      <c r="C511" s="19">
        <v>45124</v>
      </c>
      <c r="D511" s="38">
        <v>-1.150446693999999E-3</v>
      </c>
      <c r="E511" s="38">
        <v>-1.1330724939999991E-3</v>
      </c>
      <c r="F511" s="38">
        <v>-9.8653386699999734E-4</v>
      </c>
      <c r="G511" s="38">
        <v>2.9999999999999818E-4</v>
      </c>
    </row>
    <row r="512" spans="2:7" x14ac:dyDescent="0.2">
      <c r="B512" s="19">
        <v>45126</v>
      </c>
      <c r="C512" s="19">
        <v>45125</v>
      </c>
      <c r="D512" s="38">
        <v>1.41440696999999E-4</v>
      </c>
      <c r="E512" s="38">
        <v>9.2238566999996996E-5</v>
      </c>
      <c r="F512" s="38">
        <v>2.083954829999943E-4</v>
      </c>
      <c r="G512" s="38">
        <v>-1.0000000000000631E-4</v>
      </c>
    </row>
    <row r="513" spans="2:7" x14ac:dyDescent="0.2">
      <c r="B513" s="19">
        <v>45127</v>
      </c>
      <c r="C513" s="19">
        <v>45126</v>
      </c>
      <c r="D513" s="38">
        <v>9.6026582499999721E-4</v>
      </c>
      <c r="E513" s="38">
        <v>9.8895253700000477E-4</v>
      </c>
      <c r="F513" s="38">
        <v>7.1623212500000061E-4</v>
      </c>
      <c r="G513" s="38">
        <v>-2.0000000000000231E-4</v>
      </c>
    </row>
    <row r="514" spans="2:7" x14ac:dyDescent="0.2">
      <c r="B514" s="19">
        <v>45128</v>
      </c>
      <c r="C514" s="19">
        <v>45127</v>
      </c>
      <c r="D514" s="38">
        <v>-4.0319890600000122E-4</v>
      </c>
      <c r="E514" s="38">
        <v>-4.9091898099999989E-4</v>
      </c>
      <c r="F514" s="38">
        <v>-2.7071118199999827E-4</v>
      </c>
      <c r="G514" s="38">
        <v>-9.9999999999995925E-5</v>
      </c>
    </row>
    <row r="515" spans="2:7" x14ac:dyDescent="0.2">
      <c r="B515" s="19">
        <v>45131</v>
      </c>
      <c r="C515" s="19">
        <v>45128</v>
      </c>
      <c r="D515" s="38">
        <v>-5.5820679499999845E-4</v>
      </c>
      <c r="E515" s="38">
        <v>-1.00121468000005E-4</v>
      </c>
      <c r="F515" s="38">
        <v>1.206881800000156E-5</v>
      </c>
      <c r="G515" s="38">
        <v>4.0000000000000099E-4</v>
      </c>
    </row>
    <row r="516" spans="2:7" x14ac:dyDescent="0.2">
      <c r="B516" s="19">
        <v>45132</v>
      </c>
      <c r="C516" s="19">
        <v>45131</v>
      </c>
      <c r="D516" s="38">
        <v>1.2657098499999769E-4</v>
      </c>
      <c r="E516" s="38">
        <v>-9.9683454999999199E-5</v>
      </c>
      <c r="F516" s="38">
        <v>-1.05722305E-4</v>
      </c>
      <c r="G516" s="38">
        <v>-1.9999999999999529E-4</v>
      </c>
    </row>
    <row r="517" spans="2:7" x14ac:dyDescent="0.2">
      <c r="B517" s="19">
        <v>45133</v>
      </c>
      <c r="C517" s="19">
        <v>45132</v>
      </c>
      <c r="D517" s="38">
        <v>7.7075105800000418E-4</v>
      </c>
      <c r="E517" s="38">
        <v>6.4323545100000365E-4</v>
      </c>
      <c r="F517" s="38">
        <v>3.714846230000006E-4</v>
      </c>
      <c r="G517" s="38">
        <v>-1.000000000000098E-4</v>
      </c>
    </row>
    <row r="518" spans="2:7" x14ac:dyDescent="0.2">
      <c r="B518" s="19">
        <v>45134</v>
      </c>
      <c r="C518" s="19">
        <v>45133</v>
      </c>
      <c r="D518" s="38">
        <v>-9.0005026800000359E-4</v>
      </c>
      <c r="E518" s="38">
        <v>-6.2076846900000274E-4</v>
      </c>
      <c r="F518" s="38">
        <v>-3.93820223E-4</v>
      </c>
      <c r="G518" s="38">
        <v>-4.9999999999999697E-4</v>
      </c>
    </row>
    <row r="519" spans="2:7" x14ac:dyDescent="0.2">
      <c r="B519" s="19">
        <v>45135</v>
      </c>
      <c r="C519" s="19">
        <v>45134</v>
      </c>
      <c r="D519" s="38">
        <v>1.8764259600000111E-4</v>
      </c>
      <c r="E519" s="38">
        <v>2.209131760000024E-4</v>
      </c>
      <c r="F519" s="38">
        <v>4.8945903599999924E-4</v>
      </c>
      <c r="G519" s="38">
        <v>-9.9999999999995925E-5</v>
      </c>
    </row>
    <row r="520" spans="2:7" x14ac:dyDescent="0.2">
      <c r="B520" s="19">
        <v>45138</v>
      </c>
      <c r="C520" s="19">
        <v>45135</v>
      </c>
      <c r="D520" s="38">
        <v>-1.641684000000011E-4</v>
      </c>
      <c r="E520" s="38">
        <v>-2.44854700000019E-5</v>
      </c>
      <c r="F520" s="38">
        <v>1.373826799999991E-5</v>
      </c>
      <c r="G520" s="38">
        <v>-1.0000000000000291E-4</v>
      </c>
    </row>
    <row r="521" spans="2:7" x14ac:dyDescent="0.2">
      <c r="B521" s="19">
        <v>45139</v>
      </c>
      <c r="C521" s="19">
        <v>45138</v>
      </c>
      <c r="D521" s="38">
        <v>2.1826287800000291E-4</v>
      </c>
      <c r="E521" s="38">
        <v>5.7663757999999038E-5</v>
      </c>
      <c r="F521" s="38">
        <v>1.618390700000236E-5</v>
      </c>
      <c r="G521" s="38">
        <v>-9.9999999999995925E-5</v>
      </c>
    </row>
    <row r="522" spans="2:7" x14ac:dyDescent="0.2">
      <c r="B522" s="19">
        <v>45140</v>
      </c>
      <c r="C522" s="19">
        <v>45139</v>
      </c>
      <c r="D522" s="38">
        <v>-7.7617630899999915E-4</v>
      </c>
      <c r="E522" s="38">
        <v>-1.930846209999976E-4</v>
      </c>
      <c r="F522" s="38">
        <v>2.4741971100000071E-4</v>
      </c>
      <c r="G522" s="38">
        <v>1.9999999999999879E-4</v>
      </c>
    </row>
    <row r="523" spans="2:7" x14ac:dyDescent="0.2">
      <c r="B523" s="19">
        <v>45141</v>
      </c>
      <c r="C523" s="19">
        <v>45140</v>
      </c>
      <c r="D523" s="38">
        <v>-2.3264548200000251E-4</v>
      </c>
      <c r="E523" s="38">
        <v>4.2664443599999691E-4</v>
      </c>
      <c r="F523" s="38">
        <v>9.3584265999999486E-4</v>
      </c>
      <c r="G523" s="38">
        <v>-2.9999999999999818E-4</v>
      </c>
    </row>
    <row r="524" spans="2:7" x14ac:dyDescent="0.2">
      <c r="B524" s="19">
        <v>45142</v>
      </c>
      <c r="C524" s="19">
        <v>45141</v>
      </c>
      <c r="D524" s="38">
        <v>6.3335516399999972E-4</v>
      </c>
      <c r="E524" s="38">
        <v>4.5983593000000281E-4</v>
      </c>
      <c r="F524" s="38">
        <v>4.0275410000019376E-6</v>
      </c>
      <c r="G524" s="38">
        <v>2.9999999999999818E-4</v>
      </c>
    </row>
    <row r="525" spans="2:7" x14ac:dyDescent="0.2">
      <c r="B525" s="19">
        <v>45145</v>
      </c>
      <c r="C525" s="19">
        <v>45142</v>
      </c>
      <c r="D525" s="38">
        <v>-4.9728812999999539E-4</v>
      </c>
      <c r="E525" s="38">
        <v>-3.9317192899999959E-4</v>
      </c>
      <c r="F525" s="38">
        <v>-4.4761335999999458E-5</v>
      </c>
      <c r="G525" s="38">
        <v>9.9999999999995925E-5</v>
      </c>
    </row>
    <row r="526" spans="2:7" x14ac:dyDescent="0.2">
      <c r="B526" s="19">
        <v>45146</v>
      </c>
      <c r="C526" s="19">
        <v>45145</v>
      </c>
      <c r="D526" s="38">
        <v>-7.3174095200000469E-4</v>
      </c>
      <c r="E526" s="38">
        <v>-1.0001906130000029E-3</v>
      </c>
      <c r="F526" s="38">
        <v>-1.356704691999999E-3</v>
      </c>
      <c r="G526" s="38">
        <v>2.000000000000057E-4</v>
      </c>
    </row>
    <row r="527" spans="2:7" x14ac:dyDescent="0.2">
      <c r="B527" s="19">
        <v>45147</v>
      </c>
      <c r="C527" s="19">
        <v>45146</v>
      </c>
      <c r="D527" s="38">
        <v>4.943939740000014E-4</v>
      </c>
      <c r="E527" s="38">
        <v>4.006735920000018E-4</v>
      </c>
      <c r="F527" s="38">
        <v>4.4285344999999912E-4</v>
      </c>
      <c r="G527" s="38">
        <v>9.9999999999995925E-5</v>
      </c>
    </row>
    <row r="528" spans="2:7" x14ac:dyDescent="0.2">
      <c r="B528" s="19">
        <v>45148</v>
      </c>
      <c r="C528" s="19">
        <v>45147</v>
      </c>
      <c r="D528" s="38">
        <v>1.17427463999998E-4</v>
      </c>
      <c r="E528" s="38">
        <v>1.206294960000021E-4</v>
      </c>
      <c r="F528" s="38">
        <v>1.032916510000023E-4</v>
      </c>
      <c r="G528" s="38">
        <v>-2.9999999999999818E-4</v>
      </c>
    </row>
    <row r="529" spans="2:7" x14ac:dyDescent="0.2">
      <c r="B529" s="19">
        <v>45149</v>
      </c>
      <c r="C529" s="19">
        <v>45148</v>
      </c>
      <c r="D529" s="38">
        <v>3.0707757900000349E-4</v>
      </c>
      <c r="E529" s="38">
        <v>7.284661419999991E-4</v>
      </c>
      <c r="F529" s="38">
        <v>1.102378660999995E-3</v>
      </c>
      <c r="G529" s="38">
        <v>2.0000000000000231E-4</v>
      </c>
    </row>
    <row r="530" spans="2:7" x14ac:dyDescent="0.2">
      <c r="B530" s="19">
        <v>45152</v>
      </c>
      <c r="C530" s="19">
        <v>45149</v>
      </c>
      <c r="D530" s="38">
        <v>3.1464737399999892E-4</v>
      </c>
      <c r="E530" s="38">
        <v>1.620716369999976E-4</v>
      </c>
      <c r="F530" s="38">
        <v>4.016032000000308E-5</v>
      </c>
      <c r="G530" s="38">
        <v>-1.0000000000000631E-4</v>
      </c>
    </row>
    <row r="531" spans="2:7" x14ac:dyDescent="0.2">
      <c r="B531" s="19">
        <v>45153</v>
      </c>
      <c r="C531" s="19">
        <v>45152</v>
      </c>
      <c r="D531" s="38">
        <v>5.9056627999999958E-4</v>
      </c>
      <c r="E531" s="38">
        <v>6.2150856100000318E-4</v>
      </c>
      <c r="F531" s="38">
        <v>5.673949469999981E-4</v>
      </c>
      <c r="G531" s="38">
        <v>0</v>
      </c>
    </row>
    <row r="532" spans="2:7" x14ac:dyDescent="0.2">
      <c r="B532" s="19">
        <v>45154</v>
      </c>
      <c r="C532" s="19">
        <v>45153</v>
      </c>
      <c r="D532" s="38">
        <v>-2.8754286599999909E-4</v>
      </c>
      <c r="E532" s="38">
        <v>-2.41046168000001E-4</v>
      </c>
      <c r="F532" s="38">
        <v>-2.288117589999972E-4</v>
      </c>
      <c r="G532" s="38">
        <v>1.0000000000000631E-4</v>
      </c>
    </row>
    <row r="533" spans="2:7" x14ac:dyDescent="0.2">
      <c r="B533" s="19">
        <v>45155</v>
      </c>
      <c r="C533" s="19">
        <v>45154</v>
      </c>
      <c r="D533" s="38">
        <v>1.9120248699999731E-4</v>
      </c>
      <c r="E533" s="38">
        <v>2.6848700799999778E-4</v>
      </c>
      <c r="F533" s="38">
        <v>3.3609617999999861E-4</v>
      </c>
      <c r="G533" s="38">
        <v>1.9999999999999529E-4</v>
      </c>
    </row>
    <row r="534" spans="2:7" x14ac:dyDescent="0.2">
      <c r="B534" s="19">
        <v>45156</v>
      </c>
      <c r="C534" s="19">
        <v>45155</v>
      </c>
      <c r="D534" s="38">
        <v>-8.6175699500000078E-4</v>
      </c>
      <c r="E534" s="38">
        <v>-6.605391199999977E-4</v>
      </c>
      <c r="F534" s="38">
        <v>-4.4642692999999692E-4</v>
      </c>
      <c r="G534" s="38">
        <v>3.0000000000000171E-4</v>
      </c>
    </row>
    <row r="535" spans="2:7" x14ac:dyDescent="0.2">
      <c r="B535" s="19">
        <v>45159</v>
      </c>
      <c r="C535" s="19">
        <v>45156</v>
      </c>
      <c r="D535" s="38">
        <v>7.5962192300000134E-4</v>
      </c>
      <c r="E535" s="38">
        <v>5.0257178999999971E-4</v>
      </c>
      <c r="F535" s="38">
        <v>3.4502352599999689E-4</v>
      </c>
      <c r="G535" s="38">
        <v>0</v>
      </c>
    </row>
    <row r="536" spans="2:7" x14ac:dyDescent="0.2">
      <c r="B536" s="19">
        <v>45160</v>
      </c>
      <c r="C536" s="19">
        <v>45159</v>
      </c>
      <c r="D536" s="38">
        <v>5.1293532000000468E-5</v>
      </c>
      <c r="E536" s="38">
        <v>-9.9975623000000957E-5</v>
      </c>
      <c r="F536" s="38">
        <v>-1.4956188599999851E-4</v>
      </c>
      <c r="G536" s="38">
        <v>-3.4694469519536142E-18</v>
      </c>
    </row>
    <row r="537" spans="2:7" x14ac:dyDescent="0.2">
      <c r="B537" s="19">
        <v>45161</v>
      </c>
      <c r="C537" s="19">
        <v>45160</v>
      </c>
      <c r="D537" s="38">
        <v>-1.0981305949999999E-3</v>
      </c>
      <c r="E537" s="38">
        <v>-1.3944207670000021E-3</v>
      </c>
      <c r="F537" s="38">
        <v>-1.386782358000001E-3</v>
      </c>
      <c r="G537" s="38">
        <v>5.0000000000000738E-4</v>
      </c>
    </row>
    <row r="538" spans="2:7" x14ac:dyDescent="0.2">
      <c r="B538" s="19">
        <v>45162</v>
      </c>
      <c r="C538" s="19">
        <v>45161</v>
      </c>
      <c r="D538" s="38">
        <v>1.65011835999998E-4</v>
      </c>
      <c r="E538" s="38">
        <v>2.1801516700000259E-4</v>
      </c>
      <c r="F538" s="38">
        <v>4.8601274999997279E-5</v>
      </c>
      <c r="G538" s="38">
        <v>9.9999999999992456E-5</v>
      </c>
    </row>
    <row r="539" spans="2:7" x14ac:dyDescent="0.2">
      <c r="B539" s="19">
        <v>45163</v>
      </c>
      <c r="C539" s="19">
        <v>45162</v>
      </c>
      <c r="D539" s="38">
        <v>4.0516051800000222E-4</v>
      </c>
      <c r="E539" s="38">
        <v>2.7449988099999961E-4</v>
      </c>
      <c r="F539" s="38">
        <v>2.0961096800000201E-4</v>
      </c>
      <c r="G539" s="38">
        <v>-1.9999999999999879E-4</v>
      </c>
    </row>
    <row r="540" spans="2:7" x14ac:dyDescent="0.2">
      <c r="B540" s="19">
        <v>45166</v>
      </c>
      <c r="C540" s="19">
        <v>45163</v>
      </c>
      <c r="D540" s="38">
        <v>1.7757261700000049E-4</v>
      </c>
      <c r="E540" s="38">
        <v>1.098165069999997E-4</v>
      </c>
      <c r="F540" s="38">
        <v>1.269620900000018E-4</v>
      </c>
      <c r="G540" s="38">
        <v>-9.9999999999999395E-5</v>
      </c>
    </row>
    <row r="541" spans="2:7" x14ac:dyDescent="0.2">
      <c r="B541" s="19">
        <v>45167</v>
      </c>
      <c r="C541" s="19">
        <v>45166</v>
      </c>
      <c r="D541" s="38">
        <v>3.6563146800000149E-4</v>
      </c>
      <c r="E541" s="38">
        <v>2.2808858700000201E-4</v>
      </c>
      <c r="F541" s="38">
        <v>5.1002943999997608E-5</v>
      </c>
      <c r="G541" s="38">
        <v>1.0000000000000291E-4</v>
      </c>
    </row>
    <row r="542" spans="2:7" x14ac:dyDescent="0.2">
      <c r="B542" s="19">
        <v>45168</v>
      </c>
      <c r="C542" s="19">
        <v>45167</v>
      </c>
      <c r="D542" s="38">
        <v>-3.8245501399999943E-4</v>
      </c>
      <c r="E542" s="38">
        <v>-5.0277428000000332E-4</v>
      </c>
      <c r="F542" s="38">
        <v>-3.2199919199999908E-4</v>
      </c>
      <c r="G542" s="38">
        <v>0</v>
      </c>
    </row>
    <row r="543" spans="2:7" x14ac:dyDescent="0.2">
      <c r="B543" s="19">
        <v>45169</v>
      </c>
      <c r="C543" s="19">
        <v>45168</v>
      </c>
      <c r="D543" s="38">
        <v>-5.3019139000000035E-4</v>
      </c>
      <c r="E543" s="38">
        <v>-2.7558306200000168E-4</v>
      </c>
      <c r="F543" s="38">
        <v>-3.6980446999999861E-4</v>
      </c>
      <c r="G543" s="38">
        <v>1.9999999999999879E-4</v>
      </c>
    </row>
    <row r="544" spans="2:7" x14ac:dyDescent="0.2">
      <c r="B544" s="19">
        <v>45170</v>
      </c>
      <c r="C544" s="19">
        <v>45169</v>
      </c>
      <c r="D544" s="38">
        <v>-3.8989612899999892E-4</v>
      </c>
      <c r="E544" s="38">
        <v>2.3330217700000611E-4</v>
      </c>
      <c r="F544" s="38">
        <v>5.7267844899999698E-4</v>
      </c>
      <c r="G544" s="38">
        <v>9.9999999999995925E-5</v>
      </c>
    </row>
    <row r="545" spans="2:7" x14ac:dyDescent="0.2">
      <c r="B545" s="19">
        <v>45173</v>
      </c>
      <c r="C545" s="19">
        <v>45170</v>
      </c>
      <c r="D545" s="38">
        <v>4.6278494399999362E-4</v>
      </c>
      <c r="E545" s="38">
        <v>2.3845509699999681E-4</v>
      </c>
      <c r="F545" s="38">
        <v>1.065741950000004E-4</v>
      </c>
      <c r="G545" s="38">
        <v>-2.9999999999999472E-4</v>
      </c>
    </row>
    <row r="546" spans="2:7" x14ac:dyDescent="0.2">
      <c r="B546" s="19">
        <v>45174</v>
      </c>
      <c r="C546" s="19">
        <v>45173</v>
      </c>
      <c r="D546" s="38">
        <v>1.3454407800000609E-4</v>
      </c>
      <c r="E546" s="38">
        <v>1.5576692000000139E-4</v>
      </c>
      <c r="F546" s="38">
        <v>2.9543638500000019E-4</v>
      </c>
      <c r="G546" s="38">
        <v>-3.4694469519536142E-18</v>
      </c>
    </row>
    <row r="547" spans="2:7" x14ac:dyDescent="0.2">
      <c r="B547" s="19">
        <v>45175</v>
      </c>
      <c r="C547" s="19">
        <v>45174</v>
      </c>
      <c r="D547" s="38">
        <v>4.1646240799999781E-4</v>
      </c>
      <c r="E547" s="38">
        <v>2.8141580799999691E-4</v>
      </c>
      <c r="F547" s="38">
        <v>1.0296253899999901E-4</v>
      </c>
      <c r="G547" s="38">
        <v>1.0000000000000291E-4</v>
      </c>
    </row>
    <row r="548" spans="2:7" x14ac:dyDescent="0.2">
      <c r="B548" s="19">
        <v>45176</v>
      </c>
      <c r="C548" s="19">
        <v>45175</v>
      </c>
      <c r="D548" s="38">
        <v>3.6646606699999862E-4</v>
      </c>
      <c r="E548" s="38">
        <v>5.4500747400000257E-4</v>
      </c>
      <c r="F548" s="38">
        <v>3.4515556600000358E-4</v>
      </c>
      <c r="G548" s="38">
        <v>9.9999999999999395E-5</v>
      </c>
    </row>
    <row r="549" spans="2:7" x14ac:dyDescent="0.2">
      <c r="B549" s="19">
        <v>45177</v>
      </c>
      <c r="C549" s="19">
        <v>45176</v>
      </c>
      <c r="D549" s="38">
        <v>-2.410836489999992E-4</v>
      </c>
      <c r="E549" s="38">
        <v>-2.3516800500000129E-4</v>
      </c>
      <c r="F549" s="38">
        <v>-2.8040617300000362E-4</v>
      </c>
      <c r="G549" s="38">
        <v>-1.9999999999999879E-4</v>
      </c>
    </row>
    <row r="550" spans="2:7" x14ac:dyDescent="0.2">
      <c r="B550" s="19">
        <v>45180</v>
      </c>
      <c r="C550" s="19">
        <v>45177</v>
      </c>
      <c r="D550" s="38">
        <v>-5.0971056000000132E-5</v>
      </c>
      <c r="E550" s="38">
        <v>-1.849237279999971E-4</v>
      </c>
      <c r="F550" s="38">
        <v>4.8442116000000507E-5</v>
      </c>
      <c r="G550" s="38">
        <v>0</v>
      </c>
    </row>
    <row r="551" spans="2:7" x14ac:dyDescent="0.2">
      <c r="B551" s="19">
        <v>45181</v>
      </c>
      <c r="C551" s="19">
        <v>45180</v>
      </c>
      <c r="D551" s="38">
        <v>2.098379590000019E-4</v>
      </c>
      <c r="E551" s="38">
        <v>1.4118194699999989E-4</v>
      </c>
      <c r="F551" s="38">
        <v>1.1491489999999879E-4</v>
      </c>
      <c r="G551" s="38">
        <v>-2.9999999999999818E-4</v>
      </c>
    </row>
    <row r="552" spans="2:7" x14ac:dyDescent="0.2">
      <c r="B552" s="19">
        <v>45182</v>
      </c>
      <c r="C552" s="19">
        <v>45181</v>
      </c>
      <c r="D552" s="38">
        <v>4.0081262099999829E-4</v>
      </c>
      <c r="E552" s="38">
        <v>2.2191068899999819E-4</v>
      </c>
      <c r="F552" s="38">
        <v>1.192507360000018E-4</v>
      </c>
      <c r="G552" s="38">
        <v>-2.000000000000092E-4</v>
      </c>
    </row>
    <row r="553" spans="2:7" x14ac:dyDescent="0.2">
      <c r="B553" s="19">
        <v>45183</v>
      </c>
      <c r="C553" s="19">
        <v>45182</v>
      </c>
      <c r="D553" s="38">
        <v>6.5634000000203141E-7</v>
      </c>
      <c r="E553" s="38">
        <v>-2.1535135500000069E-4</v>
      </c>
      <c r="F553" s="38">
        <v>-2.8809057899999851E-4</v>
      </c>
      <c r="G553" s="38">
        <v>3.4694469519536142E-18</v>
      </c>
    </row>
    <row r="554" spans="2:7" x14ac:dyDescent="0.2">
      <c r="B554" s="19">
        <v>45184</v>
      </c>
      <c r="C554" s="19">
        <v>45183</v>
      </c>
      <c r="D554" s="38">
        <v>5.5059928300000074E-4</v>
      </c>
      <c r="E554" s="38">
        <v>4.277327419999997E-4</v>
      </c>
      <c r="F554" s="38">
        <v>5.0649034399999696E-4</v>
      </c>
      <c r="G554" s="38">
        <v>-3.9999999999999758E-4</v>
      </c>
    </row>
    <row r="555" spans="2:7" x14ac:dyDescent="0.2">
      <c r="B555" s="19">
        <v>45187</v>
      </c>
      <c r="C555" s="19">
        <v>45184</v>
      </c>
      <c r="D555" s="38">
        <v>5.243178019999975E-4</v>
      </c>
      <c r="E555" s="38">
        <v>6.6780765200000203E-4</v>
      </c>
      <c r="F555" s="38">
        <v>5.3224823200000507E-4</v>
      </c>
      <c r="G555" s="38">
        <v>-9.9999999999999395E-5</v>
      </c>
    </row>
    <row r="556" spans="2:7" x14ac:dyDescent="0.2">
      <c r="B556" s="19">
        <v>45188</v>
      </c>
      <c r="C556" s="19">
        <v>45187</v>
      </c>
      <c r="D556" s="38">
        <v>2.2437574899999979E-4</v>
      </c>
      <c r="E556" s="38">
        <v>1.858009309999992E-4</v>
      </c>
      <c r="F556" s="38">
        <v>1.95020944999999E-4</v>
      </c>
      <c r="G556" s="38">
        <v>-1.0000000000000291E-4</v>
      </c>
    </row>
    <row r="557" spans="2:7" x14ac:dyDescent="0.2">
      <c r="B557" s="19">
        <v>45189</v>
      </c>
      <c r="C557" s="19">
        <v>45188</v>
      </c>
      <c r="D557" s="38">
        <v>-1.8274645099999881E-4</v>
      </c>
      <c r="E557" s="38">
        <v>-2.6597737300000299E-4</v>
      </c>
      <c r="F557" s="38">
        <v>-4.1904211300000308E-4</v>
      </c>
      <c r="G557" s="38">
        <v>-2.9999999999999818E-4</v>
      </c>
    </row>
    <row r="558" spans="2:7" x14ac:dyDescent="0.2">
      <c r="B558" s="19">
        <v>45190</v>
      </c>
      <c r="C558" s="19">
        <v>45189</v>
      </c>
      <c r="D558" s="38">
        <v>1.211424600000011E-4</v>
      </c>
      <c r="E558" s="38">
        <v>2.7312206499999908E-4</v>
      </c>
      <c r="F558" s="38">
        <v>5.6781957800000268E-4</v>
      </c>
      <c r="G558" s="38">
        <v>1.0000000000000291E-4</v>
      </c>
    </row>
    <row r="559" spans="2:7" x14ac:dyDescent="0.2">
      <c r="B559" s="19">
        <v>45191</v>
      </c>
      <c r="C559" s="19">
        <v>45190</v>
      </c>
      <c r="D559" s="38">
        <v>-2.385502580000004E-4</v>
      </c>
      <c r="E559" s="38">
        <v>-2.3725341899999419E-4</v>
      </c>
      <c r="F559" s="38">
        <v>-2.9155666000001131E-5</v>
      </c>
      <c r="G559" s="38">
        <v>1.9999999999999879E-4</v>
      </c>
    </row>
    <row r="560" spans="2:7" x14ac:dyDescent="0.2">
      <c r="B560" s="19">
        <v>45194</v>
      </c>
      <c r="C560" s="19">
        <v>45191</v>
      </c>
      <c r="D560" s="38">
        <v>1.4160943600000089E-4</v>
      </c>
      <c r="E560" s="38">
        <v>3.7451711999999729E-4</v>
      </c>
      <c r="F560" s="38">
        <v>4.7348677899999858E-4</v>
      </c>
      <c r="G560" s="38">
        <v>-1.0000000000000631E-4</v>
      </c>
    </row>
    <row r="561" spans="2:7" x14ac:dyDescent="0.2">
      <c r="B561" s="19">
        <v>45195</v>
      </c>
      <c r="C561" s="19">
        <v>45194</v>
      </c>
      <c r="D561" s="38">
        <v>-1.153559499999998E-4</v>
      </c>
      <c r="E561" s="38">
        <v>-7.4303960000028646E-6</v>
      </c>
      <c r="F561" s="38">
        <v>3.8744776000004123E-5</v>
      </c>
      <c r="G561" s="38">
        <v>1.0408340855860839E-17</v>
      </c>
    </row>
    <row r="562" spans="2:7" x14ac:dyDescent="0.2">
      <c r="B562" s="19">
        <v>45196</v>
      </c>
      <c r="C562" s="19">
        <v>45195</v>
      </c>
      <c r="D562" s="38">
        <v>-1.4805118200000161E-4</v>
      </c>
      <c r="E562" s="38">
        <v>-1.2983480899999769E-4</v>
      </c>
      <c r="F562" s="38">
        <v>-1.086620020000033E-4</v>
      </c>
      <c r="G562" s="38">
        <v>4.9999999999999351E-4</v>
      </c>
    </row>
    <row r="563" spans="2:7" x14ac:dyDescent="0.2">
      <c r="B563" s="19">
        <v>45197</v>
      </c>
      <c r="C563" s="19">
        <v>45196</v>
      </c>
      <c r="D563" s="38">
        <v>8.2979568399999676E-4</v>
      </c>
      <c r="E563" s="38">
        <v>1.483301239999998E-3</v>
      </c>
      <c r="F563" s="38">
        <v>1.7335632429999991E-3</v>
      </c>
      <c r="G563" s="38">
        <v>-3.0000000000000171E-4</v>
      </c>
    </row>
    <row r="564" spans="2:7" x14ac:dyDescent="0.2">
      <c r="B564" s="19">
        <v>45198</v>
      </c>
      <c r="C564" s="19">
        <v>45197</v>
      </c>
      <c r="D564" s="38">
        <v>-9.9330400799999691E-4</v>
      </c>
      <c r="E564" s="38">
        <v>-1.333321351999997E-3</v>
      </c>
      <c r="F564" s="38">
        <v>-1.5707384399999971E-3</v>
      </c>
      <c r="G564" s="38">
        <v>4.0000000000000452E-4</v>
      </c>
    </row>
    <row r="565" spans="2:7" x14ac:dyDescent="0.2">
      <c r="B565" s="19">
        <v>45201</v>
      </c>
      <c r="C565" s="19">
        <v>45198</v>
      </c>
      <c r="D565" s="38">
        <v>1.3907803299999941E-4</v>
      </c>
      <c r="E565" s="38">
        <v>3.6030806599999729E-4</v>
      </c>
      <c r="F565" s="38">
        <v>5.6559106499999914E-4</v>
      </c>
      <c r="G565" s="38">
        <v>-5.9999999999999984E-4</v>
      </c>
    </row>
    <row r="566" spans="2:7" x14ac:dyDescent="0.2">
      <c r="B566" s="19">
        <v>45202</v>
      </c>
      <c r="C566" s="19">
        <v>45201</v>
      </c>
      <c r="D566" s="38">
        <v>-6.1680342999997917E-5</v>
      </c>
      <c r="E566" s="38">
        <v>1.9784350400000461E-4</v>
      </c>
      <c r="F566" s="38">
        <v>3.1351794099999941E-4</v>
      </c>
      <c r="G566" s="38">
        <v>0</v>
      </c>
    </row>
    <row r="567" spans="2:7" x14ac:dyDescent="0.2">
      <c r="B567" s="19">
        <v>45203</v>
      </c>
      <c r="C567" s="19">
        <v>45202</v>
      </c>
      <c r="D567" s="38">
        <v>3.0622424099999851E-4</v>
      </c>
      <c r="E567" s="38">
        <v>2.9783322899999692E-4</v>
      </c>
      <c r="F567" s="38">
        <v>2.8352886399999819E-4</v>
      </c>
      <c r="G567" s="38">
        <v>3.9999999999999758E-4</v>
      </c>
    </row>
    <row r="568" spans="2:7" x14ac:dyDescent="0.2">
      <c r="B568" s="19">
        <v>45204</v>
      </c>
      <c r="C568" s="19">
        <v>45203</v>
      </c>
      <c r="D568" s="38">
        <v>-7.6805611499999871E-4</v>
      </c>
      <c r="E568" s="38">
        <v>-5.6091069700000065E-4</v>
      </c>
      <c r="F568" s="38">
        <v>-4.5247569699999671E-4</v>
      </c>
      <c r="G568" s="38">
        <v>-3.4694469519536142E-18</v>
      </c>
    </row>
    <row r="569" spans="2:7" x14ac:dyDescent="0.2">
      <c r="B569" s="19">
        <v>45205</v>
      </c>
      <c r="C569" s="19">
        <v>45204</v>
      </c>
      <c r="D569" s="38">
        <v>-1.589314510000023E-4</v>
      </c>
      <c r="E569" s="38">
        <v>8.9021589000003176E-5</v>
      </c>
      <c r="F569" s="38">
        <v>1.3139978299999899E-4</v>
      </c>
      <c r="G569" s="38">
        <v>4.0000000000000452E-4</v>
      </c>
    </row>
    <row r="570" spans="2:7" x14ac:dyDescent="0.2">
      <c r="B570" s="19">
        <v>45208</v>
      </c>
      <c r="C570" s="19">
        <v>45205</v>
      </c>
      <c r="D570" s="38">
        <v>-5.0732698100000237E-4</v>
      </c>
      <c r="E570" s="38">
        <v>-6.4377866700000147E-4</v>
      </c>
      <c r="F570" s="38">
        <v>-8.6538970400000179E-4</v>
      </c>
      <c r="G570" s="38">
        <v>3.9999999999999758E-4</v>
      </c>
    </row>
    <row r="571" spans="2:7" x14ac:dyDescent="0.2">
      <c r="B571" s="19">
        <v>45209</v>
      </c>
      <c r="C571" s="19">
        <v>45208</v>
      </c>
      <c r="D571" s="38">
        <v>-7.4129619999953322E-6</v>
      </c>
      <c r="E571" s="38">
        <v>-8.0820666000000485E-5</v>
      </c>
      <c r="F571" s="38">
        <v>-9.4986794999998153E-5</v>
      </c>
      <c r="G571" s="38">
        <v>0</v>
      </c>
    </row>
    <row r="572" spans="2:7" x14ac:dyDescent="0.2">
      <c r="B572" s="19">
        <v>45210</v>
      </c>
      <c r="C572" s="19">
        <v>45209</v>
      </c>
      <c r="D572" s="38">
        <v>9.9960857999997071E-5</v>
      </c>
      <c r="E572" s="38">
        <v>-5.5483524600000167E-4</v>
      </c>
      <c r="F572" s="38">
        <v>-1.0823618540000001E-3</v>
      </c>
      <c r="G572" s="38">
        <v>9.9999999999995925E-5</v>
      </c>
    </row>
    <row r="573" spans="2:7" x14ac:dyDescent="0.2">
      <c r="B573" s="19">
        <v>45211</v>
      </c>
      <c r="C573" s="19">
        <v>45210</v>
      </c>
      <c r="D573" s="38">
        <v>3.2099988199999971E-4</v>
      </c>
      <c r="E573" s="38">
        <v>2.2684365700000039E-4</v>
      </c>
      <c r="F573" s="38">
        <v>3.7695106199999931E-4</v>
      </c>
      <c r="G573" s="38">
        <v>-3.9999999999999411E-4</v>
      </c>
    </row>
    <row r="574" spans="2:7" x14ac:dyDescent="0.2">
      <c r="B574" s="19">
        <v>45212</v>
      </c>
      <c r="C574" s="19">
        <v>45211</v>
      </c>
      <c r="D574" s="38">
        <v>-4.0765355899999989E-4</v>
      </c>
      <c r="E574" s="38">
        <v>4.2361537400000329E-4</v>
      </c>
      <c r="F574" s="38">
        <v>8.9719420899999833E-4</v>
      </c>
      <c r="G574" s="38">
        <v>9.9999999999995925E-5</v>
      </c>
    </row>
    <row r="575" spans="2:7" x14ac:dyDescent="0.2">
      <c r="B575" s="19">
        <v>45215</v>
      </c>
      <c r="C575" s="19">
        <v>45212</v>
      </c>
      <c r="D575" s="38">
        <v>3.6217426399999877E-4</v>
      </c>
      <c r="E575" s="38">
        <v>-1.934064460000044E-4</v>
      </c>
      <c r="F575" s="38">
        <v>-2.155536869999988E-4</v>
      </c>
      <c r="G575" s="38">
        <v>6.9388939039072284E-18</v>
      </c>
    </row>
    <row r="576" spans="2:7" x14ac:dyDescent="0.2">
      <c r="B576" s="19">
        <v>45216</v>
      </c>
      <c r="C576" s="19">
        <v>45215</v>
      </c>
      <c r="D576" s="38">
        <v>7.3203028699999825E-4</v>
      </c>
      <c r="E576" s="38">
        <v>5.9419366600000495E-4</v>
      </c>
      <c r="F576" s="38">
        <v>7.5062398899999883E-4</v>
      </c>
      <c r="G576" s="38">
        <v>0</v>
      </c>
    </row>
    <row r="577" spans="2:7" x14ac:dyDescent="0.2">
      <c r="B577" s="19">
        <v>45217</v>
      </c>
      <c r="C577" s="19">
        <v>45216</v>
      </c>
      <c r="D577" s="38">
        <v>8.2098662000006095E-5</v>
      </c>
      <c r="E577" s="38">
        <v>1.121442779999961E-4</v>
      </c>
      <c r="F577" s="38">
        <v>1.5629514000000189E-4</v>
      </c>
      <c r="G577" s="38">
        <v>-2.0000000000000231E-4</v>
      </c>
    </row>
    <row r="578" spans="2:7" x14ac:dyDescent="0.2">
      <c r="B578" s="19">
        <v>45218</v>
      </c>
      <c r="C578" s="19">
        <v>45217</v>
      </c>
      <c r="D578" s="38">
        <v>3.0545413099999918E-4</v>
      </c>
      <c r="E578" s="38">
        <v>6.543553570000013E-4</v>
      </c>
      <c r="F578" s="38">
        <v>4.8400004699999938E-4</v>
      </c>
      <c r="G578" s="38">
        <v>2.9999999999999818E-4</v>
      </c>
    </row>
    <row r="579" spans="2:7" x14ac:dyDescent="0.2">
      <c r="B579" s="19">
        <v>45219</v>
      </c>
      <c r="C579" s="19">
        <v>45218</v>
      </c>
      <c r="D579" s="38">
        <v>-8.4383875800000258E-4</v>
      </c>
      <c r="E579" s="38">
        <v>-7.0970708500000049E-4</v>
      </c>
      <c r="F579" s="38">
        <v>-5.1597640100000189E-4</v>
      </c>
      <c r="G579" s="38">
        <v>5.0000000000000391E-4</v>
      </c>
    </row>
    <row r="580" spans="2:7" x14ac:dyDescent="0.2">
      <c r="B580" s="19">
        <v>45222</v>
      </c>
      <c r="C580" s="19">
        <v>45219</v>
      </c>
      <c r="D580" s="38">
        <v>3.1929227500000068E-4</v>
      </c>
      <c r="E580" s="38">
        <v>3.1060744600000181E-4</v>
      </c>
      <c r="F580" s="38">
        <v>2.7072150800000119E-4</v>
      </c>
      <c r="G580" s="38">
        <v>-3.0000000000000859E-4</v>
      </c>
    </row>
    <row r="581" spans="2:7" x14ac:dyDescent="0.2">
      <c r="B581" s="19">
        <v>45223</v>
      </c>
      <c r="C581" s="19">
        <v>45222</v>
      </c>
      <c r="D581" s="38">
        <v>-5.3431289499999979E-4</v>
      </c>
      <c r="E581" s="38">
        <v>-6.6329176900000245E-4</v>
      </c>
      <c r="F581" s="38">
        <v>-8.3342313099999885E-4</v>
      </c>
      <c r="G581" s="38">
        <v>7.0000000000000964E-4</v>
      </c>
    </row>
    <row r="582" spans="2:7" x14ac:dyDescent="0.2">
      <c r="B582" s="19">
        <v>45224</v>
      </c>
      <c r="C582" s="19">
        <v>45223</v>
      </c>
      <c r="D582" s="38">
        <v>6.6369412999998934E-5</v>
      </c>
      <c r="E582" s="38">
        <v>1.3321277799999839E-4</v>
      </c>
      <c r="F582" s="38">
        <v>2.5740486599999668E-4</v>
      </c>
      <c r="G582" s="38">
        <v>-8.000000000000021E-4</v>
      </c>
    </row>
    <row r="583" spans="2:7" x14ac:dyDescent="0.2">
      <c r="B583" s="19">
        <v>45225</v>
      </c>
      <c r="C583" s="19">
        <v>45224</v>
      </c>
      <c r="D583" s="38">
        <v>-4.4385090099999941E-4</v>
      </c>
      <c r="E583" s="38">
        <v>-2.9516738399999742E-4</v>
      </c>
      <c r="F583" s="38">
        <v>-1.5589015799999731E-4</v>
      </c>
      <c r="G583" s="38">
        <v>1.9999999999999529E-4</v>
      </c>
    </row>
    <row r="584" spans="2:7" x14ac:dyDescent="0.2">
      <c r="B584" s="19">
        <v>45226</v>
      </c>
      <c r="C584" s="19">
        <v>45225</v>
      </c>
      <c r="D584" s="38">
        <v>-1.803166190000004E-4</v>
      </c>
      <c r="E584" s="38">
        <v>-1.0982324200000181E-4</v>
      </c>
      <c r="F584" s="38">
        <v>-4.8964230999998942E-5</v>
      </c>
      <c r="G584" s="38">
        <v>1.0000000000000291E-4</v>
      </c>
    </row>
    <row r="585" spans="2:7" x14ac:dyDescent="0.2">
      <c r="B585" s="19">
        <v>45229</v>
      </c>
      <c r="C585" s="19">
        <v>45226</v>
      </c>
      <c r="D585" s="38">
        <v>-1.021691089999992E-4</v>
      </c>
      <c r="E585" s="38">
        <v>3.8599573000001892E-5</v>
      </c>
      <c r="F585" s="38">
        <v>2.7226686000001579E-5</v>
      </c>
      <c r="G585" s="38">
        <v>-2.9999999999999818E-4</v>
      </c>
    </row>
    <row r="586" spans="2:7" x14ac:dyDescent="0.2">
      <c r="B586" s="19">
        <v>45230</v>
      </c>
      <c r="C586" s="19">
        <v>45229</v>
      </c>
      <c r="D586" s="38">
        <v>-4.110847340000022E-4</v>
      </c>
      <c r="E586" s="38">
        <v>-6.0099325300000048E-4</v>
      </c>
      <c r="F586" s="38">
        <v>-7.854698540000031E-4</v>
      </c>
      <c r="G586" s="38">
        <v>0</v>
      </c>
    </row>
    <row r="587" spans="2:7" x14ac:dyDescent="0.2">
      <c r="B587" s="19">
        <v>45231</v>
      </c>
      <c r="C587" s="19">
        <v>45230</v>
      </c>
      <c r="D587" s="38">
        <v>-1.150847839999983E-4</v>
      </c>
      <c r="E587" s="38">
        <v>-8.3363350000000697E-5</v>
      </c>
      <c r="F587" s="38">
        <v>-2.8780858999998691E-5</v>
      </c>
      <c r="G587" s="38">
        <v>-5.0000000000000391E-4</v>
      </c>
    </row>
    <row r="588" spans="2:7" x14ac:dyDescent="0.2">
      <c r="B588" s="19">
        <v>45232</v>
      </c>
      <c r="C588" s="19">
        <v>45231</v>
      </c>
      <c r="D588" s="38">
        <v>-2.3188041599999859E-4</v>
      </c>
      <c r="E588" s="38">
        <v>-5.114850809999974E-4</v>
      </c>
      <c r="F588" s="38">
        <v>-7.068116920000006E-4</v>
      </c>
      <c r="G588" s="38">
        <v>-2.9999999999999818E-4</v>
      </c>
    </row>
    <row r="589" spans="2:7" x14ac:dyDescent="0.2">
      <c r="B589" s="19">
        <v>45233</v>
      </c>
      <c r="C589" s="19">
        <v>45232</v>
      </c>
      <c r="D589" s="38">
        <v>1.1310209999983169E-6</v>
      </c>
      <c r="E589" s="38">
        <v>-3.3918671300000111E-4</v>
      </c>
      <c r="F589" s="38">
        <v>-4.8536771699999801E-4</v>
      </c>
      <c r="G589" s="38">
        <v>-4.0000000000000452E-4</v>
      </c>
    </row>
    <row r="590" spans="2:7" x14ac:dyDescent="0.2">
      <c r="B590" s="19">
        <v>45236</v>
      </c>
      <c r="C590" s="19">
        <v>45233</v>
      </c>
      <c r="D590" s="38">
        <v>5.158330160000002E-4</v>
      </c>
      <c r="E590" s="38">
        <v>5.4008728300000003E-4</v>
      </c>
      <c r="F590" s="38">
        <v>6.8587982399999706E-4</v>
      </c>
      <c r="G590" s="38">
        <v>-1.9999999999999879E-4</v>
      </c>
    </row>
    <row r="591" spans="2:7" x14ac:dyDescent="0.2">
      <c r="B591" s="19">
        <v>45237</v>
      </c>
      <c r="C591" s="19">
        <v>45236</v>
      </c>
      <c r="D591" s="38">
        <v>8.5519665999997385E-5</v>
      </c>
      <c r="E591" s="38">
        <v>-2.9444181900000269E-4</v>
      </c>
      <c r="F591" s="38">
        <v>-5.0732478099999728E-4</v>
      </c>
      <c r="G591" s="38">
        <v>4.9999999999999697E-4</v>
      </c>
    </row>
    <row r="592" spans="2:7" x14ac:dyDescent="0.2">
      <c r="B592" s="19">
        <v>45238</v>
      </c>
      <c r="C592" s="19">
        <v>45237</v>
      </c>
      <c r="D592" s="38">
        <v>-2.7929744099999468E-4</v>
      </c>
      <c r="E592" s="38">
        <v>-2.9862023299999721E-4</v>
      </c>
      <c r="F592" s="38">
        <v>-3.4893200600000229E-4</v>
      </c>
      <c r="G592" s="38">
        <v>6.9388939039072284E-18</v>
      </c>
    </row>
    <row r="593" spans="2:7" x14ac:dyDescent="0.2">
      <c r="B593" s="19">
        <v>45239</v>
      </c>
      <c r="C593" s="19">
        <v>45238</v>
      </c>
      <c r="D593" s="38">
        <v>1.4487899499999671E-4</v>
      </c>
      <c r="E593" s="38">
        <v>7.3931308999998502E-5</v>
      </c>
      <c r="F593" s="38">
        <v>1.674419029999985E-4</v>
      </c>
      <c r="G593" s="38">
        <v>-2.0000000000000231E-4</v>
      </c>
    </row>
    <row r="594" spans="2:7" x14ac:dyDescent="0.2">
      <c r="B594" s="19">
        <v>45240</v>
      </c>
      <c r="C594" s="19">
        <v>45239</v>
      </c>
      <c r="D594" s="38">
        <v>4.7190144999999928E-4</v>
      </c>
      <c r="E594" s="38">
        <v>3.3592800400000089E-4</v>
      </c>
      <c r="F594" s="38">
        <v>5.4912929800000204E-4</v>
      </c>
      <c r="G594" s="38">
        <v>-3.9999999999999411E-4</v>
      </c>
    </row>
    <row r="595" spans="2:7" x14ac:dyDescent="0.2">
      <c r="B595" s="19">
        <v>45243</v>
      </c>
      <c r="C595" s="19">
        <v>45240</v>
      </c>
      <c r="D595" s="38">
        <v>2.4107756800000391E-4</v>
      </c>
      <c r="E595" s="38">
        <v>3.4852353700000338E-4</v>
      </c>
      <c r="F595" s="38">
        <v>3.2972924700000109E-4</v>
      </c>
      <c r="G595" s="38">
        <v>9.9999999999995925E-5</v>
      </c>
    </row>
    <row r="596" spans="2:7" x14ac:dyDescent="0.2">
      <c r="B596" s="19">
        <v>45244</v>
      </c>
      <c r="C596" s="19">
        <v>45243</v>
      </c>
      <c r="D596" s="38">
        <v>-5.5094058600000523E-4</v>
      </c>
      <c r="E596" s="38">
        <v>-7.6410686100000097E-4</v>
      </c>
      <c r="F596" s="38">
        <v>-1.0336201690000039E-3</v>
      </c>
      <c r="G596" s="38">
        <v>-1.0000000000000631E-4</v>
      </c>
    </row>
    <row r="597" spans="2:7" x14ac:dyDescent="0.2">
      <c r="B597" s="19">
        <v>45245</v>
      </c>
      <c r="C597" s="19">
        <v>45244</v>
      </c>
      <c r="D597" s="38">
        <v>-3.9504420799999629E-4</v>
      </c>
      <c r="E597" s="38">
        <v>-1.5687866800000169E-4</v>
      </c>
      <c r="F597" s="38">
        <v>2.2983096000000341E-5</v>
      </c>
      <c r="G597" s="38">
        <v>-3.9999999999999059E-4</v>
      </c>
    </row>
    <row r="598" spans="2:7" x14ac:dyDescent="0.2">
      <c r="B598" s="19">
        <v>45246</v>
      </c>
      <c r="C598" s="19">
        <v>45245</v>
      </c>
      <c r="D598" s="38">
        <v>-3.866866519999998E-4</v>
      </c>
      <c r="E598" s="38">
        <v>-4.1232919899999998E-4</v>
      </c>
      <c r="F598" s="38">
        <v>-5.2178727999999813E-4</v>
      </c>
      <c r="G598" s="38">
        <v>-2.000000000000057E-4</v>
      </c>
    </row>
    <row r="599" spans="2:7" x14ac:dyDescent="0.2">
      <c r="B599" s="19">
        <v>45247</v>
      </c>
      <c r="C599" s="19">
        <v>45246</v>
      </c>
      <c r="D599" s="38">
        <v>-1.2740799700000291E-4</v>
      </c>
      <c r="E599" s="38">
        <v>-9.8213555000000591E-5</v>
      </c>
      <c r="F599" s="38">
        <v>6.3780792999998392E-5</v>
      </c>
      <c r="G599" s="38">
        <v>5.9999999999999984E-4</v>
      </c>
    </row>
    <row r="600" spans="2:7" x14ac:dyDescent="0.2">
      <c r="B600" s="19">
        <v>45250</v>
      </c>
      <c r="C600" s="19">
        <v>45247</v>
      </c>
      <c r="D600" s="38">
        <v>4.635508939999991E-4</v>
      </c>
      <c r="E600" s="38">
        <v>3.4445436099999818E-4</v>
      </c>
      <c r="F600" s="38">
        <v>1.899587130000033E-4</v>
      </c>
      <c r="G600" s="38">
        <v>-9.9999999999992456E-5</v>
      </c>
    </row>
    <row r="601" spans="2:7" x14ac:dyDescent="0.2">
      <c r="B601" s="19">
        <v>45251</v>
      </c>
      <c r="C601" s="19">
        <v>45250</v>
      </c>
      <c r="D601" s="38">
        <v>-9.3683199999996386E-5</v>
      </c>
      <c r="E601" s="38">
        <v>-2.4872760899999688E-4</v>
      </c>
      <c r="F601" s="38">
        <v>-3.6100114700000208E-4</v>
      </c>
      <c r="G601" s="38">
        <v>-1.0000000000000291E-4</v>
      </c>
    </row>
    <row r="602" spans="2:7" x14ac:dyDescent="0.2">
      <c r="B602" s="19">
        <v>45252</v>
      </c>
      <c r="C602" s="19">
        <v>45251</v>
      </c>
      <c r="D602" s="38">
        <v>-1.454061999999999E-4</v>
      </c>
      <c r="E602" s="38">
        <v>-2.6229924799999962E-4</v>
      </c>
      <c r="F602" s="38">
        <v>-3.8668660199999908E-4</v>
      </c>
      <c r="G602" s="38">
        <v>-9.999999999999766E-5</v>
      </c>
    </row>
    <row r="603" spans="2:7" x14ac:dyDescent="0.2">
      <c r="B603" s="19">
        <v>45253</v>
      </c>
      <c r="C603" s="19">
        <v>45252</v>
      </c>
      <c r="D603" s="38">
        <v>4.6361595799999591E-4</v>
      </c>
      <c r="E603" s="38">
        <v>7.4363824299999645E-4</v>
      </c>
      <c r="F603" s="38">
        <v>8.020747949999997E-4</v>
      </c>
      <c r="G603" s="38">
        <v>1.9999999999999009E-4</v>
      </c>
    </row>
    <row r="604" spans="2:7" x14ac:dyDescent="0.2">
      <c r="B604" s="19">
        <v>45254</v>
      </c>
      <c r="C604" s="19">
        <v>45253</v>
      </c>
      <c r="D604" s="38">
        <v>2.6582566100000199E-4</v>
      </c>
      <c r="E604" s="38">
        <v>2.021057060000025E-4</v>
      </c>
      <c r="F604" s="38">
        <v>2.1182078099999879E-4</v>
      </c>
      <c r="G604" s="38">
        <v>-1.9999999999999879E-4</v>
      </c>
    </row>
    <row r="605" spans="2:7" x14ac:dyDescent="0.2">
      <c r="B605" s="19">
        <v>45257</v>
      </c>
      <c r="C605" s="19">
        <v>45254</v>
      </c>
      <c r="D605" s="38">
        <v>-4.5829373099999521E-4</v>
      </c>
      <c r="E605" s="38">
        <v>-5.0829566699999926E-4</v>
      </c>
      <c r="F605" s="38">
        <v>-5.8007841800000043E-4</v>
      </c>
      <c r="G605" s="38">
        <v>-1.9999999999999529E-4</v>
      </c>
    </row>
    <row r="606" spans="2:7" x14ac:dyDescent="0.2">
      <c r="B606" s="19">
        <v>45258</v>
      </c>
      <c r="C606" s="19">
        <v>45257</v>
      </c>
      <c r="D606" s="38">
        <v>-6.3566500100000617E-4</v>
      </c>
      <c r="E606" s="38">
        <v>-4.4289670700000191E-4</v>
      </c>
      <c r="F606" s="38">
        <v>-3.9677001699999631E-4</v>
      </c>
      <c r="G606" s="38">
        <v>3.9999999999999411E-4</v>
      </c>
    </row>
    <row r="607" spans="2:7" x14ac:dyDescent="0.2">
      <c r="B607" s="19">
        <v>45259</v>
      </c>
      <c r="C607" s="19">
        <v>45258</v>
      </c>
      <c r="D607" s="38">
        <v>-1.190211760999999E-3</v>
      </c>
      <c r="E607" s="38">
        <v>-1.1162219940000009E-3</v>
      </c>
      <c r="F607" s="38">
        <v>-1.0615697020000051E-3</v>
      </c>
      <c r="G607" s="38">
        <v>-1.9999999999999361E-4</v>
      </c>
    </row>
    <row r="608" spans="2:7" x14ac:dyDescent="0.2">
      <c r="B608" s="19">
        <v>45260</v>
      </c>
      <c r="C608" s="19">
        <v>45259</v>
      </c>
      <c r="D608" s="38">
        <v>1.38244111E-4</v>
      </c>
      <c r="E608" s="38">
        <v>2.5995433799999931E-4</v>
      </c>
      <c r="F608" s="38">
        <v>4.5422504200000319E-4</v>
      </c>
      <c r="G608" s="38">
        <v>-2.000000000000005E-4</v>
      </c>
    </row>
    <row r="609" spans="2:7" x14ac:dyDescent="0.2">
      <c r="B609" s="19">
        <v>45261</v>
      </c>
      <c r="C609" s="19">
        <v>45260</v>
      </c>
      <c r="D609" s="38">
        <v>-1.042873165999998E-3</v>
      </c>
      <c r="E609" s="38">
        <v>-7.231381669999988E-4</v>
      </c>
      <c r="F609" s="38">
        <v>-4.8713546100000171E-4</v>
      </c>
      <c r="G609" s="38">
        <v>-9.999999999999766E-5</v>
      </c>
    </row>
    <row r="610" spans="2:7" x14ac:dyDescent="0.2">
      <c r="B610" s="19">
        <v>45264</v>
      </c>
      <c r="C610" s="19">
        <v>45261</v>
      </c>
      <c r="D610" s="38">
        <v>-6.3610097500000143E-4</v>
      </c>
      <c r="E610" s="38">
        <v>-9.4214553800000059E-4</v>
      </c>
      <c r="F610" s="38">
        <v>-9.0516977400000032E-4</v>
      </c>
      <c r="G610" s="38">
        <v>-2.000000000000005E-4</v>
      </c>
    </row>
    <row r="611" spans="2:7" x14ac:dyDescent="0.2">
      <c r="B611" s="19">
        <v>45265</v>
      </c>
      <c r="C611" s="19">
        <v>45264</v>
      </c>
      <c r="D611" s="38">
        <v>-7.7996471999998429E-5</v>
      </c>
      <c r="E611" s="38">
        <v>-3.0896088499999738E-4</v>
      </c>
      <c r="F611" s="38">
        <v>-6.2338240800000055E-4</v>
      </c>
      <c r="G611" s="38">
        <v>-1.0000000000000291E-4</v>
      </c>
    </row>
    <row r="612" spans="2:7" x14ac:dyDescent="0.2">
      <c r="B612" s="19">
        <v>45266</v>
      </c>
      <c r="C612" s="19">
        <v>45265</v>
      </c>
      <c r="D612" s="38">
        <v>9.6009316000001538E-5</v>
      </c>
      <c r="E612" s="38">
        <v>-9.9847246000001749E-5</v>
      </c>
      <c r="F612" s="38">
        <v>-4.8665771999999863E-4</v>
      </c>
      <c r="G612" s="38">
        <v>-9.999999999999766E-5</v>
      </c>
    </row>
    <row r="613" spans="2:7" x14ac:dyDescent="0.2">
      <c r="B613" s="19">
        <v>45267</v>
      </c>
      <c r="C613" s="19">
        <v>45266</v>
      </c>
      <c r="D613" s="38">
        <v>-2.9066322900000302E-4</v>
      </c>
      <c r="E613" s="38">
        <v>-6.7414779899999805E-4</v>
      </c>
      <c r="F613" s="38">
        <v>-4.2935762500000141E-4</v>
      </c>
      <c r="G613" s="38">
        <v>4.9999999999999871E-4</v>
      </c>
    </row>
    <row r="614" spans="2:7" x14ac:dyDescent="0.2">
      <c r="B614" s="19">
        <v>45268</v>
      </c>
      <c r="C614" s="19">
        <v>45267</v>
      </c>
      <c r="D614" s="38">
        <v>7.6054809399999854E-4</v>
      </c>
      <c r="E614" s="38">
        <v>1.137436546999999E-3</v>
      </c>
      <c r="F614" s="38">
        <v>1.1809448510000031E-3</v>
      </c>
      <c r="G614" s="38">
        <v>-3.0000000000000339E-4</v>
      </c>
    </row>
    <row r="615" spans="2:7" x14ac:dyDescent="0.2">
      <c r="B615" s="19">
        <v>45271</v>
      </c>
      <c r="C615" s="19">
        <v>45268</v>
      </c>
      <c r="D615" s="38">
        <v>-6.214454099999836E-5</v>
      </c>
      <c r="E615" s="38">
        <v>-3.9512977900000088E-4</v>
      </c>
      <c r="F615" s="38">
        <v>-1.6252687699999999E-4</v>
      </c>
      <c r="G615" s="38">
        <v>5.2041704279304213E-18</v>
      </c>
    </row>
    <row r="616" spans="2:7" x14ac:dyDescent="0.2">
      <c r="B616" s="19">
        <v>45272</v>
      </c>
      <c r="C616" s="19">
        <v>45271</v>
      </c>
      <c r="D616" s="38">
        <v>3.8505505000004797E-5</v>
      </c>
      <c r="E616" s="38">
        <v>-1.3967199900000171E-4</v>
      </c>
      <c r="F616" s="38">
        <v>-3.0327153300000262E-4</v>
      </c>
      <c r="G616" s="38">
        <v>9.999999999999766E-5</v>
      </c>
    </row>
    <row r="617" spans="2:7" x14ac:dyDescent="0.2">
      <c r="B617" s="19">
        <v>45273</v>
      </c>
      <c r="C617" s="19">
        <v>45272</v>
      </c>
      <c r="D617" s="38">
        <v>-1.7000568800000501E-4</v>
      </c>
      <c r="E617" s="38">
        <v>-4.8618952200000018E-4</v>
      </c>
      <c r="F617" s="38">
        <v>-5.4299293699999751E-4</v>
      </c>
      <c r="G617" s="38">
        <v>-3.4694469519536142E-18</v>
      </c>
    </row>
    <row r="618" spans="2:7" x14ac:dyDescent="0.2">
      <c r="B618" s="19">
        <v>45274</v>
      </c>
      <c r="C618" s="19">
        <v>45273</v>
      </c>
      <c r="D618" s="38">
        <v>-8.8261693699999769E-4</v>
      </c>
      <c r="E618" s="38">
        <v>-8.3422510899999747E-4</v>
      </c>
      <c r="F618" s="38">
        <v>-4.0849021000000102E-4</v>
      </c>
      <c r="G618" s="38">
        <v>-9.9999999999999395E-5</v>
      </c>
    </row>
    <row r="619" spans="2:7" x14ac:dyDescent="0.2">
      <c r="B619" s="19">
        <v>45275</v>
      </c>
      <c r="C619" s="19">
        <v>45274</v>
      </c>
      <c r="D619" s="38">
        <v>-1.2666161799999851E-4</v>
      </c>
      <c r="E619" s="38">
        <v>-5.3108261200000145E-4</v>
      </c>
      <c r="F619" s="38">
        <v>-9.6913793100000117E-4</v>
      </c>
      <c r="G619" s="38">
        <v>-1.9999999999999529E-4</v>
      </c>
    </row>
    <row r="620" spans="2:7" x14ac:dyDescent="0.2">
      <c r="B620" s="19">
        <v>45278</v>
      </c>
      <c r="C620" s="19">
        <v>45275</v>
      </c>
      <c r="D620" s="38">
        <v>5.4990169999998013E-5</v>
      </c>
      <c r="E620" s="38">
        <v>1.6835184200000161E-4</v>
      </c>
      <c r="F620" s="38">
        <v>4.053706550000008E-4</v>
      </c>
      <c r="G620" s="38">
        <v>-4.0000000000000452E-4</v>
      </c>
    </row>
    <row r="621" spans="2:7" x14ac:dyDescent="0.2">
      <c r="B621" s="19">
        <v>45279</v>
      </c>
      <c r="C621" s="19">
        <v>45278</v>
      </c>
      <c r="D621" s="38">
        <v>-3.7201683500000249E-4</v>
      </c>
      <c r="E621" s="38">
        <v>-4.7006303600000132E-4</v>
      </c>
      <c r="F621" s="38">
        <v>-6.3962342699999675E-4</v>
      </c>
      <c r="G621" s="38">
        <v>2.000000000000005E-4</v>
      </c>
    </row>
    <row r="622" spans="2:7" x14ac:dyDescent="0.2">
      <c r="B622" s="19">
        <v>45280</v>
      </c>
      <c r="C622" s="19">
        <v>45279</v>
      </c>
      <c r="D622" s="38">
        <v>-2.0559546299999881E-4</v>
      </c>
      <c r="E622" s="38">
        <v>-3.7966499499999742E-4</v>
      </c>
      <c r="F622" s="38">
        <v>-4.4706013799999939E-4</v>
      </c>
      <c r="G622" s="38">
        <v>-1.9999999999999529E-4</v>
      </c>
    </row>
    <row r="623" spans="2:7" x14ac:dyDescent="0.2">
      <c r="B623" s="19">
        <v>45281</v>
      </c>
      <c r="C623" s="19">
        <v>45280</v>
      </c>
      <c r="D623" s="38">
        <v>-3.5411582500000088E-4</v>
      </c>
      <c r="E623" s="38">
        <v>-2.1363637700000379E-4</v>
      </c>
      <c r="F623" s="38">
        <v>6.3335889999988071E-6</v>
      </c>
      <c r="G623" s="38">
        <v>0</v>
      </c>
    </row>
    <row r="624" spans="2:7" x14ac:dyDescent="0.2">
      <c r="B624" s="19">
        <v>45282</v>
      </c>
      <c r="C624" s="19">
        <v>45281</v>
      </c>
      <c r="D624" s="38">
        <v>-5.4665125699999983E-4</v>
      </c>
      <c r="E624" s="38">
        <v>-6.2696212099999649E-4</v>
      </c>
      <c r="F624" s="38">
        <v>-2.7991099800000341E-4</v>
      </c>
      <c r="G624" s="38">
        <v>-3.4694469519536142E-18</v>
      </c>
    </row>
    <row r="625" spans="2:7" x14ac:dyDescent="0.2">
      <c r="B625" s="19">
        <v>45287</v>
      </c>
      <c r="C625" s="19">
        <v>45282</v>
      </c>
      <c r="D625" s="38">
        <v>-1.752784000001034E-6</v>
      </c>
      <c r="E625" s="38">
        <v>-1.450567820000005E-4</v>
      </c>
      <c r="F625" s="38">
        <v>-3.1686083999999878E-4</v>
      </c>
      <c r="G625" s="38">
        <v>1.000000000000011E-4</v>
      </c>
    </row>
    <row r="626" spans="2:7" x14ac:dyDescent="0.2">
      <c r="B626" s="19">
        <v>45288</v>
      </c>
      <c r="C626" s="19">
        <v>45287</v>
      </c>
      <c r="D626" s="38">
        <v>-9.8861637999995283E-5</v>
      </c>
      <c r="E626" s="38">
        <v>-8.56615669999998E-5</v>
      </c>
      <c r="F626" s="38">
        <v>1.5232898400000319E-4</v>
      </c>
      <c r="G626" s="38">
        <v>-1.000000000000011E-4</v>
      </c>
    </row>
    <row r="627" spans="2:7" x14ac:dyDescent="0.2">
      <c r="B627" s="19">
        <v>45289</v>
      </c>
      <c r="C627" s="19">
        <v>45288</v>
      </c>
      <c r="D627" s="38">
        <v>2.2021559099999821E-4</v>
      </c>
      <c r="E627" s="38">
        <v>4.6535851099999831E-4</v>
      </c>
      <c r="F627" s="38">
        <v>7.8043678999999838E-4</v>
      </c>
      <c r="G627" s="38">
        <v>-3.9999999999999758E-4</v>
      </c>
    </row>
    <row r="628" spans="2:7" x14ac:dyDescent="0.2">
      <c r="B628" s="19">
        <v>45293</v>
      </c>
      <c r="C628" s="19">
        <v>45289</v>
      </c>
      <c r="D628" s="38">
        <v>1.85270560000006E-5</v>
      </c>
      <c r="E628" s="38">
        <v>3.8234943300000102E-4</v>
      </c>
      <c r="F628" s="38">
        <v>3.9063657199999569E-4</v>
      </c>
      <c r="G628" s="38">
        <v>9.999999999999766E-5</v>
      </c>
    </row>
    <row r="629" spans="2:7" x14ac:dyDescent="0.2">
      <c r="B629" s="19">
        <v>45294</v>
      </c>
      <c r="C629" s="19">
        <v>45293</v>
      </c>
      <c r="D629" s="38">
        <v>8.2662742000000344E-5</v>
      </c>
      <c r="E629" s="38">
        <v>4.3407312000001003E-5</v>
      </c>
      <c r="F629" s="38">
        <v>1.469610500000329E-5</v>
      </c>
      <c r="G629" s="38">
        <v>8.0000000000000036E-4</v>
      </c>
    </row>
    <row r="630" spans="2:7" x14ac:dyDescent="0.2">
      <c r="B630" s="19">
        <v>45295</v>
      </c>
      <c r="C630" s="19">
        <v>45294</v>
      </c>
      <c r="D630" s="38">
        <v>4.8703422100000032E-4</v>
      </c>
      <c r="E630" s="38">
        <v>8.4527800799999789E-4</v>
      </c>
      <c r="F630" s="38">
        <v>8.5822952700000121E-4</v>
      </c>
      <c r="G630" s="38">
        <v>4.0000000000000099E-4</v>
      </c>
    </row>
    <row r="631" spans="2:7" x14ac:dyDescent="0.2">
      <c r="B631" s="19">
        <v>45296</v>
      </c>
      <c r="C631" s="19">
        <v>45295</v>
      </c>
      <c r="D631" s="38">
        <v>8.2373821800000094E-4</v>
      </c>
      <c r="E631" s="38">
        <v>6.9905745299999808E-4</v>
      </c>
      <c r="F631" s="38">
        <v>3.9683737999999733E-4</v>
      </c>
      <c r="G631" s="38">
        <v>0</v>
      </c>
    </row>
    <row r="632" spans="2:7" x14ac:dyDescent="0.2">
      <c r="B632" s="19">
        <v>45299</v>
      </c>
      <c r="C632" s="19">
        <v>45296</v>
      </c>
      <c r="D632" s="38">
        <v>-1.5080296900000031E-4</v>
      </c>
      <c r="E632" s="38">
        <v>-2.4422416499999752E-4</v>
      </c>
      <c r="F632" s="38">
        <v>-1.6194270999999799E-4</v>
      </c>
      <c r="G632" s="38">
        <v>2.9999999999999818E-4</v>
      </c>
    </row>
    <row r="633" spans="2:7" x14ac:dyDescent="0.2">
      <c r="B633" s="19">
        <v>45300</v>
      </c>
      <c r="C633" s="19">
        <v>45299</v>
      </c>
      <c r="D633" s="38">
        <v>-2.4959006000000589E-5</v>
      </c>
      <c r="E633" s="38">
        <v>2.362971999999991E-4</v>
      </c>
      <c r="F633" s="38">
        <v>2.6313812499999598E-4</v>
      </c>
      <c r="G633" s="38">
        <v>-4.9999999999999871E-4</v>
      </c>
    </row>
    <row r="634" spans="2:7" x14ac:dyDescent="0.2">
      <c r="B634" s="19">
        <v>45301</v>
      </c>
      <c r="C634" s="19">
        <v>45300</v>
      </c>
      <c r="D634" s="38">
        <v>1.808388269999989E-4</v>
      </c>
      <c r="E634" s="38">
        <v>2.6958371000000009E-4</v>
      </c>
      <c r="F634" s="38">
        <v>1.6193119700000019E-4</v>
      </c>
      <c r="G634" s="38">
        <v>0</v>
      </c>
    </row>
    <row r="635" spans="2:7" x14ac:dyDescent="0.2">
      <c r="B635" s="19">
        <v>45302</v>
      </c>
      <c r="C635" s="19">
        <v>45301</v>
      </c>
      <c r="D635" s="38">
        <v>-1.3305676600000249E-4</v>
      </c>
      <c r="E635" s="38">
        <v>-1.3418197800000101E-4</v>
      </c>
      <c r="F635" s="38">
        <v>-1.4880432600000021E-4</v>
      </c>
      <c r="G635" s="38">
        <v>-3.9999999999999931E-4</v>
      </c>
    </row>
    <row r="636" spans="2:7" x14ac:dyDescent="0.2">
      <c r="B636" s="19">
        <v>45303</v>
      </c>
      <c r="C636" s="19">
        <v>45302</v>
      </c>
      <c r="D636" s="38">
        <v>-3.9553022199999641E-4</v>
      </c>
      <c r="E636" s="38">
        <v>-5.5204465399999805E-4</v>
      </c>
      <c r="F636" s="38">
        <v>-3.2150190899999861E-4</v>
      </c>
      <c r="G636" s="38">
        <v>-1.0000000000000291E-4</v>
      </c>
    </row>
    <row r="637" spans="2:7" x14ac:dyDescent="0.2">
      <c r="B637" s="19">
        <v>45306</v>
      </c>
      <c r="C637" s="19">
        <v>45303</v>
      </c>
      <c r="D637" s="38">
        <v>2.9265614799999651E-4</v>
      </c>
      <c r="E637" s="38">
        <v>4.6428682399999801E-4</v>
      </c>
      <c r="F637" s="38">
        <v>5.4804279900000016E-4</v>
      </c>
      <c r="G637" s="38">
        <v>-9.999999999999766E-5</v>
      </c>
    </row>
    <row r="638" spans="2:7" x14ac:dyDescent="0.2">
      <c r="B638" s="19">
        <v>45307</v>
      </c>
      <c r="C638" s="19">
        <v>45306</v>
      </c>
      <c r="D638" s="38">
        <v>3.4551159000001393E-5</v>
      </c>
      <c r="E638" s="38">
        <v>-1.646328899999987E-4</v>
      </c>
      <c r="F638" s="38">
        <v>-2.106335599999995E-4</v>
      </c>
      <c r="G638" s="38">
        <v>1.000000000000011E-4</v>
      </c>
    </row>
    <row r="639" spans="2:7" x14ac:dyDescent="0.2">
      <c r="B639" s="19">
        <v>45308</v>
      </c>
      <c r="C639" s="19">
        <v>45307</v>
      </c>
      <c r="D639" s="38">
        <v>1.082335372999999E-3</v>
      </c>
      <c r="E639" s="38">
        <v>1.061228592000002E-3</v>
      </c>
      <c r="F639" s="38">
        <v>7.9480533599999778E-4</v>
      </c>
      <c r="G639" s="38">
        <v>-9.999999999999766E-5</v>
      </c>
    </row>
    <row r="640" spans="2:7" x14ac:dyDescent="0.2">
      <c r="B640" s="19">
        <v>45309</v>
      </c>
      <c r="C640" s="19">
        <v>45308</v>
      </c>
      <c r="D640" s="38">
        <v>1.0668117500000141E-4</v>
      </c>
      <c r="E640" s="38">
        <v>2.1162339900000079E-4</v>
      </c>
      <c r="F640" s="38">
        <v>2.3623809500000059E-4</v>
      </c>
      <c r="G640" s="38">
        <v>-2.0000000000000399E-4</v>
      </c>
    </row>
    <row r="641" spans="2:7" x14ac:dyDescent="0.2">
      <c r="B641" s="19">
        <v>45310</v>
      </c>
      <c r="C641" s="19">
        <v>45309</v>
      </c>
      <c r="D641" s="38">
        <v>-1.6666980699999931E-4</v>
      </c>
      <c r="E641" s="38">
        <v>1.7667832999999911E-4</v>
      </c>
      <c r="F641" s="38">
        <v>2.1574032600000381E-4</v>
      </c>
      <c r="G641" s="38">
        <v>-9.999999999999766E-5</v>
      </c>
    </row>
    <row r="642" spans="2:7" x14ac:dyDescent="0.2">
      <c r="B642" s="19">
        <v>45313</v>
      </c>
      <c r="C642" s="19">
        <v>45310</v>
      </c>
      <c r="D642" s="38">
        <v>-1.564688080000001E-4</v>
      </c>
      <c r="E642" s="38">
        <v>-4.0365182200000072E-4</v>
      </c>
      <c r="F642" s="38">
        <v>-4.9150703000000115E-4</v>
      </c>
      <c r="G642" s="38">
        <v>-1.0000000000000291E-4</v>
      </c>
    </row>
    <row r="643" spans="2:7" x14ac:dyDescent="0.2">
      <c r="B643" s="19">
        <v>45314</v>
      </c>
      <c r="C643" s="19">
        <v>45313</v>
      </c>
      <c r="D643" s="38">
        <v>2.7623429899999857E-4</v>
      </c>
      <c r="E643" s="38">
        <v>4.1583624999999921E-4</v>
      </c>
      <c r="F643" s="38">
        <v>5.3156239599999947E-4</v>
      </c>
      <c r="G643" s="38">
        <v>-2.9999999999999818E-4</v>
      </c>
    </row>
    <row r="644" spans="2:7" x14ac:dyDescent="0.2">
      <c r="B644" s="19">
        <v>45315</v>
      </c>
      <c r="C644" s="19">
        <v>45314</v>
      </c>
      <c r="D644" s="38">
        <v>-9.0852832999997746E-5</v>
      </c>
      <c r="E644" s="38">
        <v>-7.0762751999998985E-5</v>
      </c>
      <c r="F644" s="38">
        <v>-4.0892919999997029E-5</v>
      </c>
      <c r="G644" s="38">
        <v>0</v>
      </c>
    </row>
    <row r="645" spans="2:7" x14ac:dyDescent="0.2">
      <c r="B645" s="19">
        <v>45316</v>
      </c>
      <c r="C645" s="19">
        <v>45315</v>
      </c>
      <c r="D645" s="38">
        <v>-6.8034983900000165E-4</v>
      </c>
      <c r="E645" s="38">
        <v>-3.7278979000000129E-4</v>
      </c>
      <c r="F645" s="38">
        <v>-1.5790362900000229E-4</v>
      </c>
      <c r="G645" s="38">
        <v>-2.000000000000005E-4</v>
      </c>
    </row>
    <row r="646" spans="2:7" x14ac:dyDescent="0.2">
      <c r="B646" s="19">
        <v>45317</v>
      </c>
      <c r="C646" s="19">
        <v>45316</v>
      </c>
      <c r="D646" s="38">
        <v>-7.6139924999999581E-5</v>
      </c>
      <c r="E646" s="38">
        <v>6.3963646000000235E-5</v>
      </c>
      <c r="F646" s="38">
        <v>1.9570351799999899E-4</v>
      </c>
      <c r="G646" s="38">
        <v>2.000000000000005E-4</v>
      </c>
    </row>
    <row r="647" spans="2:7" x14ac:dyDescent="0.2">
      <c r="B647" s="19">
        <v>45320</v>
      </c>
      <c r="C647" s="19">
        <v>45317</v>
      </c>
      <c r="D647" s="38">
        <v>-5.6854893600000178E-4</v>
      </c>
      <c r="E647" s="38">
        <v>-7.2432376299999893E-4</v>
      </c>
      <c r="F647" s="38">
        <v>-6.3171729599999921E-4</v>
      </c>
      <c r="G647" s="38">
        <v>-1.000000000000011E-4</v>
      </c>
    </row>
    <row r="648" spans="2:7" x14ac:dyDescent="0.2">
      <c r="B648" s="19">
        <v>45321</v>
      </c>
      <c r="C648" s="19">
        <v>45320</v>
      </c>
      <c r="D648" s="38">
        <v>-7.5718550999998024E-5</v>
      </c>
      <c r="E648" s="38">
        <v>8.1657912000002164E-5</v>
      </c>
      <c r="F648" s="38">
        <v>7.6961656000001238E-5</v>
      </c>
      <c r="G648" s="38">
        <v>-3.0000000000000339E-4</v>
      </c>
    </row>
    <row r="649" spans="2:7" x14ac:dyDescent="0.2">
      <c r="B649" s="19">
        <v>45322</v>
      </c>
      <c r="C649" s="19">
        <v>45321</v>
      </c>
      <c r="D649" s="38">
        <v>-4.9228713200000218E-4</v>
      </c>
      <c r="E649" s="38">
        <v>-6.4879448400000442E-4</v>
      </c>
      <c r="F649" s="38">
        <v>-6.7046095100000216E-4</v>
      </c>
      <c r="G649" s="38">
        <v>3.0000000000000339E-4</v>
      </c>
    </row>
    <row r="650" spans="2:7" x14ac:dyDescent="0.2">
      <c r="B650" s="19">
        <v>45323</v>
      </c>
      <c r="C650" s="19">
        <v>45322</v>
      </c>
      <c r="D650" s="38">
        <v>-1.8751330999999118E-5</v>
      </c>
      <c r="E650" s="38">
        <v>-1.7305419999995301E-5</v>
      </c>
      <c r="F650" s="38">
        <v>-1.153942470000016E-4</v>
      </c>
      <c r="G650" s="38">
        <v>-9.9999999999999395E-5</v>
      </c>
    </row>
    <row r="651" spans="2:7" x14ac:dyDescent="0.2">
      <c r="B651" s="19">
        <v>45324</v>
      </c>
      <c r="C651" s="19">
        <v>45323</v>
      </c>
      <c r="D651" s="38">
        <v>9.4703034500000227E-4</v>
      </c>
      <c r="E651" s="38">
        <v>5.5974884899999758E-4</v>
      </c>
      <c r="F651" s="38">
        <v>2.0958330600000241E-4</v>
      </c>
      <c r="G651" s="38">
        <v>9.9999999999999395E-5</v>
      </c>
    </row>
    <row r="652" spans="2:7" x14ac:dyDescent="0.2">
      <c r="B652" s="19">
        <v>45327</v>
      </c>
      <c r="C652" s="19">
        <v>45324</v>
      </c>
      <c r="D652" s="38">
        <v>5.5971437199999613E-4</v>
      </c>
      <c r="E652" s="38">
        <v>9.7058459000000027E-4</v>
      </c>
      <c r="F652" s="38">
        <v>1.0571784509999999E-3</v>
      </c>
      <c r="G652" s="38">
        <v>0</v>
      </c>
    </row>
    <row r="653" spans="2:7" x14ac:dyDescent="0.2">
      <c r="B653" s="19">
        <v>45328</v>
      </c>
      <c r="C653" s="19">
        <v>45327</v>
      </c>
      <c r="D653" s="38">
        <v>7.9114475000002793E-5</v>
      </c>
      <c r="E653" s="38">
        <v>5.1043127999996628E-5</v>
      </c>
      <c r="F653" s="38">
        <v>6.2406505999999806E-5</v>
      </c>
      <c r="G653" s="38">
        <v>-9.9999999999999395E-5</v>
      </c>
    </row>
    <row r="654" spans="2:7" x14ac:dyDescent="0.2">
      <c r="B654" s="19">
        <v>45329</v>
      </c>
      <c r="C654" s="19">
        <v>45328</v>
      </c>
      <c r="D654" s="38">
        <v>-1.618018150000011E-4</v>
      </c>
      <c r="E654" s="38">
        <v>-1.558455769999981E-4</v>
      </c>
      <c r="F654" s="38">
        <v>-1.2419694800000139E-4</v>
      </c>
      <c r="G654" s="38">
        <v>3.0000000000000339E-4</v>
      </c>
    </row>
    <row r="655" spans="2:7" x14ac:dyDescent="0.2">
      <c r="B655" s="19">
        <v>45330</v>
      </c>
      <c r="C655" s="19">
        <v>45329</v>
      </c>
      <c r="D655" s="38">
        <v>5.6102245800000033E-4</v>
      </c>
      <c r="E655" s="38">
        <v>6.364700050000005E-4</v>
      </c>
      <c r="F655" s="38">
        <v>5.2380902300000129E-4</v>
      </c>
      <c r="G655" s="38">
        <v>0</v>
      </c>
    </row>
    <row r="656" spans="2:7" x14ac:dyDescent="0.2">
      <c r="B656" s="19">
        <v>45331</v>
      </c>
      <c r="C656" s="19">
        <v>45330</v>
      </c>
      <c r="D656" s="38">
        <v>4.97262448E-4</v>
      </c>
      <c r="E656" s="38">
        <v>5.1047443699999903E-4</v>
      </c>
      <c r="F656" s="38">
        <v>3.4050703900000151E-4</v>
      </c>
      <c r="G656" s="38">
        <v>-1.0000000000000631E-4</v>
      </c>
    </row>
    <row r="657" spans="2:7" x14ac:dyDescent="0.2">
      <c r="B657" s="19">
        <v>45334</v>
      </c>
      <c r="C657" s="19">
        <v>45331</v>
      </c>
      <c r="D657" s="38">
        <v>-5.0466235999999803E-5</v>
      </c>
      <c r="E657" s="38">
        <v>-1.0461574499999809E-4</v>
      </c>
      <c r="F657" s="38">
        <v>-9.408041900000122E-5</v>
      </c>
      <c r="G657" s="38">
        <v>-1.9999999999999711E-4</v>
      </c>
    </row>
    <row r="658" spans="2:7" x14ac:dyDescent="0.2">
      <c r="B658" s="19">
        <v>45335</v>
      </c>
      <c r="C658" s="19">
        <v>45334</v>
      </c>
      <c r="D658" s="38">
        <v>4.20310715999999E-4</v>
      </c>
      <c r="E658" s="38">
        <v>3.113677319999987E-4</v>
      </c>
      <c r="F658" s="38">
        <v>1.0194464099999929E-4</v>
      </c>
      <c r="G658" s="38">
        <v>-9.999999999999766E-5</v>
      </c>
    </row>
    <row r="659" spans="2:7" x14ac:dyDescent="0.2">
      <c r="B659" s="19">
        <v>45336</v>
      </c>
      <c r="C659" s="19">
        <v>45335</v>
      </c>
      <c r="D659" s="38">
        <v>2.5153689600000348E-4</v>
      </c>
      <c r="E659" s="38">
        <v>-3.0889874000000067E-5</v>
      </c>
      <c r="F659" s="38">
        <v>-1.677217320000014E-4</v>
      </c>
      <c r="G659" s="38">
        <v>1.9999999999999711E-4</v>
      </c>
    </row>
    <row r="660" spans="2:7" x14ac:dyDescent="0.2">
      <c r="B660" s="19">
        <v>45337</v>
      </c>
      <c r="C660" s="19">
        <v>45336</v>
      </c>
      <c r="D660" s="38">
        <v>-2.1160712999999939E-4</v>
      </c>
      <c r="E660" s="38">
        <v>-4.3462866600000108E-4</v>
      </c>
      <c r="F660" s="38">
        <v>-5.8150446599999905E-4</v>
      </c>
      <c r="G660" s="38">
        <v>-9.9999999999999395E-5</v>
      </c>
    </row>
    <row r="661" spans="2:7" x14ac:dyDescent="0.2">
      <c r="B661" s="19">
        <v>45338</v>
      </c>
      <c r="C661" s="19">
        <v>45337</v>
      </c>
      <c r="D661" s="38">
        <v>7.2891363299999387E-4</v>
      </c>
      <c r="E661" s="38">
        <v>9.7725718500000017E-4</v>
      </c>
      <c r="F661" s="38">
        <v>8.4194266000000087E-4</v>
      </c>
      <c r="G661" s="38">
        <v>-1.9999999999999879E-4</v>
      </c>
    </row>
    <row r="662" spans="2:7" x14ac:dyDescent="0.2">
      <c r="B662" s="19">
        <v>45341</v>
      </c>
      <c r="C662" s="19">
        <v>45338</v>
      </c>
      <c r="D662" s="38">
        <v>2.802997200000365E-5</v>
      </c>
      <c r="E662" s="38">
        <v>-2.7408651999995259E-5</v>
      </c>
      <c r="F662" s="38">
        <v>6.0745659999986157E-6</v>
      </c>
      <c r="G662" s="38">
        <v>9.999999999999766E-5</v>
      </c>
    </row>
    <row r="663" spans="2:7" x14ac:dyDescent="0.2">
      <c r="B663" s="19">
        <v>45342</v>
      </c>
      <c r="C663" s="19">
        <v>45341</v>
      </c>
      <c r="D663" s="38">
        <v>-4.1253787599999919E-4</v>
      </c>
      <c r="E663" s="38">
        <v>-3.7406670700000302E-4</v>
      </c>
      <c r="F663" s="38">
        <v>-3.0875305700000041E-4</v>
      </c>
      <c r="G663" s="38">
        <v>-9.999999999999766E-5</v>
      </c>
    </row>
    <row r="664" spans="2:7" x14ac:dyDescent="0.2">
      <c r="B664" s="19">
        <v>45343</v>
      </c>
      <c r="C664" s="19">
        <v>45342</v>
      </c>
      <c r="D664" s="38">
        <v>2.9007444499999988E-4</v>
      </c>
      <c r="E664" s="38">
        <v>3.7641480999999957E-4</v>
      </c>
      <c r="F664" s="38">
        <v>3.3485666200000491E-4</v>
      </c>
      <c r="G664" s="38">
        <v>-2.000000000000005E-4</v>
      </c>
    </row>
    <row r="665" spans="2:7" x14ac:dyDescent="0.2">
      <c r="B665" s="19">
        <v>45344</v>
      </c>
      <c r="C665" s="19">
        <v>45343</v>
      </c>
      <c r="D665" s="38">
        <v>4.5903802599999571E-4</v>
      </c>
      <c r="E665" s="38">
        <v>3.8904818799999699E-4</v>
      </c>
      <c r="F665" s="38">
        <v>5.3383986999996219E-5</v>
      </c>
      <c r="G665" s="38">
        <v>-1.0000000000000291E-4</v>
      </c>
    </row>
    <row r="666" spans="2:7" x14ac:dyDescent="0.2">
      <c r="B666" s="19">
        <v>45345</v>
      </c>
      <c r="C666" s="19">
        <v>45344</v>
      </c>
      <c r="D666" s="38">
        <v>-1.95145973999996E-4</v>
      </c>
      <c r="E666" s="38">
        <v>-3.4410970399999588E-4</v>
      </c>
      <c r="F666" s="38">
        <v>-4.1370967399999639E-4</v>
      </c>
      <c r="G666" s="38">
        <v>-4.9999999999999871E-4</v>
      </c>
    </row>
    <row r="667" spans="2:7" x14ac:dyDescent="0.2">
      <c r="B667" s="19">
        <v>45348</v>
      </c>
      <c r="C667" s="19">
        <v>45345</v>
      </c>
      <c r="D667" s="38">
        <v>5.2056797999999738E-4</v>
      </c>
      <c r="E667" s="38">
        <v>3.9649880899999748E-4</v>
      </c>
      <c r="F667" s="38">
        <v>2.8845803199999831E-4</v>
      </c>
      <c r="G667" s="38">
        <v>3.0000000000000339E-4</v>
      </c>
    </row>
    <row r="668" spans="2:7" x14ac:dyDescent="0.2">
      <c r="B668" s="19">
        <v>45349</v>
      </c>
      <c r="C668" s="19">
        <v>45348</v>
      </c>
      <c r="D668" s="38">
        <v>3.4088772999998913E-5</v>
      </c>
      <c r="E668" s="38">
        <v>1.366472140000019E-4</v>
      </c>
      <c r="F668" s="38">
        <v>2.5696906699999861E-4</v>
      </c>
      <c r="G668" s="38">
        <v>9.999999999999766E-5</v>
      </c>
    </row>
    <row r="669" spans="2:7" x14ac:dyDescent="0.2">
      <c r="B669" s="19">
        <v>45350</v>
      </c>
      <c r="C669" s="19">
        <v>45349</v>
      </c>
      <c r="D669" s="38">
        <v>5.0111263000005707E-5</v>
      </c>
      <c r="E669" s="38">
        <v>1.8763936900000061E-4</v>
      </c>
      <c r="F669" s="38">
        <v>2.3760827800000181E-4</v>
      </c>
      <c r="G669" s="38">
        <v>0</v>
      </c>
    </row>
    <row r="670" spans="2:7" x14ac:dyDescent="0.2">
      <c r="B670" s="19">
        <v>45351</v>
      </c>
      <c r="C670" s="19">
        <v>45350</v>
      </c>
      <c r="D670" s="38">
        <v>-1.013916540000027E-4</v>
      </c>
      <c r="E670" s="38">
        <v>-2.2141122700000329E-4</v>
      </c>
      <c r="F670" s="38">
        <v>-3.662800119999983E-4</v>
      </c>
      <c r="G670" s="38">
        <v>2.000000000000005E-4</v>
      </c>
    </row>
    <row r="671" spans="2:7" x14ac:dyDescent="0.2">
      <c r="B671" s="19">
        <v>45352</v>
      </c>
      <c r="C671" s="19">
        <v>45351</v>
      </c>
      <c r="D671" s="38">
        <v>-1.4990151000000149E-5</v>
      </c>
      <c r="E671" s="38">
        <v>4.4549867000004413E-5</v>
      </c>
      <c r="F671" s="38">
        <v>2.335858789999957E-4</v>
      </c>
      <c r="G671" s="38">
        <v>3.9999999999999931E-4</v>
      </c>
    </row>
    <row r="672" spans="2:7" x14ac:dyDescent="0.2">
      <c r="B672" s="19">
        <v>45355</v>
      </c>
      <c r="C672" s="19">
        <v>45352</v>
      </c>
      <c r="D672" s="38">
        <v>-1.925456180000007E-4</v>
      </c>
      <c r="E672" s="38">
        <v>-5.1479274700000355E-4</v>
      </c>
      <c r="F672" s="38">
        <v>-6.9844625399999999E-4</v>
      </c>
      <c r="G672" s="38">
        <v>-3.4694469519536142E-18</v>
      </c>
    </row>
    <row r="673" spans="2:7" x14ac:dyDescent="0.2">
      <c r="B673" s="19">
        <v>45356</v>
      </c>
      <c r="C673" s="19">
        <v>45355</v>
      </c>
      <c r="D673" s="38">
        <v>-2.8128093599999812E-4</v>
      </c>
      <c r="E673" s="38">
        <v>-4.8145801399999971E-4</v>
      </c>
      <c r="F673" s="38">
        <v>-7.0108803199999889E-4</v>
      </c>
      <c r="G673" s="38">
        <v>-2.000000000000005E-4</v>
      </c>
    </row>
    <row r="674" spans="2:7" x14ac:dyDescent="0.2">
      <c r="B674" s="19">
        <v>45357</v>
      </c>
      <c r="C674" s="19">
        <v>45356</v>
      </c>
      <c r="D674" s="38">
        <v>-5.0322511999999903E-5</v>
      </c>
      <c r="E674" s="38">
        <v>-7.3425901999997489E-5</v>
      </c>
      <c r="F674" s="38">
        <v>-3.8062132999998333E-5</v>
      </c>
      <c r="G674" s="38">
        <v>0</v>
      </c>
    </row>
    <row r="675" spans="2:7" x14ac:dyDescent="0.2">
      <c r="B675" s="19">
        <v>45358</v>
      </c>
      <c r="C675" s="19">
        <v>45357</v>
      </c>
      <c r="D675" s="38">
        <v>5.6224468000000423E-5</v>
      </c>
      <c r="E675" s="38">
        <v>-7.6240229999999937E-5</v>
      </c>
      <c r="F675" s="38">
        <v>-1.9461349999999949E-4</v>
      </c>
      <c r="G675" s="38">
        <v>2.0000000000000399E-4</v>
      </c>
    </row>
    <row r="676" spans="2:7" x14ac:dyDescent="0.2">
      <c r="B676" s="19">
        <v>45359</v>
      </c>
      <c r="C676" s="19">
        <v>45358</v>
      </c>
      <c r="D676" s="38">
        <v>-7.8410509699999853E-4</v>
      </c>
      <c r="E676" s="38">
        <v>-7.3014827900000356E-4</v>
      </c>
      <c r="F676" s="38">
        <v>-3.7066343400000279E-4</v>
      </c>
      <c r="G676" s="38">
        <v>-9.999999999999766E-5</v>
      </c>
    </row>
    <row r="677" spans="2:7" x14ac:dyDescent="0.2">
      <c r="B677" s="19">
        <v>45362</v>
      </c>
      <c r="C677" s="19">
        <v>45359</v>
      </c>
      <c r="D677" s="38">
        <v>2.9407774999999642E-4</v>
      </c>
      <c r="E677" s="38">
        <v>5.1778026300000266E-4</v>
      </c>
      <c r="F677" s="38">
        <v>5.5939313000000213E-4</v>
      </c>
      <c r="G677" s="38">
        <v>-1.000000000000011E-4</v>
      </c>
    </row>
    <row r="678" spans="2:7" x14ac:dyDescent="0.2">
      <c r="B678" s="19">
        <v>45363</v>
      </c>
      <c r="C678" s="19">
        <v>45362</v>
      </c>
      <c r="D678" s="38">
        <v>3.8073429300000341E-4</v>
      </c>
      <c r="E678" s="38">
        <v>3.3212468299999651E-4</v>
      </c>
      <c r="F678" s="38">
        <v>1.8501480899999959E-4</v>
      </c>
      <c r="G678" s="38">
        <v>-9.9999999999999395E-5</v>
      </c>
    </row>
    <row r="679" spans="2:7" x14ac:dyDescent="0.2">
      <c r="B679" s="19">
        <v>45364</v>
      </c>
      <c r="C679" s="19">
        <v>45363</v>
      </c>
      <c r="D679" s="38">
        <v>-3.0643141000000207E-5</v>
      </c>
      <c r="E679" s="38">
        <v>1.6652069700000269E-4</v>
      </c>
      <c r="F679" s="38">
        <v>2.6209670299999829E-4</v>
      </c>
      <c r="G679" s="38">
        <v>-2.0000000000000399E-4</v>
      </c>
    </row>
    <row r="680" spans="2:7" x14ac:dyDescent="0.2">
      <c r="B680" s="19">
        <v>45365</v>
      </c>
      <c r="C680" s="19">
        <v>45364</v>
      </c>
      <c r="D680" s="38">
        <v>3.2965719700000021E-4</v>
      </c>
      <c r="E680" s="38">
        <v>6.532163339999994E-4</v>
      </c>
      <c r="F680" s="38">
        <v>8.2423598000000084E-4</v>
      </c>
      <c r="G680" s="38">
        <v>-1.9999999999999529E-4</v>
      </c>
    </row>
    <row r="681" spans="2:7" x14ac:dyDescent="0.2">
      <c r="B681" s="19">
        <v>45366</v>
      </c>
      <c r="C681" s="19">
        <v>45365</v>
      </c>
      <c r="D681" s="38">
        <v>3.2478691599999512E-4</v>
      </c>
      <c r="E681" s="38">
        <v>2.436503869999995E-4</v>
      </c>
      <c r="F681" s="38">
        <v>8.3478384999998573E-5</v>
      </c>
      <c r="G681" s="38">
        <v>-2.0000000000000399E-4</v>
      </c>
    </row>
    <row r="682" spans="2:7" x14ac:dyDescent="0.2">
      <c r="B682" s="19">
        <v>45369</v>
      </c>
      <c r="C682" s="19">
        <v>45366</v>
      </c>
      <c r="D682" s="38">
        <v>-2.8362104999998808E-5</v>
      </c>
      <c r="E682" s="38">
        <v>7.6234956999998021E-5</v>
      </c>
      <c r="F682" s="38">
        <v>1.5606953700000181E-4</v>
      </c>
      <c r="G682" s="38">
        <v>-9.9999999999999395E-5</v>
      </c>
    </row>
    <row r="683" spans="2:7" x14ac:dyDescent="0.2">
      <c r="B683" s="19">
        <v>45370</v>
      </c>
      <c r="C683" s="19">
        <v>45369</v>
      </c>
      <c r="D683" s="38">
        <v>-2.1597637299999861E-4</v>
      </c>
      <c r="E683" s="38">
        <v>-3.5366792399999653E-4</v>
      </c>
      <c r="F683" s="38">
        <v>-2.5580482199999768E-4</v>
      </c>
      <c r="G683" s="38">
        <v>2.9999999999999818E-4</v>
      </c>
    </row>
    <row r="684" spans="2:7" x14ac:dyDescent="0.2">
      <c r="B684" s="19">
        <v>45371</v>
      </c>
      <c r="C684" s="19">
        <v>45370</v>
      </c>
      <c r="D684" s="38">
        <v>8.8670388999997907E-5</v>
      </c>
      <c r="E684" s="38">
        <v>1.286012400000015E-4</v>
      </c>
      <c r="F684" s="38">
        <v>1.6017444999995301E-5</v>
      </c>
      <c r="G684" s="38">
        <v>0</v>
      </c>
    </row>
    <row r="685" spans="2:7" x14ac:dyDescent="0.2">
      <c r="B685" s="19">
        <v>45372</v>
      </c>
      <c r="C685" s="19">
        <v>45371</v>
      </c>
      <c r="D685" s="38">
        <v>-2.6846842399999918E-4</v>
      </c>
      <c r="E685" s="38">
        <v>-3.457928960000009E-4</v>
      </c>
      <c r="F685" s="38">
        <v>-1.647043799999949E-4</v>
      </c>
      <c r="G685" s="38">
        <v>1.0000000000000291E-4</v>
      </c>
    </row>
    <row r="686" spans="2:7" x14ac:dyDescent="0.2">
      <c r="B686" s="19">
        <v>45373</v>
      </c>
      <c r="C686" s="19">
        <v>45372</v>
      </c>
      <c r="D686" s="38">
        <v>-4.7782224499999868E-4</v>
      </c>
      <c r="E686" s="38">
        <v>-7.6131356600000338E-4</v>
      </c>
      <c r="F686" s="38">
        <v>-9.1908507600000147E-4</v>
      </c>
      <c r="G686" s="38">
        <v>-2.000000000000005E-4</v>
      </c>
    </row>
    <row r="687" spans="2:7" x14ac:dyDescent="0.2">
      <c r="B687" s="19">
        <v>45376</v>
      </c>
      <c r="C687" s="19">
        <v>45373</v>
      </c>
      <c r="D687" s="38">
        <v>2.940623449999985E-4</v>
      </c>
      <c r="E687" s="38">
        <v>5.4801914399999971E-4</v>
      </c>
      <c r="F687" s="38">
        <v>4.8171586799999888E-4</v>
      </c>
      <c r="G687" s="38">
        <v>9.999999999999766E-5</v>
      </c>
    </row>
    <row r="688" spans="2:7" x14ac:dyDescent="0.2">
      <c r="B688" s="19">
        <v>45377</v>
      </c>
      <c r="C688" s="19">
        <v>45376</v>
      </c>
      <c r="D688" s="38">
        <v>1.0380159000001469E-5</v>
      </c>
      <c r="E688" s="38">
        <v>-1.458964989999971E-4</v>
      </c>
      <c r="F688" s="38">
        <v>-2.1025226399999999E-4</v>
      </c>
      <c r="G688" s="38">
        <v>1.0000000000000291E-4</v>
      </c>
    </row>
    <row r="689" spans="2:7" x14ac:dyDescent="0.2">
      <c r="B689" s="19">
        <v>45378</v>
      </c>
      <c r="C689" s="19">
        <v>45377</v>
      </c>
      <c r="D689" s="38">
        <v>-5.0650797200000111E-4</v>
      </c>
      <c r="E689" s="38">
        <v>-6.0701912900000196E-4</v>
      </c>
      <c r="F689" s="38">
        <v>-5.394005380000011E-4</v>
      </c>
      <c r="G689" s="38">
        <v>-2.000000000000005E-4</v>
      </c>
    </row>
    <row r="690" spans="2:7" x14ac:dyDescent="0.2">
      <c r="B690" s="19">
        <v>45379</v>
      </c>
      <c r="C690" s="19">
        <v>45378</v>
      </c>
      <c r="D690" s="38">
        <v>4.1949877999998553E-5</v>
      </c>
      <c r="E690" s="38">
        <v>1.017625130000019E-4</v>
      </c>
      <c r="F690" s="38">
        <v>8.877021400000018E-5</v>
      </c>
      <c r="G690" s="38">
        <v>-1.000000000000011E-4</v>
      </c>
    </row>
    <row r="691" spans="2:7" x14ac:dyDescent="0.2">
      <c r="B691" s="19">
        <v>45384</v>
      </c>
      <c r="C691" s="19">
        <v>45379</v>
      </c>
      <c r="D691" s="38">
        <v>1.8797551300000009E-4</v>
      </c>
      <c r="E691" s="38">
        <v>7.64131533000003E-4</v>
      </c>
      <c r="F691" s="38">
        <v>1.264566344999999E-3</v>
      </c>
      <c r="G691" s="38">
        <v>-1.9999999999999711E-4</v>
      </c>
    </row>
    <row r="692" spans="2:7" x14ac:dyDescent="0.2">
      <c r="B692" s="19">
        <v>45385</v>
      </c>
      <c r="C692" s="19">
        <v>45384</v>
      </c>
      <c r="D692" s="38">
        <v>1.7010503600000179E-4</v>
      </c>
      <c r="E692" s="38">
        <v>5.1740712999997357E-5</v>
      </c>
      <c r="F692" s="38">
        <v>-2.2525624999998609E-5</v>
      </c>
      <c r="G692" s="38">
        <v>-3.0000000000000171E-4</v>
      </c>
    </row>
    <row r="693" spans="2:7" x14ac:dyDescent="0.2">
      <c r="B693" s="19">
        <v>45386</v>
      </c>
      <c r="C693" s="19">
        <v>45385</v>
      </c>
      <c r="D693" s="38">
        <v>-3.1867536400000118E-4</v>
      </c>
      <c r="E693" s="38">
        <v>-5.9493281399999876E-4</v>
      </c>
      <c r="F693" s="38">
        <v>-7.2839242900000004E-4</v>
      </c>
      <c r="G693" s="38">
        <v>-1.0000000000000291E-4</v>
      </c>
    </row>
    <row r="694" spans="2:7" x14ac:dyDescent="0.2">
      <c r="B694" s="19">
        <v>45387</v>
      </c>
      <c r="C694" s="19">
        <v>45386</v>
      </c>
      <c r="D694" s="38">
        <v>2.8293388200000338E-4</v>
      </c>
      <c r="E694" s="38">
        <v>2.7731708599999788E-4</v>
      </c>
      <c r="F694" s="38">
        <v>2.4868084799999768E-4</v>
      </c>
      <c r="G694" s="38">
        <v>-9.999999999999766E-5</v>
      </c>
    </row>
    <row r="695" spans="2:7" x14ac:dyDescent="0.2">
      <c r="B695" s="19">
        <v>45390</v>
      </c>
      <c r="C695" s="19">
        <v>45387</v>
      </c>
      <c r="D695" s="38">
        <v>1.4907724099999869E-4</v>
      </c>
      <c r="E695" s="38">
        <v>5.4154384700000335E-4</v>
      </c>
      <c r="F695" s="38">
        <v>5.6162897900000411E-4</v>
      </c>
      <c r="G695" s="38">
        <v>-4.0000000000000099E-4</v>
      </c>
    </row>
    <row r="696" spans="2:7" x14ac:dyDescent="0.2">
      <c r="B696" s="19">
        <v>45391</v>
      </c>
      <c r="C696" s="19">
        <v>45390</v>
      </c>
      <c r="D696" s="38">
        <v>-8.0869320000023781E-6</v>
      </c>
      <c r="E696" s="38">
        <v>-3.8260618100000379E-4</v>
      </c>
      <c r="F696" s="38">
        <v>-6.014384870000021E-4</v>
      </c>
      <c r="G696" s="38">
        <v>2.000000000000005E-4</v>
      </c>
    </row>
    <row r="697" spans="2:7" x14ac:dyDescent="0.2">
      <c r="B697" s="19">
        <v>45392</v>
      </c>
      <c r="C697" s="19">
        <v>45391</v>
      </c>
      <c r="D697" s="38">
        <v>4.5839121000000252E-4</v>
      </c>
      <c r="E697" s="38">
        <v>4.3018775200000248E-4</v>
      </c>
      <c r="F697" s="38">
        <v>5.176796990000003E-4</v>
      </c>
      <c r="G697" s="38">
        <v>2.000000000000005E-4</v>
      </c>
    </row>
    <row r="698" spans="2:7" x14ac:dyDescent="0.2">
      <c r="B698" s="19">
        <v>45393</v>
      </c>
      <c r="C698" s="19">
        <v>45392</v>
      </c>
      <c r="D698" s="38">
        <v>9.7497290000001652E-5</v>
      </c>
      <c r="E698" s="38">
        <v>2.4557772099999958E-4</v>
      </c>
      <c r="F698" s="38">
        <v>3.7720064099999728E-4</v>
      </c>
      <c r="G698" s="38">
        <v>-1.9999999999999529E-4</v>
      </c>
    </row>
    <row r="699" spans="2:7" x14ac:dyDescent="0.2">
      <c r="B699" s="19">
        <v>45394</v>
      </c>
      <c r="C699" s="19">
        <v>45393</v>
      </c>
      <c r="D699" s="38">
        <v>-9.0914910799999929E-4</v>
      </c>
      <c r="E699" s="38">
        <v>-1.1890731500000041E-3</v>
      </c>
      <c r="F699" s="38">
        <v>-1.147356164999998E-3</v>
      </c>
      <c r="G699" s="38">
        <v>4.9999999999999351E-4</v>
      </c>
    </row>
    <row r="700" spans="2:7" x14ac:dyDescent="0.2">
      <c r="B700" s="19">
        <v>45397</v>
      </c>
      <c r="C700" s="19">
        <v>45394</v>
      </c>
      <c r="D700" s="38">
        <v>2.2370691399999779E-4</v>
      </c>
      <c r="E700" s="38">
        <v>8.0255130500000299E-4</v>
      </c>
      <c r="F700" s="38">
        <v>9.7385758800000097E-4</v>
      </c>
      <c r="G700" s="38">
        <v>2.000000000000005E-4</v>
      </c>
    </row>
    <row r="701" spans="2:7" x14ac:dyDescent="0.2">
      <c r="B701" s="19">
        <v>45398</v>
      </c>
      <c r="C701" s="19">
        <v>45397</v>
      </c>
      <c r="D701" s="38">
        <v>2.6339346199999789E-4</v>
      </c>
      <c r="E701" s="38">
        <v>4.7259000400000009E-4</v>
      </c>
      <c r="F701" s="38">
        <v>6.1133767599999903E-4</v>
      </c>
      <c r="G701" s="38">
        <v>2.000000000000005E-4</v>
      </c>
    </row>
    <row r="702" spans="2:7" x14ac:dyDescent="0.2">
      <c r="B702" s="19">
        <v>45399</v>
      </c>
      <c r="C702" s="19">
        <v>45398</v>
      </c>
      <c r="D702" s="38">
        <v>1.099807860000003E-4</v>
      </c>
      <c r="E702" s="38">
        <v>-4.5161032000001773E-5</v>
      </c>
      <c r="F702" s="38">
        <v>-2.0853084999999941E-4</v>
      </c>
      <c r="G702" s="38">
        <v>1.000000000000011E-4</v>
      </c>
    </row>
    <row r="703" spans="2:7" x14ac:dyDescent="0.2">
      <c r="B703" s="19">
        <v>45400</v>
      </c>
      <c r="C703" s="19">
        <v>45399</v>
      </c>
      <c r="D703" s="38">
        <v>1.3487358700000129E-4</v>
      </c>
      <c r="E703" s="38">
        <v>2.290274600000031E-4</v>
      </c>
      <c r="F703" s="38">
        <v>1.0576995899999959E-4</v>
      </c>
      <c r="G703" s="38">
        <v>-3.4694469519536142E-18</v>
      </c>
    </row>
    <row r="704" spans="2:7" x14ac:dyDescent="0.2">
      <c r="B704" s="19">
        <v>45401</v>
      </c>
      <c r="C704" s="19">
        <v>45400</v>
      </c>
      <c r="D704" s="38">
        <v>3.8573392900000109E-4</v>
      </c>
      <c r="E704" s="38">
        <v>4.0593012399999998E-4</v>
      </c>
      <c r="F704" s="38">
        <v>2.2078483500000129E-4</v>
      </c>
      <c r="G704" s="38">
        <v>1.0000000000000631E-4</v>
      </c>
    </row>
    <row r="705" spans="2:7" x14ac:dyDescent="0.2">
      <c r="B705" s="19">
        <v>45404</v>
      </c>
      <c r="C705" s="19">
        <v>45401</v>
      </c>
      <c r="D705" s="38">
        <v>-3.5028826800000129E-4</v>
      </c>
      <c r="E705" s="38">
        <v>-3.1770478500000102E-4</v>
      </c>
      <c r="F705" s="38">
        <v>-7.8548016000001136E-5</v>
      </c>
      <c r="G705" s="38">
        <v>-4.0000000000000099E-4</v>
      </c>
    </row>
    <row r="706" spans="2:7" x14ac:dyDescent="0.2">
      <c r="B706" s="19">
        <v>45405</v>
      </c>
      <c r="C706" s="19">
        <v>45404</v>
      </c>
      <c r="D706" s="38">
        <v>-6.1047288999999116E-5</v>
      </c>
      <c r="E706" s="38">
        <v>-2.1302830000013979E-6</v>
      </c>
      <c r="F706" s="38">
        <v>-8.0686964999999999E-5</v>
      </c>
      <c r="G706" s="38">
        <v>-1.000000000000011E-4</v>
      </c>
    </row>
    <row r="707" spans="2:7" x14ac:dyDescent="0.2">
      <c r="B707" s="19">
        <v>45406</v>
      </c>
      <c r="C707" s="19">
        <v>45405</v>
      </c>
      <c r="D707" s="38">
        <v>5.4502816099999754E-4</v>
      </c>
      <c r="E707" s="38">
        <v>7.5168203900000119E-4</v>
      </c>
      <c r="F707" s="38">
        <v>8.2622424800000288E-4</v>
      </c>
      <c r="G707" s="38">
        <v>-1.0000000000000291E-4</v>
      </c>
    </row>
    <row r="708" spans="2:7" x14ac:dyDescent="0.2">
      <c r="B708" s="19">
        <v>45407</v>
      </c>
      <c r="C708" s="19">
        <v>45406</v>
      </c>
      <c r="D708" s="38">
        <v>5.2963485300000154E-4</v>
      </c>
      <c r="E708" s="38">
        <v>6.0159038500000317E-4</v>
      </c>
      <c r="F708" s="38">
        <v>5.2926186999999528E-4</v>
      </c>
      <c r="G708" s="38">
        <v>3.4694469519536142E-18</v>
      </c>
    </row>
    <row r="709" spans="2:7" x14ac:dyDescent="0.2">
      <c r="B709" s="19">
        <v>45408</v>
      </c>
      <c r="C709" s="19">
        <v>45407</v>
      </c>
      <c r="D709" s="38">
        <v>-3.5606497999999751E-4</v>
      </c>
      <c r="E709" s="38">
        <v>-5.7026382300000289E-4</v>
      </c>
      <c r="F709" s="38">
        <v>-7.3422224099999739E-4</v>
      </c>
      <c r="G709" s="38">
        <v>9.9999999999999395E-5</v>
      </c>
    </row>
    <row r="710" spans="2:7" x14ac:dyDescent="0.2">
      <c r="B710" s="19">
        <v>45411</v>
      </c>
      <c r="C710" s="19">
        <v>45408</v>
      </c>
      <c r="D710" s="38">
        <v>-2.8845459800000422E-4</v>
      </c>
      <c r="E710" s="38">
        <v>-3.4577184700000299E-4</v>
      </c>
      <c r="F710" s="38">
        <v>-2.9846227500000128E-4</v>
      </c>
      <c r="G710" s="38">
        <v>0</v>
      </c>
    </row>
    <row r="711" spans="2:7" x14ac:dyDescent="0.2">
      <c r="B711" s="19">
        <v>45412</v>
      </c>
      <c r="C711" s="19">
        <v>45411</v>
      </c>
      <c r="D711" s="38">
        <v>7.3903974200000347E-4</v>
      </c>
      <c r="E711" s="38">
        <v>6.8946118299999942E-4</v>
      </c>
      <c r="F711" s="38">
        <v>4.3252033999999911E-4</v>
      </c>
      <c r="G711" s="38">
        <v>-9.9999999999999395E-5</v>
      </c>
    </row>
    <row r="712" spans="2:7" x14ac:dyDescent="0.2">
      <c r="B712" s="19">
        <v>45414</v>
      </c>
      <c r="C712" s="19">
        <v>45412</v>
      </c>
      <c r="D712" s="38">
        <v>-2.7646501399999912E-4</v>
      </c>
      <c r="E712" s="38">
        <v>-2.4833770499999708E-4</v>
      </c>
      <c r="F712" s="38">
        <v>-1.7601723599999791E-4</v>
      </c>
      <c r="G712" s="38">
        <v>2.000000000000005E-4</v>
      </c>
    </row>
    <row r="713" spans="2:7" x14ac:dyDescent="0.2">
      <c r="B713" s="19">
        <v>45415</v>
      </c>
      <c r="C713" s="19">
        <v>45414</v>
      </c>
      <c r="D713" s="38">
        <v>-6.3808813600000139E-4</v>
      </c>
      <c r="E713" s="38">
        <v>-7.426747750000004E-4</v>
      </c>
      <c r="F713" s="38">
        <v>-7.3270696899999793E-4</v>
      </c>
      <c r="G713" s="38">
        <v>-1.000000000000011E-4</v>
      </c>
    </row>
    <row r="714" spans="2:7" x14ac:dyDescent="0.2">
      <c r="B714" s="19">
        <v>45418</v>
      </c>
      <c r="C714" s="19">
        <v>45415</v>
      </c>
      <c r="D714" s="38">
        <v>4.2164718999999212E-5</v>
      </c>
      <c r="E714" s="38">
        <v>-2.2986765900000211E-4</v>
      </c>
      <c r="F714" s="38">
        <v>-3.2288381200000152E-4</v>
      </c>
      <c r="G714" s="38">
        <v>1.9999999999999879E-4</v>
      </c>
    </row>
    <row r="715" spans="2:7" x14ac:dyDescent="0.2">
      <c r="B715" s="19">
        <v>45419</v>
      </c>
      <c r="C715" s="19">
        <v>45418</v>
      </c>
      <c r="D715" s="38">
        <v>-1.063911979999992E-4</v>
      </c>
      <c r="E715" s="38">
        <v>-2.428571759999984E-4</v>
      </c>
      <c r="F715" s="38">
        <v>-3.6729028200000249E-4</v>
      </c>
      <c r="G715" s="38">
        <v>-1.9999999999999879E-4</v>
      </c>
    </row>
    <row r="716" spans="2:7" x14ac:dyDescent="0.2">
      <c r="B716" s="19">
        <v>45420</v>
      </c>
      <c r="C716" s="19">
        <v>45419</v>
      </c>
      <c r="D716" s="38">
        <v>1.6303799799999991E-4</v>
      </c>
      <c r="E716" s="38">
        <v>3.3990026000000131E-4</v>
      </c>
      <c r="F716" s="38">
        <v>3.8604132900000102E-4</v>
      </c>
      <c r="G716" s="38">
        <v>9.999999999999766E-5</v>
      </c>
    </row>
    <row r="717" spans="2:7" x14ac:dyDescent="0.2">
      <c r="B717" s="19">
        <v>45421</v>
      </c>
      <c r="C717" s="19">
        <v>45420</v>
      </c>
      <c r="D717" s="38">
        <v>1.057570449999982E-4</v>
      </c>
      <c r="E717" s="38">
        <v>2.0609489099999989E-4</v>
      </c>
      <c r="F717" s="38">
        <v>3.2928702100000137E-4</v>
      </c>
      <c r="G717" s="38">
        <v>-2.9999999999999818E-4</v>
      </c>
    </row>
    <row r="718" spans="2:7" x14ac:dyDescent="0.2">
      <c r="B718" s="19">
        <v>45422</v>
      </c>
      <c r="C718" s="19">
        <v>45421</v>
      </c>
      <c r="D718" s="38">
        <v>1.8486858899999931E-4</v>
      </c>
      <c r="E718" s="38">
        <v>2.0584428499999949E-4</v>
      </c>
      <c r="F718" s="38">
        <v>1.2257608700000019E-4</v>
      </c>
      <c r="G718" s="38">
        <v>2.000000000000005E-4</v>
      </c>
    </row>
    <row r="719" spans="2:7" x14ac:dyDescent="0.2">
      <c r="B719" s="19">
        <v>45425</v>
      </c>
      <c r="C719" s="19">
        <v>45422</v>
      </c>
      <c r="D719" s="38">
        <v>-1.3730315499999729E-4</v>
      </c>
      <c r="E719" s="38">
        <v>-1.255719409999981E-4</v>
      </c>
      <c r="F719" s="38">
        <v>-6.7939048000002777E-5</v>
      </c>
      <c r="G719" s="38">
        <v>-2.9999999999999818E-4</v>
      </c>
    </row>
    <row r="720" spans="2:7" x14ac:dyDescent="0.2">
      <c r="B720" s="19">
        <v>45426</v>
      </c>
      <c r="C720" s="19">
        <v>45425</v>
      </c>
      <c r="D720" s="38">
        <v>9.0167893999997667E-5</v>
      </c>
      <c r="E720" s="38">
        <v>2.4894263999999938E-4</v>
      </c>
      <c r="F720" s="38">
        <v>3.2955235200000238E-4</v>
      </c>
      <c r="G720" s="38">
        <v>4.9999999999999697E-4</v>
      </c>
    </row>
    <row r="721" spans="2:7" x14ac:dyDescent="0.2">
      <c r="B721" s="19">
        <v>45427</v>
      </c>
      <c r="C721" s="19">
        <v>45426</v>
      </c>
      <c r="D721" s="38">
        <v>-4.5164601000000082E-4</v>
      </c>
      <c r="E721" s="38">
        <v>-8.0177596599999984E-4</v>
      </c>
      <c r="F721" s="38">
        <v>-8.7181714899999679E-4</v>
      </c>
      <c r="G721" s="38">
        <v>9.9999999999999395E-5</v>
      </c>
    </row>
    <row r="722" spans="2:7" x14ac:dyDescent="0.2">
      <c r="B722" s="19">
        <v>45428</v>
      </c>
      <c r="C722" s="19">
        <v>45427</v>
      </c>
      <c r="D722" s="38">
        <v>1.5352375000002999E-5</v>
      </c>
      <c r="E722" s="38">
        <v>1.010584999999974E-4</v>
      </c>
      <c r="F722" s="38">
        <v>6.1822387999996287E-5</v>
      </c>
      <c r="G722" s="38">
        <v>-1.0000000000000291E-4</v>
      </c>
    </row>
    <row r="723" spans="2:7" x14ac:dyDescent="0.2">
      <c r="B723" s="19">
        <v>45429</v>
      </c>
      <c r="C723" s="19">
        <v>45428</v>
      </c>
      <c r="D723" s="38">
        <v>4.2812567600000051E-4</v>
      </c>
      <c r="E723" s="38">
        <v>6.4229688200000482E-4</v>
      </c>
      <c r="F723" s="38">
        <v>6.7711426900000232E-4</v>
      </c>
      <c r="G723" s="38">
        <v>3.4694469519536142E-18</v>
      </c>
    </row>
    <row r="724" spans="2:7" x14ac:dyDescent="0.2">
      <c r="B724" s="19">
        <v>45432</v>
      </c>
      <c r="C724" s="19">
        <v>45429</v>
      </c>
      <c r="D724" s="38">
        <v>-5.810576200000056E-5</v>
      </c>
      <c r="E724" s="38">
        <v>1.196788909999941E-4</v>
      </c>
      <c r="F724" s="38">
        <v>1.9229321399999791E-4</v>
      </c>
      <c r="G724" s="38">
        <v>-1.000000000000011E-4</v>
      </c>
    </row>
    <row r="725" spans="2:7" x14ac:dyDescent="0.2">
      <c r="B725" s="19">
        <v>45433</v>
      </c>
      <c r="C725" s="19">
        <v>45432</v>
      </c>
      <c r="D725" s="38">
        <v>-1.3594258200000031E-4</v>
      </c>
      <c r="E725" s="38">
        <v>-2.354937279999969E-4</v>
      </c>
      <c r="F725" s="38">
        <v>-2.9485091900000038E-4</v>
      </c>
      <c r="G725" s="38">
        <v>1.000000000000011E-4</v>
      </c>
    </row>
    <row r="726" spans="2:7" x14ac:dyDescent="0.2">
      <c r="B726" s="19">
        <v>45434</v>
      </c>
      <c r="C726" s="19">
        <v>45433</v>
      </c>
      <c r="D726" s="38">
        <v>3.4213317900000031E-4</v>
      </c>
      <c r="E726" s="38">
        <v>3.3957602499999981E-4</v>
      </c>
      <c r="F726" s="38">
        <v>3.0455475400000329E-4</v>
      </c>
      <c r="G726" s="38">
        <v>-9.999999999999766E-5</v>
      </c>
    </row>
    <row r="727" spans="2:7" x14ac:dyDescent="0.2">
      <c r="B727" s="19">
        <v>45435</v>
      </c>
      <c r="C727" s="19">
        <v>45434</v>
      </c>
      <c r="D727" s="38">
        <v>4.9309703599999949E-4</v>
      </c>
      <c r="E727" s="38">
        <v>7.3386010299999679E-4</v>
      </c>
      <c r="F727" s="38">
        <v>4.8313785999999642E-4</v>
      </c>
      <c r="G727" s="38">
        <v>-2.0000000000000399E-4</v>
      </c>
    </row>
    <row r="728" spans="2:7" x14ac:dyDescent="0.2">
      <c r="B728" s="19">
        <v>45436</v>
      </c>
      <c r="C728" s="19">
        <v>45435</v>
      </c>
      <c r="D728" s="38">
        <v>3.0266427400000093E-4</v>
      </c>
      <c r="E728" s="38">
        <v>1.8442047400000361E-4</v>
      </c>
      <c r="F728" s="38">
        <v>1.02562534000001E-4</v>
      </c>
      <c r="G728" s="38">
        <v>3.0000000000000171E-4</v>
      </c>
    </row>
    <row r="729" spans="2:7" x14ac:dyDescent="0.2">
      <c r="B729" s="19">
        <v>45439</v>
      </c>
      <c r="C729" s="19">
        <v>45436</v>
      </c>
      <c r="D729" s="38">
        <v>-5.9360096400000451E-4</v>
      </c>
      <c r="E729" s="38">
        <v>-6.2705205299999969E-4</v>
      </c>
      <c r="F729" s="38">
        <v>-5.3916247300000303E-4</v>
      </c>
      <c r="G729" s="38">
        <v>-1.9999999999999879E-4</v>
      </c>
    </row>
    <row r="730" spans="2:7" x14ac:dyDescent="0.2">
      <c r="B730" s="19">
        <v>45440</v>
      </c>
      <c r="C730" s="19">
        <v>45439</v>
      </c>
      <c r="D730" s="38">
        <v>-1.2366036999996581E-5</v>
      </c>
      <c r="E730" s="38">
        <v>1.5076896899999731E-4</v>
      </c>
      <c r="F730" s="38">
        <v>2.6324281700000271E-4</v>
      </c>
      <c r="G730" s="38">
        <v>-1.0000000000000291E-4</v>
      </c>
    </row>
    <row r="731" spans="2:7" x14ac:dyDescent="0.2">
      <c r="B731" s="19">
        <v>45441</v>
      </c>
      <c r="C731" s="19">
        <v>45440</v>
      </c>
      <c r="D731" s="38">
        <v>5.4734955099999816E-4</v>
      </c>
      <c r="E731" s="38">
        <v>7.5103791800000194E-4</v>
      </c>
      <c r="F731" s="38">
        <v>9.4502143199999902E-4</v>
      </c>
      <c r="G731" s="38">
        <v>1.0000000000000291E-4</v>
      </c>
    </row>
    <row r="732" spans="2:7" x14ac:dyDescent="0.2">
      <c r="B732" s="19">
        <v>45442</v>
      </c>
      <c r="C732" s="19">
        <v>45441</v>
      </c>
      <c r="D732" s="38">
        <v>-1.02662513E-4</v>
      </c>
      <c r="E732" s="38">
        <v>4.1679212000000222E-5</v>
      </c>
      <c r="F732" s="38">
        <v>1.8098257300000131E-4</v>
      </c>
      <c r="G732" s="38">
        <v>-2.000000000000005E-4</v>
      </c>
    </row>
    <row r="733" spans="2:7" x14ac:dyDescent="0.2">
      <c r="B733" s="19">
        <v>45443</v>
      </c>
      <c r="C733" s="19">
        <v>45442</v>
      </c>
      <c r="D733" s="38">
        <v>2.3770797000000069E-5</v>
      </c>
      <c r="E733" s="38">
        <v>-1.914394879999996E-4</v>
      </c>
      <c r="F733" s="38">
        <v>-3.5863808500000149E-4</v>
      </c>
      <c r="G733" s="38">
        <v>-2.000000000000005E-4</v>
      </c>
    </row>
    <row r="734" spans="2:7" x14ac:dyDescent="0.2">
      <c r="B734" s="19">
        <v>45446</v>
      </c>
      <c r="C734" s="19">
        <v>45443</v>
      </c>
      <c r="D734" s="38">
        <v>-4.1362527100000102E-4</v>
      </c>
      <c r="E734" s="38">
        <v>-4.3162860500000141E-4</v>
      </c>
      <c r="F734" s="38">
        <v>-4.0075756099999799E-4</v>
      </c>
      <c r="G734" s="38">
        <v>5.0000000000000218E-4</v>
      </c>
    </row>
    <row r="735" spans="2:7" x14ac:dyDescent="0.2">
      <c r="B735" s="19">
        <v>45447</v>
      </c>
      <c r="C735" s="19">
        <v>45446</v>
      </c>
      <c r="D735" s="38">
        <v>-5.0221527999999918E-4</v>
      </c>
      <c r="E735" s="38">
        <v>-5.7449813900000216E-4</v>
      </c>
      <c r="F735" s="38">
        <v>-6.4047617099999982E-4</v>
      </c>
      <c r="G735" s="38">
        <v>2.000000000000005E-4</v>
      </c>
    </row>
    <row r="736" spans="2:7" x14ac:dyDescent="0.2">
      <c r="B736" s="19">
        <v>45448</v>
      </c>
      <c r="C736" s="19">
        <v>45447</v>
      </c>
      <c r="D736" s="38">
        <v>7.7966768000002629E-5</v>
      </c>
      <c r="E736" s="38">
        <v>-1.86042224E-4</v>
      </c>
      <c r="F736" s="38">
        <v>-2.9828155500000181E-4</v>
      </c>
      <c r="G736" s="38">
        <v>-2.000000000000005E-4</v>
      </c>
    </row>
    <row r="737" spans="2:7" x14ac:dyDescent="0.2">
      <c r="B737" s="19">
        <v>45449</v>
      </c>
      <c r="C737" s="19">
        <v>45448</v>
      </c>
      <c r="D737" s="38">
        <v>3.0875728299999822E-4</v>
      </c>
      <c r="E737" s="38">
        <v>5.8715891600000583E-4</v>
      </c>
      <c r="F737" s="38">
        <v>5.4206809000000022E-4</v>
      </c>
      <c r="G737" s="38">
        <v>2.000000000000005E-4</v>
      </c>
    </row>
    <row r="738" spans="2:7" x14ac:dyDescent="0.2">
      <c r="B738" s="19">
        <v>45450</v>
      </c>
      <c r="C738" s="19">
        <v>45449</v>
      </c>
      <c r="D738" s="38">
        <v>5.6682044399999909E-4</v>
      </c>
      <c r="E738" s="38">
        <v>7.0089045699999603E-4</v>
      </c>
      <c r="F738" s="38">
        <v>6.4958209700000102E-4</v>
      </c>
      <c r="G738" s="38">
        <v>-2.0000000000000399E-4</v>
      </c>
    </row>
    <row r="739" spans="2:7" x14ac:dyDescent="0.2">
      <c r="B739" s="19">
        <v>45453</v>
      </c>
      <c r="C739" s="19">
        <v>45450</v>
      </c>
      <c r="D739" s="38">
        <v>-3.9518228999998323E-5</v>
      </c>
      <c r="E739" s="38">
        <v>2.0045851700000239E-4</v>
      </c>
      <c r="F739" s="38">
        <v>5.1746214300000051E-4</v>
      </c>
      <c r="G739" s="38">
        <v>2.000000000000005E-4</v>
      </c>
    </row>
    <row r="740" spans="2:7" x14ac:dyDescent="0.2">
      <c r="B740" s="19">
        <v>45454</v>
      </c>
      <c r="C740" s="19">
        <v>45453</v>
      </c>
      <c r="D740" s="38">
        <v>-5.5711600300000289E-4</v>
      </c>
      <c r="E740" s="38">
        <v>-5.468794129999989E-4</v>
      </c>
      <c r="F740" s="38">
        <v>-3.1011185500000321E-4</v>
      </c>
      <c r="G740" s="38">
        <v>-9.9999999999999395E-5</v>
      </c>
    </row>
    <row r="741" spans="2:7" x14ac:dyDescent="0.2">
      <c r="B741" s="19">
        <v>45455</v>
      </c>
      <c r="C741" s="19">
        <v>45454</v>
      </c>
      <c r="D741" s="38">
        <v>-3.5301078399999769E-4</v>
      </c>
      <c r="E741" s="38">
        <v>-8.2210322000000197E-4</v>
      </c>
      <c r="F741" s="38">
        <v>-1.107136130999997E-3</v>
      </c>
      <c r="G741" s="38">
        <v>2.000000000000005E-4</v>
      </c>
    </row>
    <row r="742" spans="2:7" x14ac:dyDescent="0.2">
      <c r="B742" s="19">
        <v>45456</v>
      </c>
      <c r="C742" s="19">
        <v>45455</v>
      </c>
      <c r="D742" s="38">
        <v>-2.945383359999991E-4</v>
      </c>
      <c r="E742" s="38">
        <v>-1.8228382099999901E-4</v>
      </c>
      <c r="F742" s="38">
        <v>-1.127394070000003E-4</v>
      </c>
      <c r="G742" s="38">
        <v>-9.999999999999766E-5</v>
      </c>
    </row>
    <row r="743" spans="2:7" x14ac:dyDescent="0.2">
      <c r="B743" s="19">
        <v>45457</v>
      </c>
      <c r="C743" s="19">
        <v>45456</v>
      </c>
      <c r="D743" s="38">
        <v>-1.359546837E-3</v>
      </c>
      <c r="E743" s="38">
        <v>-1.7850088839999991E-3</v>
      </c>
      <c r="F743" s="38">
        <v>-1.7683238999999999E-3</v>
      </c>
      <c r="G743" s="38">
        <v>6.9999999999999923E-4</v>
      </c>
    </row>
    <row r="744" spans="2:7" x14ac:dyDescent="0.2">
      <c r="B744" s="19">
        <v>45460</v>
      </c>
      <c r="C744" s="19">
        <v>45457</v>
      </c>
      <c r="D744" s="38">
        <v>2.870791909999997E-4</v>
      </c>
      <c r="E744" s="38">
        <v>6.6400705099999707E-4</v>
      </c>
      <c r="F744" s="38">
        <v>7.8716301399999952E-4</v>
      </c>
      <c r="G744" s="38">
        <v>4.9999999999999697E-4</v>
      </c>
    </row>
    <row r="745" spans="2:7" x14ac:dyDescent="0.2">
      <c r="B745" s="19">
        <v>45461</v>
      </c>
      <c r="C745" s="19">
        <v>45460</v>
      </c>
      <c r="D745" s="38">
        <v>2.4084414000001549E-5</v>
      </c>
      <c r="E745" s="38">
        <v>-4.2894383999996649E-5</v>
      </c>
      <c r="F745" s="38">
        <v>-1.118275259999989E-4</v>
      </c>
      <c r="G745" s="38">
        <v>0</v>
      </c>
    </row>
    <row r="746" spans="2:7" x14ac:dyDescent="0.2">
      <c r="B746" s="19">
        <v>45462</v>
      </c>
      <c r="C746" s="19">
        <v>45461</v>
      </c>
      <c r="D746" s="38">
        <v>1.6977242899999731E-4</v>
      </c>
      <c r="E746" s="38">
        <v>7.4182630999997806E-5</v>
      </c>
      <c r="F746" s="38">
        <v>-7.2855940000011998E-6</v>
      </c>
      <c r="G746" s="38">
        <v>0</v>
      </c>
    </row>
    <row r="747" spans="2:7" x14ac:dyDescent="0.2">
      <c r="B747" s="19">
        <v>45463</v>
      </c>
      <c r="C747" s="19">
        <v>45462</v>
      </c>
      <c r="D747" s="38">
        <v>5.2838706000001012E-5</v>
      </c>
      <c r="E747" s="38">
        <v>3.1365075299999781E-4</v>
      </c>
      <c r="F747" s="38">
        <v>3.3900438300000021E-4</v>
      </c>
      <c r="G747" s="38">
        <v>-2.9999999999999818E-4</v>
      </c>
    </row>
    <row r="748" spans="2:7" x14ac:dyDescent="0.2">
      <c r="B748" s="19">
        <v>45464</v>
      </c>
      <c r="C748" s="19">
        <v>45463</v>
      </c>
      <c r="D748" s="38">
        <v>-4.8621998999999819E-4</v>
      </c>
      <c r="E748" s="38">
        <v>-6.3480270099999792E-4</v>
      </c>
      <c r="F748" s="38">
        <v>-5.9216756699999665E-4</v>
      </c>
      <c r="G748" s="38">
        <v>2.9999999999999818E-4</v>
      </c>
    </row>
    <row r="749" spans="2:7" x14ac:dyDescent="0.2">
      <c r="B749" s="19">
        <v>45467</v>
      </c>
      <c r="C749" s="19">
        <v>45464</v>
      </c>
      <c r="D749" s="38">
        <v>3.983144439999968E-4</v>
      </c>
      <c r="E749" s="38">
        <v>3.464485689999991E-4</v>
      </c>
      <c r="F749" s="38">
        <v>2.8905674399999642E-4</v>
      </c>
      <c r="G749" s="38">
        <v>-4.9999999999999697E-4</v>
      </c>
    </row>
    <row r="750" spans="2:7" x14ac:dyDescent="0.2">
      <c r="B750" s="19">
        <v>45468</v>
      </c>
      <c r="C750" s="19">
        <v>45467</v>
      </c>
      <c r="D750" s="38">
        <v>-8.100539799999959E-5</v>
      </c>
      <c r="E750" s="38">
        <v>-2.3082779199999631E-4</v>
      </c>
      <c r="F750" s="38">
        <v>-3.5299247499999761E-4</v>
      </c>
      <c r="G750" s="38">
        <v>-3.0000000000000339E-4</v>
      </c>
    </row>
    <row r="751" spans="2:7" x14ac:dyDescent="0.2">
      <c r="B751" s="19">
        <v>45469</v>
      </c>
      <c r="C751" s="19">
        <v>45468</v>
      </c>
      <c r="D751" s="38">
        <v>8.4214252999998546E-5</v>
      </c>
      <c r="E751" s="38">
        <v>3.3158979499999999E-4</v>
      </c>
      <c r="F751" s="38">
        <v>4.4978035799999802E-4</v>
      </c>
      <c r="G751" s="38">
        <v>1.0000000000000291E-4</v>
      </c>
    </row>
    <row r="752" spans="2:7" x14ac:dyDescent="0.2">
      <c r="B752" s="19">
        <v>45470</v>
      </c>
      <c r="C752" s="19">
        <v>45469</v>
      </c>
      <c r="D752" s="38">
        <v>1.9325963000003249E-5</v>
      </c>
      <c r="E752" s="38">
        <v>4.4389584999995207E-5</v>
      </c>
      <c r="F752" s="38">
        <v>7.6217350000011563E-6</v>
      </c>
      <c r="G752" s="38">
        <v>0</v>
      </c>
    </row>
    <row r="753" spans="2:7" x14ac:dyDescent="0.2">
      <c r="B753" s="19">
        <v>45471</v>
      </c>
      <c r="C753" s="19">
        <v>45470</v>
      </c>
      <c r="D753" s="38">
        <v>-1.021552239999987E-4</v>
      </c>
      <c r="E753" s="38">
        <v>-1.6620599000000819E-5</v>
      </c>
      <c r="F753" s="38">
        <v>1.23880463999998E-4</v>
      </c>
      <c r="G753" s="38">
        <v>-1.0000000000000291E-4</v>
      </c>
    </row>
    <row r="754" spans="2:7" x14ac:dyDescent="0.2">
      <c r="B754" s="19">
        <v>45474</v>
      </c>
      <c r="C754" s="19">
        <v>45471</v>
      </c>
      <c r="D754" s="38">
        <v>7.4474061499999605E-4</v>
      </c>
      <c r="E754" s="38">
        <v>1.186481448000005E-3</v>
      </c>
      <c r="F754" s="38">
        <v>1.332061533000001E-3</v>
      </c>
      <c r="G754" s="38">
        <v>-4.9999999999999871E-4</v>
      </c>
    </row>
    <row r="755" spans="2:7" x14ac:dyDescent="0.2">
      <c r="B755" s="19">
        <v>45475</v>
      </c>
      <c r="C755" s="19">
        <v>45474</v>
      </c>
      <c r="D755" s="38">
        <v>1.110863240000003E-4</v>
      </c>
      <c r="E755" s="38">
        <v>-3.8561300000350412E-7</v>
      </c>
      <c r="F755" s="38">
        <v>-9.3986300999999994E-5</v>
      </c>
      <c r="G755" s="38">
        <v>0</v>
      </c>
    </row>
    <row r="756" spans="2:7" x14ac:dyDescent="0.2">
      <c r="B756" s="19">
        <v>45476</v>
      </c>
      <c r="C756" s="19">
        <v>45475</v>
      </c>
      <c r="D756" s="38">
        <v>1.6754578400000189E-4</v>
      </c>
      <c r="E756" s="38">
        <v>7.4944678000000292E-5</v>
      </c>
      <c r="F756" s="38">
        <v>2.176178300000026E-5</v>
      </c>
      <c r="G756" s="38">
        <v>-1.9999999999999879E-4</v>
      </c>
    </row>
    <row r="757" spans="2:7" x14ac:dyDescent="0.2">
      <c r="B757" s="19">
        <v>45477</v>
      </c>
      <c r="C757" s="19">
        <v>45476</v>
      </c>
      <c r="D757" s="38">
        <v>-7.5746627000002065E-5</v>
      </c>
      <c r="E757" s="38">
        <v>1.067948400000282E-5</v>
      </c>
      <c r="F757" s="38">
        <v>-4.1570115999998991E-5</v>
      </c>
      <c r="G757" s="38">
        <v>-9.9999999999999395E-5</v>
      </c>
    </row>
    <row r="758" spans="2:7" x14ac:dyDescent="0.2">
      <c r="B758" s="19">
        <v>45478</v>
      </c>
      <c r="C758" s="19">
        <v>45477</v>
      </c>
      <c r="D758" s="38">
        <v>-1.9896440399999599E-4</v>
      </c>
      <c r="E758" s="38">
        <v>-2.5144091100000321E-4</v>
      </c>
      <c r="F758" s="38">
        <v>-2.4053769599999969E-4</v>
      </c>
      <c r="G758" s="38">
        <v>-1.000000000000011E-4</v>
      </c>
    </row>
    <row r="759" spans="2:7" x14ac:dyDescent="0.2">
      <c r="B759" s="19">
        <v>45481</v>
      </c>
      <c r="C759" s="19">
        <v>45478</v>
      </c>
      <c r="D759" s="38">
        <v>-3.0525629800000342E-4</v>
      </c>
      <c r="E759" s="38">
        <v>-3.4719099400000111E-4</v>
      </c>
      <c r="F759" s="38">
        <v>-2.8960853600000161E-4</v>
      </c>
      <c r="G759" s="38">
        <v>-9.999999999999766E-5</v>
      </c>
    </row>
    <row r="760" spans="2:7" x14ac:dyDescent="0.2">
      <c r="B760" s="19">
        <v>45482</v>
      </c>
      <c r="C760" s="19">
        <v>45481</v>
      </c>
      <c r="D760" s="38">
        <v>1.7858234200000481E-4</v>
      </c>
      <c r="E760" s="38">
        <v>2.3285928900000291E-4</v>
      </c>
      <c r="F760" s="38">
        <v>2.3421931200000301E-4</v>
      </c>
      <c r="G760" s="38">
        <v>-1.0000000000000291E-4</v>
      </c>
    </row>
    <row r="761" spans="2:7" x14ac:dyDescent="0.2">
      <c r="B761" s="19">
        <v>45483</v>
      </c>
      <c r="C761" s="19">
        <v>45482</v>
      </c>
      <c r="D761" s="38">
        <v>-3.1250084000001427E-5</v>
      </c>
      <c r="E761" s="38">
        <v>-2.617058470000024E-4</v>
      </c>
      <c r="F761" s="38">
        <v>-3.7072242400000571E-4</v>
      </c>
      <c r="G761" s="38">
        <v>9.999999999999766E-5</v>
      </c>
    </row>
    <row r="762" spans="2:7" x14ac:dyDescent="0.2">
      <c r="B762" s="19">
        <v>45484</v>
      </c>
      <c r="C762" s="19">
        <v>45483</v>
      </c>
      <c r="D762" s="38">
        <v>-6.3754664000000363E-4</v>
      </c>
      <c r="E762" s="38">
        <v>-7.3502416499999709E-4</v>
      </c>
      <c r="F762" s="38">
        <v>-5.8961924299999469E-4</v>
      </c>
      <c r="G762" s="38">
        <v>-9.999999999999766E-5</v>
      </c>
    </row>
    <row r="763" spans="2:7" x14ac:dyDescent="0.2">
      <c r="B763" s="19">
        <v>45485</v>
      </c>
      <c r="C763" s="19">
        <v>45484</v>
      </c>
      <c r="D763" s="38">
        <v>3.6333704300000122E-4</v>
      </c>
      <c r="E763" s="38">
        <v>2.7154474700000208E-4</v>
      </c>
      <c r="F763" s="38">
        <v>1.8678989099999571E-4</v>
      </c>
      <c r="G763" s="38">
        <v>5.2041704279304213E-18</v>
      </c>
    </row>
    <row r="764" spans="2:7" x14ac:dyDescent="0.2">
      <c r="B764" s="19">
        <v>45488</v>
      </c>
      <c r="C764" s="19">
        <v>45485</v>
      </c>
      <c r="D764" s="38">
        <v>-5.5558187299999812E-4</v>
      </c>
      <c r="E764" s="38">
        <v>-3.1009546600000581E-4</v>
      </c>
      <c r="F764" s="38">
        <v>-2.7855373999997879E-5</v>
      </c>
      <c r="G764" s="38">
        <v>3.9999999999999579E-4</v>
      </c>
    </row>
    <row r="765" spans="2:7" x14ac:dyDescent="0.2">
      <c r="B765" s="19">
        <v>45489</v>
      </c>
      <c r="C765" s="19">
        <v>45488</v>
      </c>
      <c r="D765" s="38">
        <v>-1.39869677000002E-4</v>
      </c>
      <c r="E765" s="38">
        <v>-3.7076857399999733E-4</v>
      </c>
      <c r="F765" s="38">
        <v>-4.9486933199999888E-4</v>
      </c>
      <c r="G765" s="38">
        <v>-2.000000000000005E-4</v>
      </c>
    </row>
    <row r="766" spans="2:7" x14ac:dyDescent="0.2">
      <c r="B766" s="19">
        <v>45490</v>
      </c>
      <c r="C766" s="19">
        <v>45489</v>
      </c>
      <c r="D766" s="38">
        <v>1.1495206000002031E-5</v>
      </c>
      <c r="E766" s="38">
        <v>-3.3505768999998742E-5</v>
      </c>
      <c r="F766" s="38">
        <v>-3.2198308999999842E-5</v>
      </c>
      <c r="G766" s="38">
        <v>2.9999999999999818E-4</v>
      </c>
    </row>
    <row r="767" spans="2:7" x14ac:dyDescent="0.2">
      <c r="B767" s="19">
        <v>45491</v>
      </c>
      <c r="C767" s="19">
        <v>45490</v>
      </c>
      <c r="D767" s="38">
        <v>-1.694073420000046E-4</v>
      </c>
      <c r="E767" s="38">
        <v>-2.6434333700000098E-4</v>
      </c>
      <c r="F767" s="38">
        <v>-2.4545205399999909E-4</v>
      </c>
      <c r="G767" s="38">
        <v>-1.9999999999999711E-4</v>
      </c>
    </row>
    <row r="768" spans="2:7" x14ac:dyDescent="0.2">
      <c r="B768" s="19">
        <v>45492</v>
      </c>
      <c r="C768" s="19">
        <v>45491</v>
      </c>
      <c r="D768" s="38">
        <v>2.2421144800000009E-4</v>
      </c>
      <c r="E768" s="38">
        <v>4.4604496100000141E-4</v>
      </c>
      <c r="F768" s="38">
        <v>5.9803789499999691E-4</v>
      </c>
      <c r="G768" s="38">
        <v>9.9999999999999395E-5</v>
      </c>
    </row>
    <row r="769" spans="2:7" x14ac:dyDescent="0.2">
      <c r="B769" s="19">
        <v>45495</v>
      </c>
      <c r="C769" s="19">
        <v>45492</v>
      </c>
      <c r="D769" s="38">
        <v>-1.4316968999995161E-5</v>
      </c>
      <c r="E769" s="38">
        <v>1.08315314999996E-4</v>
      </c>
      <c r="F769" s="38">
        <v>1.39879946000003E-4</v>
      </c>
      <c r="G769" s="38">
        <v>-4.0000000000000099E-4</v>
      </c>
    </row>
    <row r="770" spans="2:7" x14ac:dyDescent="0.2">
      <c r="B770" s="19">
        <v>45496</v>
      </c>
      <c r="C770" s="19">
        <v>45495</v>
      </c>
      <c r="D770" s="38">
        <v>-1.27702971000003E-4</v>
      </c>
      <c r="E770" s="38">
        <v>-3.5994771700000039E-4</v>
      </c>
      <c r="F770" s="38">
        <v>-3.284940900000026E-4</v>
      </c>
      <c r="G770" s="38">
        <v>2.000000000000005E-4</v>
      </c>
    </row>
    <row r="771" spans="2:7" x14ac:dyDescent="0.2">
      <c r="B771" s="19">
        <v>45497</v>
      </c>
      <c r="C771" s="19">
        <v>45496</v>
      </c>
      <c r="D771" s="38">
        <v>-3.2516749299999972E-4</v>
      </c>
      <c r="E771" s="38">
        <v>-3.0302691699999809E-4</v>
      </c>
      <c r="F771" s="38">
        <v>-6.1833169000002214E-5</v>
      </c>
      <c r="G771" s="38">
        <v>1.000000000000011E-4</v>
      </c>
    </row>
    <row r="772" spans="2:7" x14ac:dyDescent="0.2">
      <c r="B772" s="19">
        <v>45498</v>
      </c>
      <c r="C772" s="19">
        <v>45497</v>
      </c>
      <c r="D772" s="38">
        <v>-1.8639079199999839E-4</v>
      </c>
      <c r="E772" s="38">
        <v>-3.6657031399999618E-4</v>
      </c>
      <c r="F772" s="38">
        <v>-3.7603029899999432E-4</v>
      </c>
      <c r="G772" s="38">
        <v>9.9999999999999395E-5</v>
      </c>
    </row>
    <row r="773" spans="2:7" x14ac:dyDescent="0.2">
      <c r="B773" s="19">
        <v>45499</v>
      </c>
      <c r="C773" s="19">
        <v>45498</v>
      </c>
      <c r="D773" s="38">
        <v>-1.212598570000008E-4</v>
      </c>
      <c r="E773" s="38">
        <v>-1.5885547000001051E-5</v>
      </c>
      <c r="F773" s="38">
        <v>-9.3618443000004908E-5</v>
      </c>
      <c r="G773" s="38">
        <v>-9.9999999999999395E-5</v>
      </c>
    </row>
    <row r="774" spans="2:7" x14ac:dyDescent="0.2">
      <c r="B774" s="19">
        <v>45502</v>
      </c>
      <c r="C774" s="19">
        <v>45499</v>
      </c>
      <c r="D774" s="38">
        <v>-2.1728666700000091E-4</v>
      </c>
      <c r="E774" s="38">
        <v>-1.3925700000000371E-4</v>
      </c>
      <c r="F774" s="38">
        <v>-3.4916459599999838E-4</v>
      </c>
      <c r="G774" s="38">
        <v>2.9999999999999818E-4</v>
      </c>
    </row>
    <row r="775" spans="2:7" x14ac:dyDescent="0.2">
      <c r="B775" s="19">
        <v>45503</v>
      </c>
      <c r="C775" s="19">
        <v>45502</v>
      </c>
      <c r="D775" s="38">
        <v>-5.7906207199999796E-4</v>
      </c>
      <c r="E775" s="38">
        <v>-6.2885647599999692E-4</v>
      </c>
      <c r="F775" s="38">
        <v>-3.5141440299999918E-4</v>
      </c>
      <c r="G775" s="38">
        <v>-1.9999999999999879E-4</v>
      </c>
    </row>
    <row r="776" spans="2:7" x14ac:dyDescent="0.2">
      <c r="B776" s="19">
        <v>45504</v>
      </c>
      <c r="C776" s="19">
        <v>45503</v>
      </c>
      <c r="D776" s="38">
        <v>-2.8774432300000119E-4</v>
      </c>
      <c r="E776" s="38">
        <v>-3.0015582900000051E-4</v>
      </c>
      <c r="F776" s="38">
        <v>-2.5417963800000032E-4</v>
      </c>
      <c r="G776" s="38">
        <v>0</v>
      </c>
    </row>
    <row r="777" spans="2:7" x14ac:dyDescent="0.2">
      <c r="B777" s="19">
        <v>45505</v>
      </c>
      <c r="C777" s="19">
        <v>45504</v>
      </c>
      <c r="D777" s="38">
        <v>-2.1542423299999999E-4</v>
      </c>
      <c r="E777" s="38">
        <v>-4.5767968299999928E-4</v>
      </c>
      <c r="F777" s="38">
        <v>-4.7639058499999651E-4</v>
      </c>
      <c r="G777" s="38">
        <v>1.000000000000011E-4</v>
      </c>
    </row>
    <row r="778" spans="2:7" x14ac:dyDescent="0.2">
      <c r="B778" s="19">
        <v>45506</v>
      </c>
      <c r="C778" s="19">
        <v>45505</v>
      </c>
      <c r="D778" s="38">
        <v>-9.0104410499999843E-4</v>
      </c>
      <c r="E778" s="38">
        <v>-9.1512811200000418E-4</v>
      </c>
      <c r="F778" s="38">
        <v>-8.4462311300000439E-4</v>
      </c>
      <c r="G778" s="38">
        <v>4.9999999999999351E-4</v>
      </c>
    </row>
    <row r="779" spans="2:7" x14ac:dyDescent="0.2">
      <c r="B779" s="19">
        <v>45509</v>
      </c>
      <c r="C779" s="19">
        <v>45506</v>
      </c>
      <c r="D779" s="38">
        <v>-1.6101990330000019E-3</v>
      </c>
      <c r="E779" s="38">
        <v>-5.1439282799999736E-4</v>
      </c>
      <c r="F779" s="38">
        <v>3.8552978399999938E-4</v>
      </c>
      <c r="G779" s="38">
        <v>1.3000000000000041E-3</v>
      </c>
    </row>
    <row r="780" spans="2:7" x14ac:dyDescent="0.2">
      <c r="B780" s="19">
        <v>45510</v>
      </c>
      <c r="C780" s="19">
        <v>45509</v>
      </c>
      <c r="D780" s="38">
        <v>2.7094045900000202E-4</v>
      </c>
      <c r="E780" s="38">
        <v>3.9756722800000232E-4</v>
      </c>
      <c r="F780" s="38">
        <v>2.441022470000033E-4</v>
      </c>
      <c r="G780" s="38">
        <v>4.0000000000000099E-4</v>
      </c>
    </row>
    <row r="781" spans="2:7" x14ac:dyDescent="0.2">
      <c r="B781" s="19">
        <v>45511</v>
      </c>
      <c r="C781" s="19">
        <v>45510</v>
      </c>
      <c r="D781" s="38">
        <v>8.6941531599999886E-4</v>
      </c>
      <c r="E781" s="38">
        <v>9.8565619700000107E-4</v>
      </c>
      <c r="F781" s="38">
        <v>1.0528158019999961E-3</v>
      </c>
      <c r="G781" s="38">
        <v>-8.9999999999999976E-4</v>
      </c>
    </row>
    <row r="782" spans="2:7" x14ac:dyDescent="0.2">
      <c r="B782" s="19">
        <v>45512</v>
      </c>
      <c r="C782" s="19">
        <v>45511</v>
      </c>
      <c r="D782" s="38">
        <v>7.7539788999998749E-5</v>
      </c>
      <c r="E782" s="38">
        <v>-1.2751411700000209E-4</v>
      </c>
      <c r="F782" s="38">
        <v>-2.0669017999998259E-5</v>
      </c>
      <c r="G782" s="38">
        <v>2.000000000000005E-4</v>
      </c>
    </row>
    <row r="783" spans="2:7" x14ac:dyDescent="0.2">
      <c r="B783" s="19">
        <v>45513</v>
      </c>
      <c r="C783" s="19">
        <v>45512</v>
      </c>
      <c r="D783" s="38">
        <v>-3.1128706399999659E-4</v>
      </c>
      <c r="E783" s="38">
        <v>-3.7737263399999921E-4</v>
      </c>
      <c r="F783" s="38">
        <v>-4.5178655300000259E-4</v>
      </c>
      <c r="G783" s="38">
        <v>-3.0000000000000171E-4</v>
      </c>
    </row>
    <row r="784" spans="2:7" x14ac:dyDescent="0.2">
      <c r="B784" s="19">
        <v>45516</v>
      </c>
      <c r="C784" s="19">
        <v>45513</v>
      </c>
      <c r="D784" s="38">
        <v>1.6340200999994531E-5</v>
      </c>
      <c r="E784" s="38">
        <v>5.5760820999995603E-5</v>
      </c>
      <c r="F784" s="38">
        <v>9.1783277999999552E-5</v>
      </c>
      <c r="G784" s="38">
        <v>1.000000000000011E-4</v>
      </c>
    </row>
    <row r="785" spans="2:7" x14ac:dyDescent="0.2">
      <c r="B785" s="19">
        <v>45517</v>
      </c>
      <c r="C785" s="19">
        <v>45516</v>
      </c>
      <c r="D785" s="38">
        <v>-3.3616855299999429E-4</v>
      </c>
      <c r="E785" s="38">
        <v>-3.7192576399999727E-4</v>
      </c>
      <c r="F785" s="38">
        <v>-3.4457378899999808E-4</v>
      </c>
      <c r="G785" s="38">
        <v>-1.000000000000011E-4</v>
      </c>
    </row>
    <row r="786" spans="2:7" x14ac:dyDescent="0.2">
      <c r="B786" s="19">
        <v>45518</v>
      </c>
      <c r="C786" s="19">
        <v>45517</v>
      </c>
      <c r="D786" s="38">
        <v>-3.127628200000343E-5</v>
      </c>
      <c r="E786" s="38">
        <v>-2.290770800000147E-5</v>
      </c>
      <c r="F786" s="38">
        <v>-7.3680395999999732E-5</v>
      </c>
      <c r="G786" s="38">
        <v>0</v>
      </c>
    </row>
    <row r="787" spans="2:7" x14ac:dyDescent="0.2">
      <c r="B787" s="19">
        <v>45519</v>
      </c>
      <c r="C787" s="19">
        <v>45518</v>
      </c>
      <c r="D787" s="38">
        <v>7.4721544500000112E-4</v>
      </c>
      <c r="E787" s="38">
        <v>8.132518130000016E-4</v>
      </c>
      <c r="F787" s="38">
        <v>6.6813335400000076E-4</v>
      </c>
      <c r="G787" s="38">
        <v>-1.0000000000000291E-4</v>
      </c>
    </row>
    <row r="788" spans="2:7" x14ac:dyDescent="0.2">
      <c r="B788" s="19">
        <v>45520</v>
      </c>
      <c r="C788" s="19">
        <v>45519</v>
      </c>
      <c r="D788" s="38">
        <v>-1.8156891700000019E-4</v>
      </c>
      <c r="E788" s="38">
        <v>-2.6459120000023322E-6</v>
      </c>
      <c r="F788" s="38">
        <v>-1.7143301399999769E-4</v>
      </c>
      <c r="G788" s="38">
        <v>-2.9999999999999818E-4</v>
      </c>
    </row>
    <row r="789" spans="2:7" x14ac:dyDescent="0.2">
      <c r="B789" s="19">
        <v>45523</v>
      </c>
      <c r="C789" s="19">
        <v>45520</v>
      </c>
      <c r="D789" s="38">
        <v>1.559411099999811E-5</v>
      </c>
      <c r="E789" s="38">
        <v>9.7488005000000155E-5</v>
      </c>
      <c r="F789" s="38">
        <v>1.561099899999967E-4</v>
      </c>
      <c r="G789" s="38">
        <v>1.0000000000000291E-4</v>
      </c>
    </row>
    <row r="790" spans="2:7" x14ac:dyDescent="0.2">
      <c r="B790" s="19">
        <v>45524</v>
      </c>
      <c r="C790" s="19">
        <v>45523</v>
      </c>
      <c r="D790" s="38">
        <v>-3.2492253899999921E-4</v>
      </c>
      <c r="E790" s="38">
        <v>-2.620737729999989E-4</v>
      </c>
      <c r="F790" s="38">
        <v>-2.4469094199999758E-4</v>
      </c>
      <c r="G790" s="38">
        <v>-2.000000000000005E-4</v>
      </c>
    </row>
    <row r="791" spans="2:7" x14ac:dyDescent="0.2">
      <c r="B791" s="19">
        <v>45525</v>
      </c>
      <c r="C791" s="19">
        <v>45524</v>
      </c>
      <c r="D791" s="38">
        <v>-4.102269220000003E-4</v>
      </c>
      <c r="E791" s="38">
        <v>-1.9965577199999859E-4</v>
      </c>
      <c r="F791" s="38">
        <v>-2.0177439900000149E-4</v>
      </c>
      <c r="G791" s="38">
        <v>9.999999999999766E-5</v>
      </c>
    </row>
    <row r="792" spans="2:7" x14ac:dyDescent="0.2">
      <c r="B792" s="19">
        <v>45526</v>
      </c>
      <c r="C792" s="19">
        <v>45525</v>
      </c>
      <c r="D792" s="38">
        <v>4.5515576000000613E-5</v>
      </c>
      <c r="E792" s="38">
        <v>1.6305044599999871E-4</v>
      </c>
      <c r="F792" s="38">
        <v>1.627206960000023E-4</v>
      </c>
      <c r="G792" s="38">
        <v>-1.0000000000000291E-4</v>
      </c>
    </row>
    <row r="793" spans="2:7" x14ac:dyDescent="0.2">
      <c r="B793" s="19">
        <v>45527</v>
      </c>
      <c r="C793" s="19">
        <v>45526</v>
      </c>
      <c r="D793" s="38">
        <v>2.6909390200000402E-4</v>
      </c>
      <c r="E793" s="38">
        <v>9.2187080000000199E-5</v>
      </c>
      <c r="F793" s="38">
        <v>3.2357186200000082E-4</v>
      </c>
      <c r="G793" s="38">
        <v>-1.9999999999999529E-4</v>
      </c>
    </row>
    <row r="794" spans="2:7" x14ac:dyDescent="0.2">
      <c r="B794" s="19">
        <v>45530</v>
      </c>
      <c r="C794" s="19">
        <v>45527</v>
      </c>
      <c r="D794" s="38">
        <v>-1.1627842000000439E-4</v>
      </c>
      <c r="E794" s="38">
        <v>-1.2251220000009111E-6</v>
      </c>
      <c r="F794" s="38">
        <v>6.5726444999997247E-5</v>
      </c>
      <c r="G794" s="38">
        <v>9.999999999999766E-5</v>
      </c>
    </row>
    <row r="795" spans="2:7" x14ac:dyDescent="0.2">
      <c r="B795" s="19">
        <v>45531</v>
      </c>
      <c r="C795" s="19">
        <v>45530</v>
      </c>
      <c r="D795" s="38">
        <v>2.307240629999992E-4</v>
      </c>
      <c r="E795" s="38">
        <v>2.4964712100000378E-4</v>
      </c>
      <c r="F795" s="38">
        <v>3.6456157600000053E-4</v>
      </c>
      <c r="G795" s="38">
        <v>-9.999999999999766E-5</v>
      </c>
    </row>
    <row r="796" spans="2:7" x14ac:dyDescent="0.2">
      <c r="B796" s="19">
        <v>45532</v>
      </c>
      <c r="C796" s="19">
        <v>45531</v>
      </c>
      <c r="D796" s="38">
        <v>-3.8107145999999661E-4</v>
      </c>
      <c r="E796" s="38">
        <v>-1.8914176000000069E-4</v>
      </c>
      <c r="F796" s="38">
        <v>-3.1244147499999778E-4</v>
      </c>
      <c r="G796" s="38">
        <v>0</v>
      </c>
    </row>
    <row r="797" spans="2:7" x14ac:dyDescent="0.2">
      <c r="B797" s="19">
        <v>45533</v>
      </c>
      <c r="C797" s="19">
        <v>45532</v>
      </c>
      <c r="D797" s="38">
        <v>-3.645789150000002E-4</v>
      </c>
      <c r="E797" s="38">
        <v>-1.476730899999806E-5</v>
      </c>
      <c r="F797" s="38">
        <v>1.3157263899999519E-4</v>
      </c>
      <c r="G797" s="38">
        <v>2.000000000000005E-4</v>
      </c>
    </row>
    <row r="798" spans="2:7" x14ac:dyDescent="0.2">
      <c r="B798" s="19">
        <v>45534</v>
      </c>
      <c r="C798" s="19">
        <v>45533</v>
      </c>
      <c r="D798" s="38">
        <v>4.1097154400000091E-4</v>
      </c>
      <c r="E798" s="38">
        <v>1.2608559899999691E-4</v>
      </c>
      <c r="F798" s="38">
        <v>9.3030144999999009E-5</v>
      </c>
      <c r="G798" s="38">
        <v>0</v>
      </c>
    </row>
    <row r="799" spans="2:7" x14ac:dyDescent="0.2">
      <c r="B799" s="19">
        <v>45537</v>
      </c>
      <c r="C799" s="19">
        <v>45534</v>
      </c>
      <c r="D799" s="38">
        <v>3.9272717999999651E-4</v>
      </c>
      <c r="E799" s="38">
        <v>5.3237189800000098E-4</v>
      </c>
      <c r="F799" s="38">
        <v>5.9726091200000553E-4</v>
      </c>
      <c r="G799" s="38">
        <v>-2.000000000000005E-4</v>
      </c>
    </row>
    <row r="800" spans="2:7" x14ac:dyDescent="0.2">
      <c r="B800" s="19">
        <v>45538</v>
      </c>
      <c r="C800" s="19">
        <v>45537</v>
      </c>
      <c r="D800" s="38">
        <v>-1.72561941999997E-4</v>
      </c>
      <c r="E800" s="38">
        <v>-5.3797995900000187E-4</v>
      </c>
      <c r="F800" s="38">
        <v>-7.6738603000000433E-4</v>
      </c>
      <c r="G800" s="38">
        <v>2.000000000000005E-4</v>
      </c>
    </row>
    <row r="801" spans="2:7" x14ac:dyDescent="0.2">
      <c r="B801" s="19">
        <v>45539</v>
      </c>
      <c r="C801" s="19">
        <v>45538</v>
      </c>
      <c r="D801" s="38">
        <v>-4.3584431700000378E-4</v>
      </c>
      <c r="E801" s="38">
        <v>-6.188287820000013E-4</v>
      </c>
      <c r="F801" s="38">
        <v>-4.8765395899999861E-4</v>
      </c>
      <c r="G801" s="38">
        <v>1.9999999999999529E-4</v>
      </c>
    </row>
    <row r="802" spans="2:7" x14ac:dyDescent="0.2">
      <c r="B802" s="19">
        <v>45540</v>
      </c>
      <c r="C802" s="19">
        <v>45539</v>
      </c>
      <c r="D802" s="38">
        <v>-7.5253719499999983E-4</v>
      </c>
      <c r="E802" s="38">
        <v>-1.8131881199999819E-4</v>
      </c>
      <c r="F802" s="38">
        <v>-1.784104359999969E-4</v>
      </c>
      <c r="G802" s="38">
        <v>1.0000000000000291E-4</v>
      </c>
    </row>
    <row r="803" spans="2:7" x14ac:dyDescent="0.2">
      <c r="B803" s="19">
        <v>45541</v>
      </c>
      <c r="C803" s="19">
        <v>45540</v>
      </c>
      <c r="D803" s="38">
        <v>1.8922430400000051E-4</v>
      </c>
      <c r="E803" s="38">
        <v>-1.9014641900000001E-4</v>
      </c>
      <c r="F803" s="38">
        <v>6.1771276999997987E-5</v>
      </c>
      <c r="G803" s="38">
        <v>9.999999999999766E-5</v>
      </c>
    </row>
    <row r="804" spans="2:7" x14ac:dyDescent="0.2">
      <c r="B804" s="19">
        <v>45544</v>
      </c>
      <c r="C804" s="19">
        <v>45541</v>
      </c>
      <c r="D804" s="38">
        <v>-5.4030436699999823E-4</v>
      </c>
      <c r="E804" s="38">
        <v>-2.29107168000002E-4</v>
      </c>
      <c r="F804" s="38">
        <v>-1.540803969999997E-4</v>
      </c>
      <c r="G804" s="38">
        <v>-4.9999999999999871E-4</v>
      </c>
    </row>
    <row r="805" spans="2:7" x14ac:dyDescent="0.2">
      <c r="B805" s="19">
        <v>45545</v>
      </c>
      <c r="C805" s="19">
        <v>45544</v>
      </c>
      <c r="D805" s="38">
        <v>-1.3888786300000211E-4</v>
      </c>
      <c r="E805" s="38">
        <v>-7.7846056999997942E-5</v>
      </c>
      <c r="F805" s="38">
        <v>-1.255571410000017E-4</v>
      </c>
      <c r="G805" s="38">
        <v>5.0000000000000218E-4</v>
      </c>
    </row>
    <row r="806" spans="2:7" x14ac:dyDescent="0.2">
      <c r="B806" s="19">
        <v>45546</v>
      </c>
      <c r="C806" s="19">
        <v>45545</v>
      </c>
      <c r="D806" s="38">
        <v>-7.4303396800000018E-4</v>
      </c>
      <c r="E806" s="38">
        <v>-6.8429992400000084E-4</v>
      </c>
      <c r="F806" s="38">
        <v>-6.9729889799999625E-4</v>
      </c>
      <c r="G806" s="38">
        <v>3.9999999999999579E-4</v>
      </c>
    </row>
    <row r="807" spans="2:7" x14ac:dyDescent="0.2">
      <c r="B807" s="19">
        <v>45547</v>
      </c>
      <c r="C807" s="19">
        <v>45546</v>
      </c>
      <c r="D807" s="38">
        <v>3.6460919800000019E-4</v>
      </c>
      <c r="E807" s="38">
        <v>2.6502627200000051E-4</v>
      </c>
      <c r="F807" s="38">
        <v>2.5960003199999859E-4</v>
      </c>
      <c r="G807" s="38">
        <v>0</v>
      </c>
    </row>
    <row r="808" spans="2:7" x14ac:dyDescent="0.2">
      <c r="B808" s="19">
        <v>45548</v>
      </c>
      <c r="C808" s="19">
        <v>45547</v>
      </c>
      <c r="D808" s="38">
        <v>-1.2547467599999951E-4</v>
      </c>
      <c r="E808" s="38">
        <v>2.5149405900000069E-4</v>
      </c>
      <c r="F808" s="38">
        <v>2.0594877400000039E-4</v>
      </c>
      <c r="G808" s="38">
        <v>0</v>
      </c>
    </row>
    <row r="809" spans="2:7" x14ac:dyDescent="0.2">
      <c r="B809" s="19">
        <v>45551</v>
      </c>
      <c r="C809" s="19">
        <v>45548</v>
      </c>
      <c r="D809" s="38">
        <v>1.485381679999995E-4</v>
      </c>
      <c r="E809" s="38">
        <v>-5.4685968000001833E-5</v>
      </c>
      <c r="F809" s="38">
        <v>-1.2260347200000399E-4</v>
      </c>
      <c r="G809" s="38">
        <v>-2.999999999999965E-4</v>
      </c>
    </row>
    <row r="810" spans="2:7" x14ac:dyDescent="0.2">
      <c r="B810" s="19">
        <v>45552</v>
      </c>
      <c r="C810" s="19">
        <v>45551</v>
      </c>
      <c r="D810" s="38">
        <v>-1.7048775899999871E-4</v>
      </c>
      <c r="E810" s="38">
        <v>1.3005037400000069E-4</v>
      </c>
      <c r="F810" s="38">
        <v>6.3807640000024257E-6</v>
      </c>
      <c r="G810" s="38">
        <v>0</v>
      </c>
    </row>
    <row r="811" spans="2:7" x14ac:dyDescent="0.2">
      <c r="B811" s="19">
        <v>45553</v>
      </c>
      <c r="C811" s="19">
        <v>45552</v>
      </c>
      <c r="D811" s="38">
        <v>4.4337610599999919E-4</v>
      </c>
      <c r="E811" s="38">
        <v>4.3352509800000111E-4</v>
      </c>
      <c r="F811" s="38">
        <v>4.9963822699999882E-4</v>
      </c>
      <c r="G811" s="38">
        <v>-1.0000000000000291E-4</v>
      </c>
    </row>
    <row r="812" spans="2:7" x14ac:dyDescent="0.2">
      <c r="B812" s="19">
        <v>45554</v>
      </c>
      <c r="C812" s="19">
        <v>45553</v>
      </c>
      <c r="D812" s="38">
        <v>-1.3522044599999919E-4</v>
      </c>
      <c r="E812" s="38">
        <v>-8.3086546000001732E-5</v>
      </c>
      <c r="F812" s="38">
        <v>6.2552496000001928E-5</v>
      </c>
      <c r="G812" s="38">
        <v>-2.9999999999999818E-4</v>
      </c>
    </row>
    <row r="813" spans="2:7" x14ac:dyDescent="0.2">
      <c r="B813" s="19">
        <v>45555</v>
      </c>
      <c r="C813" s="19">
        <v>45554</v>
      </c>
      <c r="D813" s="38">
        <v>1.8393118299999889E-4</v>
      </c>
      <c r="E813" s="38">
        <v>1.3551295700000091E-4</v>
      </c>
      <c r="F813" s="38">
        <v>2.398568489999989E-4</v>
      </c>
      <c r="G813" s="38">
        <v>2.000000000000005E-4</v>
      </c>
    </row>
    <row r="814" spans="2:7" x14ac:dyDescent="0.2">
      <c r="B814" s="19">
        <v>45558</v>
      </c>
      <c r="C814" s="19">
        <v>45555</v>
      </c>
      <c r="D814" s="38">
        <v>-5.8810383599999794E-4</v>
      </c>
      <c r="E814" s="38">
        <v>-4.3047441200000022E-4</v>
      </c>
      <c r="F814" s="38">
        <v>-2.6204456600000328E-4</v>
      </c>
      <c r="G814" s="38">
        <v>0</v>
      </c>
    </row>
    <row r="815" spans="2:7" x14ac:dyDescent="0.2">
      <c r="B815" s="19">
        <v>45559</v>
      </c>
      <c r="C815" s="19">
        <v>45558</v>
      </c>
      <c r="D815" s="38">
        <v>-5.6810539999999771E-4</v>
      </c>
      <c r="E815" s="38">
        <v>-4.4180050700000009E-4</v>
      </c>
      <c r="F815" s="38">
        <v>-1.344324359999968E-4</v>
      </c>
      <c r="G815" s="38">
        <v>-4.0000000000000099E-4</v>
      </c>
    </row>
    <row r="816" spans="2:7" x14ac:dyDescent="0.2">
      <c r="B816" s="19">
        <v>45560</v>
      </c>
      <c r="C816" s="19">
        <v>45559</v>
      </c>
      <c r="D816" s="38">
        <v>3.0894129999993469E-5</v>
      </c>
      <c r="E816" s="38">
        <v>2.134675480000015E-4</v>
      </c>
      <c r="F816" s="38">
        <v>2.232704499999932E-5</v>
      </c>
      <c r="G816" s="38">
        <v>4.0000000000000099E-4</v>
      </c>
    </row>
    <row r="817" spans="2:7" x14ac:dyDescent="0.2">
      <c r="B817" s="19">
        <v>45561</v>
      </c>
      <c r="C817" s="19">
        <v>45560</v>
      </c>
      <c r="D817" s="38">
        <v>-5.5801291599999817E-4</v>
      </c>
      <c r="E817" s="38">
        <v>-4.3076822300000192E-4</v>
      </c>
      <c r="F817" s="38">
        <v>-3.7649310200000077E-4</v>
      </c>
      <c r="G817" s="38">
        <v>1.000000000000011E-4</v>
      </c>
    </row>
    <row r="818" spans="2:7" x14ac:dyDescent="0.2">
      <c r="B818" s="19">
        <v>45562</v>
      </c>
      <c r="C818" s="19">
        <v>45561</v>
      </c>
      <c r="D818" s="38">
        <v>-2.9624165300000052E-4</v>
      </c>
      <c r="E818" s="38">
        <v>-1.8772962999999421E-5</v>
      </c>
      <c r="F818" s="38">
        <v>-1.6524761999998219E-5</v>
      </c>
      <c r="G818" s="38">
        <v>9.9999999999999395E-5</v>
      </c>
    </row>
    <row r="819" spans="2:7" x14ac:dyDescent="0.2">
      <c r="B819" s="19">
        <v>45565</v>
      </c>
      <c r="C819" s="19">
        <v>45562</v>
      </c>
      <c r="D819" s="38">
        <v>2.2290447900000229E-4</v>
      </c>
      <c r="E819" s="38">
        <v>-9.3262239999999247E-5</v>
      </c>
      <c r="F819" s="38">
        <v>-1.532814619999989E-4</v>
      </c>
      <c r="G819" s="38">
        <v>-2.9999999999999818E-4</v>
      </c>
    </row>
    <row r="820" spans="2:7" x14ac:dyDescent="0.2">
      <c r="B820" s="19">
        <v>45566</v>
      </c>
      <c r="C820" s="19">
        <v>45565</v>
      </c>
      <c r="D820" s="38">
        <v>-8.8659400300000052E-4</v>
      </c>
      <c r="E820" s="38">
        <v>-8.6275223799999953E-4</v>
      </c>
      <c r="F820" s="38">
        <v>-9.2537909900000312E-4</v>
      </c>
      <c r="G820" s="38">
        <v>2.9999999999999818E-4</v>
      </c>
    </row>
    <row r="821" spans="2:7" x14ac:dyDescent="0.2">
      <c r="B821" s="19">
        <v>45567</v>
      </c>
      <c r="C821" s="19">
        <v>45566</v>
      </c>
      <c r="D821" s="38">
        <v>5.510143120000012E-4</v>
      </c>
      <c r="E821" s="38">
        <v>6.7725800200000089E-4</v>
      </c>
      <c r="F821" s="38">
        <v>8.5586962300000444E-4</v>
      </c>
      <c r="G821" s="38">
        <v>-1.9999999999999711E-4</v>
      </c>
    </row>
    <row r="822" spans="2:7" x14ac:dyDescent="0.2">
      <c r="B822" s="19">
        <v>45568</v>
      </c>
      <c r="C822" s="19">
        <v>45567</v>
      </c>
      <c r="D822" s="38">
        <v>2.0562741999999651E-4</v>
      </c>
      <c r="E822" s="38">
        <v>5.3474755899999768E-4</v>
      </c>
      <c r="F822" s="38">
        <v>5.9235825399999928E-4</v>
      </c>
      <c r="G822" s="38">
        <v>-2.0000000000000399E-4</v>
      </c>
    </row>
    <row r="823" spans="2:7" x14ac:dyDescent="0.2">
      <c r="B823" s="19">
        <v>45569</v>
      </c>
      <c r="C823" s="19">
        <v>45568</v>
      </c>
      <c r="D823" s="38">
        <v>8.091135079999999E-4</v>
      </c>
      <c r="E823" s="38">
        <v>5.2215787699999919E-4</v>
      </c>
      <c r="F823" s="38">
        <v>3.2255206900000041E-4</v>
      </c>
      <c r="G823" s="38">
        <v>0</v>
      </c>
    </row>
    <row r="824" spans="2:7" x14ac:dyDescent="0.2">
      <c r="B824" s="19">
        <v>45572</v>
      </c>
      <c r="C824" s="19">
        <v>45569</v>
      </c>
      <c r="D824" s="38">
        <v>5.5412193000000179E-4</v>
      </c>
      <c r="E824" s="38">
        <v>5.5112210600000502E-4</v>
      </c>
      <c r="F824" s="38">
        <v>4.6750378200000048E-4</v>
      </c>
      <c r="G824" s="38">
        <v>-4.0000000000000099E-4</v>
      </c>
    </row>
    <row r="825" spans="2:7" x14ac:dyDescent="0.2">
      <c r="B825" s="19">
        <v>45573</v>
      </c>
      <c r="C825" s="19">
        <v>45572</v>
      </c>
      <c r="D825" s="38">
        <v>1.8759102400000069E-4</v>
      </c>
      <c r="E825" s="38">
        <v>1.2378992399999719E-4</v>
      </c>
      <c r="F825" s="38">
        <v>1.053463739999969E-4</v>
      </c>
      <c r="G825" s="38">
        <v>0</v>
      </c>
    </row>
    <row r="826" spans="2:7" x14ac:dyDescent="0.2">
      <c r="B826" s="19">
        <v>45574</v>
      </c>
      <c r="C826" s="19">
        <v>45573</v>
      </c>
      <c r="D826" s="38">
        <v>4.5564009999998767E-6</v>
      </c>
      <c r="E826" s="38">
        <v>-7.0135900999999251E-5</v>
      </c>
      <c r="F826" s="38">
        <v>-1.1392284799999899E-4</v>
      </c>
      <c r="G826" s="38">
        <v>2.000000000000005E-4</v>
      </c>
    </row>
    <row r="827" spans="2:7" x14ac:dyDescent="0.2">
      <c r="B827" s="19">
        <v>45575</v>
      </c>
      <c r="C827" s="19">
        <v>45574</v>
      </c>
      <c r="D827" s="38">
        <v>1.165576949999983E-4</v>
      </c>
      <c r="E827" s="38">
        <v>1.518899539999993E-4</v>
      </c>
      <c r="F827" s="38">
        <v>1.4915232799999831E-4</v>
      </c>
      <c r="G827" s="38">
        <v>-9.999999999999766E-5</v>
      </c>
    </row>
    <row r="828" spans="2:7" x14ac:dyDescent="0.2">
      <c r="B828" s="19">
        <v>45576</v>
      </c>
      <c r="C828" s="19">
        <v>45575</v>
      </c>
      <c r="D828" s="38">
        <v>3.5381957999999769E-5</v>
      </c>
      <c r="E828" s="38">
        <v>1.8200241999999711E-4</v>
      </c>
      <c r="F828" s="38">
        <v>2.7014435699999889E-4</v>
      </c>
      <c r="G828" s="38">
        <v>-2.000000000000005E-4</v>
      </c>
    </row>
    <row r="829" spans="2:7" x14ac:dyDescent="0.2">
      <c r="B829" s="19">
        <v>45579</v>
      </c>
      <c r="C829" s="19">
        <v>45576</v>
      </c>
      <c r="D829" s="38">
        <v>-1.3597769000000051E-4</v>
      </c>
      <c r="E829" s="38">
        <v>-5.6597222000000218E-5</v>
      </c>
      <c r="F829" s="38">
        <v>-1.393720399999604E-5</v>
      </c>
      <c r="G829" s="38">
        <v>-3.4694469519536142E-18</v>
      </c>
    </row>
    <row r="830" spans="2:7" x14ac:dyDescent="0.2">
      <c r="B830" s="19">
        <v>45580</v>
      </c>
      <c r="C830" s="19">
        <v>45579</v>
      </c>
      <c r="D830" s="38">
        <v>-3.0374624499999661E-4</v>
      </c>
      <c r="E830" s="38">
        <v>-4.7104399599999508E-4</v>
      </c>
      <c r="F830" s="38">
        <v>-6.8557609500000116E-4</v>
      </c>
      <c r="G830" s="38">
        <v>2.0000000000000399E-4</v>
      </c>
    </row>
    <row r="831" spans="2:7" x14ac:dyDescent="0.2">
      <c r="B831" s="19">
        <v>45581</v>
      </c>
      <c r="C831" s="19">
        <v>45580</v>
      </c>
      <c r="D831" s="38">
        <v>-4.054800910000024E-4</v>
      </c>
      <c r="E831" s="38">
        <v>-4.8061538300000339E-4</v>
      </c>
      <c r="F831" s="38">
        <v>-5.0332095599999946E-4</v>
      </c>
      <c r="G831" s="38">
        <v>0</v>
      </c>
    </row>
    <row r="832" spans="2:7" x14ac:dyDescent="0.2">
      <c r="B832" s="19">
        <v>45582</v>
      </c>
      <c r="C832" s="19">
        <v>45581</v>
      </c>
      <c r="D832" s="38">
        <v>-6.3378335999998009E-5</v>
      </c>
      <c r="E832" s="38">
        <v>9.1102980999999139E-5</v>
      </c>
      <c r="F832" s="38">
        <v>2.5286475999999891E-4</v>
      </c>
      <c r="G832" s="38">
        <v>-2.9999999999999818E-4</v>
      </c>
    </row>
    <row r="833" spans="2:7" x14ac:dyDescent="0.2">
      <c r="B833" s="19">
        <v>45583</v>
      </c>
      <c r="C833" s="19">
        <v>45582</v>
      </c>
      <c r="D833" s="38">
        <v>-6.8283219400000136E-4</v>
      </c>
      <c r="E833" s="38">
        <v>-3.5426393499999811E-4</v>
      </c>
      <c r="F833" s="38">
        <v>-2.0063907300000089E-4</v>
      </c>
      <c r="G833" s="38">
        <v>-1.0000000000000291E-4</v>
      </c>
    </row>
    <row r="834" spans="2:7" x14ac:dyDescent="0.2">
      <c r="B834" s="19">
        <v>45586</v>
      </c>
      <c r="C834" s="19">
        <v>45583</v>
      </c>
      <c r="D834" s="38">
        <v>9.2589443800000087E-4</v>
      </c>
      <c r="E834" s="38">
        <v>8.7148152600000084E-4</v>
      </c>
      <c r="F834" s="38">
        <v>8.676003990000028E-4</v>
      </c>
      <c r="G834" s="38">
        <v>-1.9999999999999879E-4</v>
      </c>
    </row>
    <row r="835" spans="2:7" x14ac:dyDescent="0.2">
      <c r="B835" s="19">
        <v>45587</v>
      </c>
      <c r="C835" s="19">
        <v>45586</v>
      </c>
      <c r="D835" s="38">
        <v>1.8830426000000091E-5</v>
      </c>
      <c r="E835" s="38">
        <v>8.5357822999995725E-5</v>
      </c>
      <c r="F835" s="38">
        <v>1.8882510300000099E-4</v>
      </c>
      <c r="G835" s="38">
        <v>-9.9999999999999395E-5</v>
      </c>
    </row>
    <row r="836" spans="2:7" x14ac:dyDescent="0.2">
      <c r="B836" s="19">
        <v>45588</v>
      </c>
      <c r="C836" s="19">
        <v>45587</v>
      </c>
      <c r="D836" s="38">
        <v>-4.9506453400000039E-4</v>
      </c>
      <c r="E836" s="38">
        <v>5.2752851000002772E-5</v>
      </c>
      <c r="F836" s="38">
        <v>3.401951369999962E-4</v>
      </c>
      <c r="G836" s="38">
        <v>-1.000000000000011E-4</v>
      </c>
    </row>
    <row r="837" spans="2:7" x14ac:dyDescent="0.2">
      <c r="B837" s="19">
        <v>45589</v>
      </c>
      <c r="C837" s="19">
        <v>45588</v>
      </c>
      <c r="D837" s="38">
        <v>-1.7355139400000019E-4</v>
      </c>
      <c r="E837" s="38">
        <v>-4.1611471799999841E-4</v>
      </c>
      <c r="F837" s="38">
        <v>-6.2234400899999903E-4</v>
      </c>
      <c r="G837" s="38">
        <v>1.000000000000011E-4</v>
      </c>
    </row>
    <row r="838" spans="2:7" x14ac:dyDescent="0.2">
      <c r="B838" s="19">
        <v>45590</v>
      </c>
      <c r="C838" s="19">
        <v>45589</v>
      </c>
      <c r="D838" s="38">
        <v>2.8614538700000303E-4</v>
      </c>
      <c r="E838" s="38">
        <v>3.3689799899999651E-4</v>
      </c>
      <c r="F838" s="38">
        <v>2.5836972400000019E-4</v>
      </c>
      <c r="G838" s="38">
        <v>-1.000000000000011E-4</v>
      </c>
    </row>
    <row r="839" spans="2:7" x14ac:dyDescent="0.2">
      <c r="B839" s="19">
        <v>45593</v>
      </c>
      <c r="C839" s="19">
        <v>45590</v>
      </c>
      <c r="D839" s="38">
        <v>-4.193141740000024E-4</v>
      </c>
      <c r="E839" s="38">
        <v>-1.96646240999996E-4</v>
      </c>
      <c r="F839" s="38">
        <v>-1.6301037699999879E-4</v>
      </c>
      <c r="G839" s="38">
        <v>9.999999999999766E-5</v>
      </c>
    </row>
    <row r="840" spans="2:7" x14ac:dyDescent="0.2">
      <c r="B840" s="19">
        <v>45594</v>
      </c>
      <c r="C840" s="19">
        <v>45593</v>
      </c>
      <c r="D840" s="38">
        <v>4.3364032899999988E-4</v>
      </c>
      <c r="E840" s="38">
        <v>5.4279292699999787E-4</v>
      </c>
      <c r="F840" s="38">
        <v>5.2133400099999699E-4</v>
      </c>
      <c r="G840" s="38">
        <v>-2.9999999999999818E-4</v>
      </c>
    </row>
    <row r="841" spans="2:7" x14ac:dyDescent="0.2">
      <c r="B841" s="19">
        <v>45595</v>
      </c>
      <c r="C841" s="19">
        <v>45594</v>
      </c>
      <c r="D841" s="38">
        <v>7.2594554500000213E-4</v>
      </c>
      <c r="E841" s="38">
        <v>6.9423758600000232E-4</v>
      </c>
      <c r="F841" s="38">
        <v>3.9274095099999998E-4</v>
      </c>
      <c r="G841" s="38">
        <v>2.9999999999999818E-4</v>
      </c>
    </row>
    <row r="842" spans="2:7" x14ac:dyDescent="0.2">
      <c r="B842" s="19">
        <v>45596</v>
      </c>
      <c r="C842" s="19">
        <v>45595</v>
      </c>
      <c r="D842" s="38">
        <v>8.0180354899999848E-4</v>
      </c>
      <c r="E842" s="38">
        <v>6.5791466399999984E-4</v>
      </c>
      <c r="F842" s="38">
        <v>4.8486099500000268E-4</v>
      </c>
      <c r="G842" s="38">
        <v>0</v>
      </c>
    </row>
    <row r="843" spans="2:7" x14ac:dyDescent="0.2">
      <c r="B843" s="19">
        <v>45597</v>
      </c>
      <c r="C843" s="19">
        <v>45596</v>
      </c>
      <c r="D843" s="38">
        <v>-4.8056739799999868E-4</v>
      </c>
      <c r="E843" s="38">
        <v>-4.3198898800000251E-4</v>
      </c>
      <c r="F843" s="38">
        <v>-3.1460856300000167E-4</v>
      </c>
      <c r="G843" s="38">
        <v>-2.000000000000005E-4</v>
      </c>
    </row>
    <row r="844" spans="2:7" x14ac:dyDescent="0.2">
      <c r="B844" s="19">
        <v>45600</v>
      </c>
      <c r="C844" s="19">
        <v>45597</v>
      </c>
      <c r="D844" s="38">
        <v>2.6862036599999828E-4</v>
      </c>
      <c r="E844" s="38">
        <v>1.497501120000001E-4</v>
      </c>
      <c r="F844" s="38">
        <v>-2.3460036999999739E-5</v>
      </c>
      <c r="G844" s="38">
        <v>-9.999999999999766E-5</v>
      </c>
    </row>
    <row r="845" spans="2:7" x14ac:dyDescent="0.2">
      <c r="B845" s="19">
        <v>45601</v>
      </c>
      <c r="C845" s="19">
        <v>45600</v>
      </c>
      <c r="D845" s="38">
        <v>4.2455203000002488E-5</v>
      </c>
      <c r="E845" s="38">
        <v>7.4028825999997855E-5</v>
      </c>
      <c r="F845" s="38">
        <v>1.122303609999986E-4</v>
      </c>
      <c r="G845" s="38">
        <v>2.000000000000005E-4</v>
      </c>
    </row>
    <row r="846" spans="2:7" x14ac:dyDescent="0.2">
      <c r="B846" s="19">
        <v>45602</v>
      </c>
      <c r="C846" s="19">
        <v>45601</v>
      </c>
      <c r="D846" s="38">
        <v>-7.1377479600000238E-4</v>
      </c>
      <c r="E846" s="38">
        <v>-2.9268914399999471E-4</v>
      </c>
      <c r="F846" s="38">
        <v>1.296296330000023E-4</v>
      </c>
      <c r="G846" s="38">
        <v>-1.0000000000000291E-4</v>
      </c>
    </row>
    <row r="847" spans="2:7" x14ac:dyDescent="0.2">
      <c r="B847" s="19">
        <v>45603</v>
      </c>
      <c r="C847" s="19">
        <v>45602</v>
      </c>
      <c r="D847" s="38">
        <v>3.04174680000012E-5</v>
      </c>
      <c r="E847" s="38">
        <v>8.0566539999996772E-5</v>
      </c>
      <c r="F847" s="38">
        <v>1.2704259199999851E-4</v>
      </c>
      <c r="G847" s="38">
        <v>-4.9999999999999871E-4</v>
      </c>
    </row>
    <row r="848" spans="2:7" x14ac:dyDescent="0.2">
      <c r="B848" s="19">
        <v>45604</v>
      </c>
      <c r="C848" s="19">
        <v>45603</v>
      </c>
      <c r="D848" s="38">
        <v>-9.4712439000003285E-5</v>
      </c>
      <c r="E848" s="38">
        <v>-3.2083277500000168E-4</v>
      </c>
      <c r="F848" s="38">
        <v>-5.3971084499999933E-4</v>
      </c>
      <c r="G848" s="38">
        <v>4.0000000000000099E-4</v>
      </c>
    </row>
    <row r="849" spans="2:7" x14ac:dyDescent="0.2">
      <c r="B849" s="19">
        <v>45607</v>
      </c>
      <c r="C849" s="19">
        <v>45604</v>
      </c>
      <c r="D849" s="38">
        <v>-4.9862759999999909E-4</v>
      </c>
      <c r="E849" s="38">
        <v>-3.9516811899999871E-4</v>
      </c>
      <c r="F849" s="38">
        <v>-2.7963220199999852E-4</v>
      </c>
      <c r="G849" s="38">
        <v>2.000000000000005E-4</v>
      </c>
    </row>
    <row r="850" spans="2:7" x14ac:dyDescent="0.2">
      <c r="B850" s="19">
        <v>45608</v>
      </c>
      <c r="C850" s="19">
        <v>45607</v>
      </c>
      <c r="D850" s="38">
        <v>-2.9422026099999721E-4</v>
      </c>
      <c r="E850" s="38">
        <v>-1.3048954199999799E-4</v>
      </c>
      <c r="F850" s="38">
        <v>-1.4034325400000269E-4</v>
      </c>
      <c r="G850" s="38">
        <v>0</v>
      </c>
    </row>
    <row r="851" spans="2:7" x14ac:dyDescent="0.2">
      <c r="B851" s="19">
        <v>45609</v>
      </c>
      <c r="C851" s="19">
        <v>45608</v>
      </c>
      <c r="D851" s="38">
        <v>2.931600699999995E-4</v>
      </c>
      <c r="E851" s="38">
        <v>4.5852994599999969E-4</v>
      </c>
      <c r="F851" s="38">
        <v>4.6110932500000029E-4</v>
      </c>
      <c r="G851" s="38">
        <v>-1.0000000000000291E-4</v>
      </c>
    </row>
    <row r="852" spans="2:7" x14ac:dyDescent="0.2">
      <c r="B852" s="19">
        <v>45610</v>
      </c>
      <c r="C852" s="19">
        <v>45609</v>
      </c>
      <c r="D852" s="38">
        <v>-3.3645520900000073E-4</v>
      </c>
      <c r="E852" s="38">
        <v>-2.6078208899999941E-4</v>
      </c>
      <c r="F852" s="38">
        <v>-2.6267100099999768E-4</v>
      </c>
      <c r="G852" s="38">
        <v>-9.999999999999766E-5</v>
      </c>
    </row>
    <row r="853" spans="2:7" x14ac:dyDescent="0.2">
      <c r="B853" s="19">
        <v>45611</v>
      </c>
      <c r="C853" s="19">
        <v>45610</v>
      </c>
      <c r="D853" s="38">
        <v>2.3036725299999811E-4</v>
      </c>
      <c r="E853" s="38">
        <v>1.6452113299999721E-4</v>
      </c>
      <c r="F853" s="38">
        <v>9.6588277999999639E-5</v>
      </c>
      <c r="G853" s="38">
        <v>2.000000000000005E-4</v>
      </c>
    </row>
    <row r="854" spans="2:7" x14ac:dyDescent="0.2">
      <c r="B854" s="19">
        <v>45614</v>
      </c>
      <c r="C854" s="19">
        <v>45611</v>
      </c>
      <c r="D854" s="38">
        <v>5.1621630700000171E-4</v>
      </c>
      <c r="E854" s="38">
        <v>2.7427845100000062E-4</v>
      </c>
      <c r="F854" s="38">
        <v>1.678568289999981E-4</v>
      </c>
      <c r="G854" s="38">
        <v>-2.000000000000005E-4</v>
      </c>
    </row>
    <row r="855" spans="2:7" x14ac:dyDescent="0.2">
      <c r="B855" s="19">
        <v>45615</v>
      </c>
      <c r="C855" s="19">
        <v>45614</v>
      </c>
      <c r="D855" s="38">
        <v>-3.9346379700000092E-4</v>
      </c>
      <c r="E855" s="38">
        <v>-4.6967320299999912E-4</v>
      </c>
      <c r="F855" s="38">
        <v>-4.3440573800000021E-4</v>
      </c>
      <c r="G855" s="38">
        <v>6.9999999999999923E-4</v>
      </c>
    </row>
    <row r="856" spans="2:7" x14ac:dyDescent="0.2">
      <c r="B856" s="19">
        <v>45616</v>
      </c>
      <c r="C856" s="19">
        <v>45615</v>
      </c>
      <c r="D856" s="38">
        <v>2.5868955000001029E-5</v>
      </c>
      <c r="E856" s="38">
        <v>1.4400867899999609E-4</v>
      </c>
      <c r="F856" s="38">
        <v>1.6539359000000001E-4</v>
      </c>
      <c r="G856" s="38">
        <v>-2.000000000000005E-4</v>
      </c>
    </row>
    <row r="857" spans="2:7" x14ac:dyDescent="0.2">
      <c r="B857" s="19">
        <v>45617</v>
      </c>
      <c r="C857" s="19">
        <v>45616</v>
      </c>
      <c r="D857" s="38">
        <v>-4.0188846100000161E-4</v>
      </c>
      <c r="E857" s="38">
        <v>-5.2221496899999484E-4</v>
      </c>
      <c r="F857" s="38">
        <v>-4.8706811399999722E-4</v>
      </c>
      <c r="G857" s="38">
        <v>2.0000000000000399E-4</v>
      </c>
    </row>
    <row r="858" spans="2:7" x14ac:dyDescent="0.2">
      <c r="B858" s="19">
        <v>45618</v>
      </c>
      <c r="C858" s="19">
        <v>45617</v>
      </c>
      <c r="D858" s="38">
        <v>-7.0906473099999895E-4</v>
      </c>
      <c r="E858" s="38">
        <v>-4.2217207200000162E-4</v>
      </c>
      <c r="F858" s="38">
        <v>-4.25019585000002E-4</v>
      </c>
      <c r="G858" s="38">
        <v>2.9999999999999818E-4</v>
      </c>
    </row>
    <row r="859" spans="2:7" x14ac:dyDescent="0.2">
      <c r="B859" s="19">
        <v>45621</v>
      </c>
      <c r="C859" s="19">
        <v>45618</v>
      </c>
      <c r="D859" s="38">
        <v>-2.2937950100000021E-4</v>
      </c>
      <c r="E859" s="38">
        <v>-4.0956081900000302E-4</v>
      </c>
      <c r="F859" s="38">
        <v>-5.4765468300000189E-4</v>
      </c>
      <c r="G859" s="38">
        <v>-2.000000000000005E-4</v>
      </c>
    </row>
    <row r="860" spans="2:7" x14ac:dyDescent="0.2">
      <c r="B860" s="19">
        <v>45622</v>
      </c>
      <c r="C860" s="19">
        <v>45621</v>
      </c>
      <c r="D860" s="38">
        <v>3.8532079300000402E-4</v>
      </c>
      <c r="E860" s="38">
        <v>1.5316328700000151E-4</v>
      </c>
      <c r="F860" s="38">
        <v>-2.665612499999984E-5</v>
      </c>
      <c r="G860" s="38">
        <v>2.000000000000005E-4</v>
      </c>
    </row>
    <row r="861" spans="2:7" x14ac:dyDescent="0.2">
      <c r="B861" s="19">
        <v>45623</v>
      </c>
      <c r="C861" s="19">
        <v>45622</v>
      </c>
      <c r="D861" s="38">
        <v>-1.5234149400000441E-4</v>
      </c>
      <c r="E861" s="38">
        <v>-3.0426037199999742E-4</v>
      </c>
      <c r="F861" s="38">
        <v>-3.7423267099999732E-4</v>
      </c>
      <c r="G861" s="38">
        <v>2.9999999999999818E-4</v>
      </c>
    </row>
    <row r="862" spans="2:7" x14ac:dyDescent="0.2">
      <c r="B862" s="19">
        <v>45624</v>
      </c>
      <c r="C862" s="19">
        <v>45623</v>
      </c>
      <c r="D862" s="38">
        <v>-2.0461451099999811E-4</v>
      </c>
      <c r="E862" s="38">
        <v>-2.8462932100000241E-4</v>
      </c>
      <c r="F862" s="38">
        <v>-3.655854249999986E-4</v>
      </c>
      <c r="G862" s="38">
        <v>-2.9999999999999818E-4</v>
      </c>
    </row>
    <row r="863" spans="2:7" x14ac:dyDescent="0.2">
      <c r="B863" s="19">
        <v>45625</v>
      </c>
      <c r="C863" s="19">
        <v>45624</v>
      </c>
      <c r="D863" s="38">
        <v>-5.9636180600000296E-4</v>
      </c>
      <c r="E863" s="38">
        <v>-4.8512510999999808E-4</v>
      </c>
      <c r="F863" s="38">
        <v>-3.9601146199999901E-4</v>
      </c>
      <c r="G863" s="38">
        <v>1.0000000000000291E-4</v>
      </c>
    </row>
    <row r="864" spans="2:7" x14ac:dyDescent="0.2">
      <c r="B864" s="19">
        <v>45628</v>
      </c>
      <c r="C864" s="19">
        <v>45625</v>
      </c>
      <c r="D864" s="38">
        <v>-5.5562485099999726E-4</v>
      </c>
      <c r="E864" s="38">
        <v>-6.802363479999976E-4</v>
      </c>
      <c r="F864" s="38">
        <v>-4.7050778000000062E-4</v>
      </c>
      <c r="G864" s="38">
        <v>1.9999999999999879E-4</v>
      </c>
    </row>
    <row r="865" spans="2:7" x14ac:dyDescent="0.2">
      <c r="B865" s="19">
        <v>45629</v>
      </c>
      <c r="C865" s="19">
        <v>45628</v>
      </c>
      <c r="D865" s="38">
        <v>1.8882358899999921E-4</v>
      </c>
      <c r="E865" s="38">
        <v>2.398645379999981E-4</v>
      </c>
      <c r="F865" s="38">
        <v>-1.3671971400000191E-4</v>
      </c>
      <c r="G865" s="38">
        <v>-2.0000000000000399E-4</v>
      </c>
    </row>
    <row r="866" spans="2:7" x14ac:dyDescent="0.2">
      <c r="B866" s="19">
        <v>45630</v>
      </c>
      <c r="C866" s="19">
        <v>45629</v>
      </c>
      <c r="D866" s="38">
        <v>2.898222119999995E-4</v>
      </c>
      <c r="E866" s="38">
        <v>3.6532542700000101E-4</v>
      </c>
      <c r="F866" s="38">
        <v>3.6445186800000001E-4</v>
      </c>
      <c r="G866" s="38">
        <v>0</v>
      </c>
    </row>
    <row r="867" spans="2:7" x14ac:dyDescent="0.2">
      <c r="B867" s="19">
        <v>45631</v>
      </c>
      <c r="C867" s="19">
        <v>45630</v>
      </c>
      <c r="D867" s="38">
        <v>5.876972190000003E-4</v>
      </c>
      <c r="E867" s="38">
        <v>4.2172856099999609E-4</v>
      </c>
      <c r="F867" s="38">
        <v>3.4264940900000101E-4</v>
      </c>
      <c r="G867" s="38">
        <v>-2.9999999999999818E-4</v>
      </c>
    </row>
    <row r="868" spans="2:7" x14ac:dyDescent="0.2">
      <c r="B868" s="19">
        <v>45632</v>
      </c>
      <c r="C868" s="19">
        <v>45631</v>
      </c>
      <c r="D868" s="38">
        <v>-7.9463540000011823E-6</v>
      </c>
      <c r="E868" s="38">
        <v>-2.3013300299999651E-4</v>
      </c>
      <c r="F868" s="38">
        <v>-3.123632670000015E-4</v>
      </c>
      <c r="G868" s="38">
        <v>-2.9999999999999818E-4</v>
      </c>
    </row>
    <row r="869" spans="2:7" x14ac:dyDescent="0.2">
      <c r="B869" s="19">
        <v>45635</v>
      </c>
      <c r="C869" s="19">
        <v>45632</v>
      </c>
      <c r="D869" s="38">
        <v>-1.3415004299999889E-4</v>
      </c>
      <c r="E869" s="38">
        <v>-1.666342599999926E-5</v>
      </c>
      <c r="F869" s="38">
        <v>2.0874457199999971E-4</v>
      </c>
      <c r="G869" s="38">
        <v>-1.000000000000011E-4</v>
      </c>
    </row>
    <row r="870" spans="2:7" x14ac:dyDescent="0.2">
      <c r="B870" s="19">
        <v>45636</v>
      </c>
      <c r="C870" s="19">
        <v>45635</v>
      </c>
      <c r="D870" s="38">
        <v>-4.4282274999998122E-5</v>
      </c>
      <c r="E870" s="38">
        <v>-2.8740596100000279E-4</v>
      </c>
      <c r="F870" s="38">
        <v>1.21416089000001E-4</v>
      </c>
      <c r="G870" s="38">
        <v>-2.000000000000005E-4</v>
      </c>
    </row>
    <row r="871" spans="2:7" x14ac:dyDescent="0.2">
      <c r="B871" s="19">
        <v>45637</v>
      </c>
      <c r="C871" s="19">
        <v>45636</v>
      </c>
      <c r="D871" s="38">
        <v>-3.0404691200000208E-4</v>
      </c>
      <c r="E871" s="38">
        <v>-1.8968992999999351E-5</v>
      </c>
      <c r="F871" s="38">
        <v>9.7204582999999012E-5</v>
      </c>
      <c r="G871" s="38">
        <v>1.000000000000011E-4</v>
      </c>
    </row>
    <row r="872" spans="2:7" x14ac:dyDescent="0.2">
      <c r="B872" s="19">
        <v>45638</v>
      </c>
      <c r="C872" s="19">
        <v>45637</v>
      </c>
      <c r="D872" s="38">
        <v>5.3228845799999785E-4</v>
      </c>
      <c r="E872" s="38">
        <v>8.1095915400000024E-4</v>
      </c>
      <c r="F872" s="38">
        <v>5.2362144399999838E-4</v>
      </c>
      <c r="G872" s="38">
        <v>-1.9999999999999879E-4</v>
      </c>
    </row>
    <row r="873" spans="2:7" x14ac:dyDescent="0.2">
      <c r="B873" s="19">
        <v>45639</v>
      </c>
      <c r="C873" s="19">
        <v>45638</v>
      </c>
      <c r="D873" s="38">
        <v>3.2467104900000063E-4</v>
      </c>
      <c r="E873" s="38">
        <v>3.2534482000000017E-4</v>
      </c>
      <c r="F873" s="38">
        <v>7.15845329000004E-4</v>
      </c>
      <c r="G873" s="38">
        <v>1.9999999999999879E-4</v>
      </c>
    </row>
    <row r="874" spans="2:7" x14ac:dyDescent="0.2">
      <c r="B874" s="19">
        <v>45642</v>
      </c>
      <c r="C874" s="19">
        <v>45639</v>
      </c>
      <c r="D874" s="38">
        <v>8.7224040000027925E-6</v>
      </c>
      <c r="E874" s="38">
        <v>-4.0370037000001663E-5</v>
      </c>
      <c r="F874" s="38">
        <v>1.383612799999573E-5</v>
      </c>
      <c r="G874" s="38">
        <v>-1.000000000000011E-4</v>
      </c>
    </row>
    <row r="875" spans="2:7" x14ac:dyDescent="0.2">
      <c r="B875" s="19">
        <v>45643</v>
      </c>
      <c r="C875" s="19">
        <v>45642</v>
      </c>
      <c r="D875" s="38">
        <v>-1.5425639100000171E-4</v>
      </c>
      <c r="E875" s="38">
        <v>1.233457500000174E-5</v>
      </c>
      <c r="F875" s="38">
        <v>-1.8326032699999761E-4</v>
      </c>
      <c r="G875" s="38">
        <v>2.000000000000005E-4</v>
      </c>
    </row>
    <row r="876" spans="2:7" x14ac:dyDescent="0.2">
      <c r="B876" s="19">
        <v>45644</v>
      </c>
      <c r="C876" s="19">
        <v>45643</v>
      </c>
      <c r="D876" s="38">
        <v>-9.2277913999998934E-5</v>
      </c>
      <c r="E876" s="38">
        <v>1.9739806900000159E-4</v>
      </c>
      <c r="F876" s="38">
        <v>2.5431757299999858E-4</v>
      </c>
      <c r="G876" s="38">
        <v>-9.9999999999999395E-5</v>
      </c>
    </row>
    <row r="877" spans="2:7" x14ac:dyDescent="0.2">
      <c r="B877" s="19">
        <v>45645</v>
      </c>
      <c r="C877" s="19">
        <v>45644</v>
      </c>
      <c r="D877" s="38">
        <v>3.7802690699999952E-4</v>
      </c>
      <c r="E877" s="38">
        <v>6.036292820000011E-4</v>
      </c>
      <c r="F877" s="38">
        <v>6.6290237800000276E-4</v>
      </c>
      <c r="G877" s="38">
        <v>2.9999999999999818E-4</v>
      </c>
    </row>
    <row r="878" spans="2:7" x14ac:dyDescent="0.2">
      <c r="B878" s="19">
        <v>45646</v>
      </c>
      <c r="C878" s="19">
        <v>45645</v>
      </c>
      <c r="D878" s="38">
        <v>-5.3026036200000057E-4</v>
      </c>
      <c r="E878" s="38">
        <v>-4.3348783100000468E-4</v>
      </c>
      <c r="F878" s="38">
        <v>-3.0754284199999837E-4</v>
      </c>
      <c r="G878" s="38">
        <v>0</v>
      </c>
    </row>
    <row r="879" spans="2:7" x14ac:dyDescent="0.2">
      <c r="B879" s="19">
        <v>45649</v>
      </c>
      <c r="C879" s="19">
        <v>45646</v>
      </c>
      <c r="D879" s="38">
        <v>3.7070214300000131E-4</v>
      </c>
      <c r="E879" s="38">
        <v>3.5207076200000417E-4</v>
      </c>
      <c r="F879" s="38">
        <v>2.7659628799999928E-4</v>
      </c>
      <c r="G879" s="38">
        <v>0</v>
      </c>
    </row>
    <row r="880" spans="2:7" x14ac:dyDescent="0.2">
      <c r="B880" s="19">
        <v>45653</v>
      </c>
      <c r="C880" s="19">
        <v>45649</v>
      </c>
      <c r="D880" s="38">
        <v>9.8972595999998608E-5</v>
      </c>
      <c r="E880" s="38">
        <v>4.1488339399999708E-4</v>
      </c>
      <c r="F880" s="38">
        <v>2.9456171399999681E-4</v>
      </c>
      <c r="G880" s="38">
        <v>-3.9999999999999931E-4</v>
      </c>
    </row>
    <row r="881" spans="2:7" x14ac:dyDescent="0.2">
      <c r="B881" s="19">
        <v>45656</v>
      </c>
      <c r="C881" s="19">
        <v>45653</v>
      </c>
      <c r="D881" s="38">
        <v>3.454597000000087E-5</v>
      </c>
      <c r="E881" s="38">
        <v>3.7084105999996703E-5</v>
      </c>
      <c r="F881" s="38">
        <v>1.5503844000000139E-4</v>
      </c>
      <c r="G881" s="38">
        <v>3.9999999999999931E-4</v>
      </c>
    </row>
    <row r="882" spans="2:7" x14ac:dyDescent="0.2">
      <c r="B882" s="19">
        <v>45659</v>
      </c>
      <c r="C882" s="19">
        <v>45656</v>
      </c>
      <c r="D882" s="38">
        <v>-3.5310729999998153E-5</v>
      </c>
      <c r="E882" s="38">
        <v>-1.628202949999942E-4</v>
      </c>
      <c r="F882" s="38">
        <v>-1.4196356600000221E-4</v>
      </c>
      <c r="G882" s="38">
        <v>0</v>
      </c>
    </row>
    <row r="883" spans="2:7" x14ac:dyDescent="0.2">
      <c r="B883" s="19">
        <v>45660</v>
      </c>
      <c r="C883" s="19">
        <v>45659</v>
      </c>
      <c r="D883" s="38">
        <v>8.1038657999999569E-4</v>
      </c>
      <c r="E883" s="38">
        <v>5.9126994599999552E-4</v>
      </c>
      <c r="F883" s="38">
        <v>5.6506405399999945E-4</v>
      </c>
      <c r="G883" s="38">
        <v>0</v>
      </c>
    </row>
    <row r="884" spans="2:7" x14ac:dyDescent="0.2">
      <c r="B884" s="19">
        <v>45663</v>
      </c>
      <c r="C884" s="19">
        <v>45660</v>
      </c>
      <c r="D884" s="38">
        <v>7.0911096500000242E-4</v>
      </c>
      <c r="E884" s="38">
        <v>5.9914613600000124E-4</v>
      </c>
      <c r="F884" s="38">
        <v>5.1304512500000357E-4</v>
      </c>
      <c r="G884" s="38">
        <v>-1.9999999999999879E-4</v>
      </c>
    </row>
    <row r="885" spans="2:7" x14ac:dyDescent="0.2">
      <c r="B885" s="19">
        <v>45664</v>
      </c>
      <c r="C885" s="19">
        <v>45663</v>
      </c>
      <c r="D885" s="38">
        <v>-5.6270228399999886E-4</v>
      </c>
      <c r="E885" s="38">
        <v>-1.221250219999997E-4</v>
      </c>
      <c r="F885" s="38">
        <v>7.4536705999998093E-5</v>
      </c>
      <c r="G885" s="38">
        <v>1.000000000000011E-4</v>
      </c>
    </row>
    <row r="886" spans="2:7" x14ac:dyDescent="0.2">
      <c r="B886" s="19">
        <v>45665</v>
      </c>
      <c r="C886" s="19">
        <v>45664</v>
      </c>
      <c r="D886" s="38">
        <v>4.5794221100000162E-4</v>
      </c>
      <c r="E886" s="38">
        <v>3.8820242300000382E-4</v>
      </c>
      <c r="F886" s="38">
        <v>5.7071166300000017E-4</v>
      </c>
      <c r="G886" s="38">
        <v>9.999999999999766E-5</v>
      </c>
    </row>
    <row r="887" spans="2:7" x14ac:dyDescent="0.2">
      <c r="B887" s="19">
        <v>45666</v>
      </c>
      <c r="C887" s="19">
        <v>45665</v>
      </c>
      <c r="D887" s="38">
        <v>1.5589662199999921E-4</v>
      </c>
      <c r="E887" s="38">
        <v>1.2986429399999491E-4</v>
      </c>
      <c r="F887" s="38">
        <v>1.0855272499999891E-4</v>
      </c>
      <c r="G887" s="38">
        <v>-9.999999999999766E-5</v>
      </c>
    </row>
    <row r="888" spans="2:7" x14ac:dyDescent="0.2">
      <c r="B888" s="19">
        <v>45667</v>
      </c>
      <c r="C888" s="19">
        <v>45666</v>
      </c>
      <c r="D888" s="38">
        <v>5.5531677099999663E-4</v>
      </c>
      <c r="E888" s="38">
        <v>5.4051881700000262E-4</v>
      </c>
      <c r="F888" s="38">
        <v>3.9945830800000229E-4</v>
      </c>
      <c r="G888" s="38">
        <v>-3.4694469519536142E-18</v>
      </c>
    </row>
    <row r="889" spans="2:7" x14ac:dyDescent="0.2">
      <c r="B889" s="19">
        <v>45670</v>
      </c>
      <c r="C889" s="19">
        <v>45667</v>
      </c>
      <c r="D889" s="38">
        <v>2.401053510000008E-4</v>
      </c>
      <c r="E889" s="38">
        <v>2.9220894600000269E-4</v>
      </c>
      <c r="F889" s="38">
        <v>2.5787920199999911E-4</v>
      </c>
      <c r="G889" s="38">
        <v>3.4694469519536142E-18</v>
      </c>
    </row>
    <row r="890" spans="2:7" x14ac:dyDescent="0.2">
      <c r="B890" s="19">
        <v>45671</v>
      </c>
      <c r="C890" s="19">
        <v>45670</v>
      </c>
      <c r="D890" s="38">
        <v>2.438298089999999E-4</v>
      </c>
      <c r="E890" s="38">
        <v>3.9720063999999777E-4</v>
      </c>
      <c r="F890" s="38">
        <v>3.665379810000001E-4</v>
      </c>
      <c r="G890" s="38">
        <v>0</v>
      </c>
    </row>
    <row r="891" spans="2:7" x14ac:dyDescent="0.2">
      <c r="B891" s="19">
        <v>45672</v>
      </c>
      <c r="C891" s="19">
        <v>45671</v>
      </c>
      <c r="D891" s="38">
        <v>-6.7368720200000273E-4</v>
      </c>
      <c r="E891" s="38">
        <v>-9.196022000000012E-4</v>
      </c>
      <c r="F891" s="38">
        <v>-8.8408831499999993E-4</v>
      </c>
      <c r="G891" s="38">
        <v>-2.000000000000005E-4</v>
      </c>
    </row>
    <row r="892" spans="2:7" x14ac:dyDescent="0.2">
      <c r="B892" s="19">
        <v>45673</v>
      </c>
      <c r="C892" s="19">
        <v>45672</v>
      </c>
      <c r="D892" s="38">
        <v>3.449462980000019E-4</v>
      </c>
      <c r="E892" s="38">
        <v>1.4175214400000141E-4</v>
      </c>
      <c r="F892" s="38">
        <v>2.7503070199999882E-4</v>
      </c>
      <c r="G892" s="38">
        <v>-1.000000000000011E-4</v>
      </c>
    </row>
    <row r="893" spans="2:7" x14ac:dyDescent="0.2">
      <c r="B893" s="19">
        <v>45674</v>
      </c>
      <c r="C893" s="19">
        <v>45673</v>
      </c>
      <c r="D893" s="38">
        <v>-2.9300218799999811E-4</v>
      </c>
      <c r="E893" s="38">
        <v>-5.3727278100000261E-4</v>
      </c>
      <c r="F893" s="38">
        <v>-5.6765705999999722E-4</v>
      </c>
      <c r="G893" s="38">
        <v>-1.0000000000000291E-4</v>
      </c>
    </row>
    <row r="894" spans="2:7" x14ac:dyDescent="0.2">
      <c r="B894" s="19">
        <v>45677</v>
      </c>
      <c r="C894" s="19">
        <v>45674</v>
      </c>
      <c r="D894" s="38">
        <v>-6.9769839999983541E-6</v>
      </c>
      <c r="E894" s="38">
        <v>9.182909800000208E-5</v>
      </c>
      <c r="F894" s="38">
        <v>-3.4676230000023341E-6</v>
      </c>
      <c r="G894" s="38">
        <v>-1.9999999999999529E-4</v>
      </c>
    </row>
    <row r="895" spans="2:7" x14ac:dyDescent="0.2">
      <c r="B895" s="19">
        <v>45678</v>
      </c>
      <c r="C895" s="19">
        <v>45677</v>
      </c>
      <c r="D895" s="38">
        <v>-3.0952613700000261E-4</v>
      </c>
      <c r="E895" s="38">
        <v>-8.7729104999999946E-5</v>
      </c>
      <c r="F895" s="38">
        <v>-8.1677769000001316E-5</v>
      </c>
      <c r="G895" s="38">
        <v>1.9999999999999529E-4</v>
      </c>
    </row>
    <row r="896" spans="2:7" x14ac:dyDescent="0.2">
      <c r="B896" s="19">
        <v>45679</v>
      </c>
      <c r="C896" s="19">
        <v>45678</v>
      </c>
      <c r="D896" s="38">
        <v>0</v>
      </c>
      <c r="E896" s="38">
        <v>0</v>
      </c>
      <c r="F896" s="38">
        <v>0</v>
      </c>
      <c r="G896" s="38">
        <v>-9.999999999999766E-5</v>
      </c>
    </row>
    <row r="897" spans="2:7" x14ac:dyDescent="0.2">
      <c r="B897" s="19">
        <v>45680</v>
      </c>
      <c r="C897" s="19">
        <v>45679</v>
      </c>
      <c r="D897" s="38">
        <v>1.2793341100000161E-4</v>
      </c>
      <c r="E897" s="38">
        <v>4.1942276299999909E-4</v>
      </c>
      <c r="F897" s="38">
        <v>2.5596887899999998E-4</v>
      </c>
      <c r="G897" s="38">
        <v>0</v>
      </c>
    </row>
    <row r="898" spans="2:7" x14ac:dyDescent="0.2">
      <c r="B898" s="19">
        <v>45681</v>
      </c>
      <c r="C898" s="19">
        <v>45680</v>
      </c>
      <c r="D898" s="38">
        <v>5.253626929999991E-4</v>
      </c>
      <c r="E898" s="38">
        <v>4.3243248399999981E-4</v>
      </c>
      <c r="F898" s="38">
        <v>3.4424351600000422E-4</v>
      </c>
      <c r="G898" s="38">
        <v>-2.9999999999999818E-4</v>
      </c>
    </row>
    <row r="899" spans="2:7" x14ac:dyDescent="0.2">
      <c r="B899" s="19">
        <v>45684</v>
      </c>
      <c r="C899" s="19">
        <v>45681</v>
      </c>
      <c r="D899" s="38">
        <v>-3.8444612999999703E-4</v>
      </c>
      <c r="E899" s="38">
        <v>-5.0060857799999817E-4</v>
      </c>
      <c r="F899" s="38">
        <v>-4.1706254100000451E-4</v>
      </c>
      <c r="G899" s="38">
        <v>2.9999999999999818E-4</v>
      </c>
    </row>
    <row r="900" spans="2:7" x14ac:dyDescent="0.2">
      <c r="B900" s="19">
        <v>45685</v>
      </c>
      <c r="C900" s="19">
        <v>45684</v>
      </c>
      <c r="D900" s="38">
        <v>4.9636599999958184E-6</v>
      </c>
      <c r="E900" s="38">
        <v>8.9191589999999127E-5</v>
      </c>
      <c r="F900" s="38">
        <v>1.3868961100000149E-4</v>
      </c>
      <c r="G900" s="38">
        <v>0</v>
      </c>
    </row>
    <row r="901" spans="2:7" x14ac:dyDescent="0.2">
      <c r="B901" s="19">
        <v>45686</v>
      </c>
      <c r="C901" s="19">
        <v>45685</v>
      </c>
      <c r="D901" s="38">
        <v>-7.3133942000001839E-5</v>
      </c>
      <c r="E901" s="38">
        <v>-6.6363721999997821E-5</v>
      </c>
      <c r="F901" s="38">
        <v>-1.235921739999972E-4</v>
      </c>
      <c r="G901" s="38">
        <v>-9.999999999999766E-5</v>
      </c>
    </row>
    <row r="902" spans="2:7" x14ac:dyDescent="0.2">
      <c r="B902" s="19">
        <v>45687</v>
      </c>
      <c r="C902" s="19">
        <v>45686</v>
      </c>
      <c r="D902" s="38">
        <v>-7.0767546599999689E-4</v>
      </c>
      <c r="E902" s="38">
        <v>-4.9150548800000471E-4</v>
      </c>
      <c r="F902" s="38">
        <v>-4.1391661300000168E-4</v>
      </c>
      <c r="G902" s="38">
        <v>-2.0000000000000399E-4</v>
      </c>
    </row>
    <row r="903" spans="2:7" x14ac:dyDescent="0.2">
      <c r="B903" s="19">
        <v>45688</v>
      </c>
      <c r="C903" s="19">
        <v>45687</v>
      </c>
      <c r="D903" s="38">
        <v>-6.8869227100000138E-4</v>
      </c>
      <c r="E903" s="38">
        <v>-4.7355449399999819E-4</v>
      </c>
      <c r="F903" s="38">
        <v>-4.0503269300000069E-4</v>
      </c>
      <c r="G903" s="38">
        <v>-9.9999999999999395E-5</v>
      </c>
    </row>
    <row r="904" spans="2:7" x14ac:dyDescent="0.2">
      <c r="B904" s="19">
        <v>45691</v>
      </c>
      <c r="C904" s="19">
        <v>45688</v>
      </c>
      <c r="D904" s="38">
        <v>-6.7978583100000017E-4</v>
      </c>
      <c r="E904" s="38">
        <v>-7.5519730199999704E-4</v>
      </c>
      <c r="F904" s="38">
        <v>-8.4048295799999881E-4</v>
      </c>
      <c r="G904" s="38">
        <v>2.9999999999999818E-4</v>
      </c>
    </row>
    <row r="905" spans="2:7" x14ac:dyDescent="0.2">
      <c r="B905" s="19">
        <v>45692</v>
      </c>
      <c r="C905" s="19">
        <v>45691</v>
      </c>
      <c r="D905" s="38">
        <v>1.0220270700000279E-4</v>
      </c>
      <c r="E905" s="38">
        <v>3.3818072599999671E-4</v>
      </c>
      <c r="F905" s="38">
        <v>3.0770813999999799E-4</v>
      </c>
      <c r="G905" s="38">
        <v>-3.9999999999999579E-4</v>
      </c>
    </row>
    <row r="906" spans="2:7" x14ac:dyDescent="0.2">
      <c r="B906" s="19">
        <v>45693</v>
      </c>
      <c r="C906" s="19">
        <v>45692</v>
      </c>
      <c r="D906" s="38">
        <v>1.3698869999998611E-5</v>
      </c>
      <c r="E906" s="38">
        <v>-3.2693089999999772E-4</v>
      </c>
      <c r="F906" s="38">
        <v>-5.5696642499999949E-4</v>
      </c>
      <c r="G906" s="38">
        <v>2.9999999999999818E-4</v>
      </c>
    </row>
    <row r="907" spans="2:7" x14ac:dyDescent="0.2">
      <c r="B907" s="19">
        <v>45694</v>
      </c>
      <c r="C907" s="19">
        <v>45693</v>
      </c>
      <c r="D907" s="38">
        <v>7.3097636000000327E-5</v>
      </c>
      <c r="E907" s="38">
        <v>3.7308321999999373E-5</v>
      </c>
      <c r="F907" s="38">
        <v>3.704095700000215E-5</v>
      </c>
      <c r="G907" s="38">
        <v>-2.9999999999999818E-4</v>
      </c>
    </row>
    <row r="908" spans="2:7" x14ac:dyDescent="0.2">
      <c r="B908" s="19">
        <v>45695</v>
      </c>
      <c r="C908" s="19">
        <v>45694</v>
      </c>
      <c r="D908" s="38">
        <v>7.4228219000001261E-5</v>
      </c>
      <c r="E908" s="38">
        <v>1.9261866300000069E-4</v>
      </c>
      <c r="F908" s="38">
        <v>3.7620255799999952E-4</v>
      </c>
      <c r="G908" s="38">
        <v>2.000000000000005E-4</v>
      </c>
    </row>
    <row r="909" spans="2:7" x14ac:dyDescent="0.2">
      <c r="B909" s="19">
        <v>45698</v>
      </c>
      <c r="C909" s="19">
        <v>45695</v>
      </c>
      <c r="D909" s="38">
        <v>-3.7720495200000217E-4</v>
      </c>
      <c r="E909" s="38">
        <v>-5.4092742299999969E-4</v>
      </c>
      <c r="F909" s="38">
        <v>-2.9334108800000222E-4</v>
      </c>
      <c r="G909" s="38">
        <v>-9.999999999999766E-5</v>
      </c>
    </row>
    <row r="910" spans="2:7" x14ac:dyDescent="0.2">
      <c r="B910" s="19">
        <v>45699</v>
      </c>
      <c r="C910" s="19">
        <v>45698</v>
      </c>
      <c r="D910" s="38">
        <v>4.5815379399999698E-4</v>
      </c>
      <c r="E910" s="38">
        <v>6.9538243099999744E-4</v>
      </c>
      <c r="F910" s="38">
        <v>6.6460205600000002E-4</v>
      </c>
      <c r="G910" s="38">
        <v>-1.0000000000000291E-4</v>
      </c>
    </row>
    <row r="911" spans="2:7" x14ac:dyDescent="0.2">
      <c r="B911" s="19">
        <v>45700</v>
      </c>
      <c r="C911" s="19">
        <v>45699</v>
      </c>
      <c r="D911" s="38">
        <v>5.1539500300000138E-4</v>
      </c>
      <c r="E911" s="38">
        <v>5.8517930000000218E-4</v>
      </c>
      <c r="F911" s="38">
        <v>5.1883831400000024E-4</v>
      </c>
      <c r="G911" s="38">
        <v>-3.4694469519536142E-18</v>
      </c>
    </row>
    <row r="912" spans="2:7" x14ac:dyDescent="0.2">
      <c r="B912" s="19">
        <v>45701</v>
      </c>
      <c r="C912" s="19">
        <v>45700</v>
      </c>
      <c r="D912" s="38">
        <v>-3.821851499999987E-4</v>
      </c>
      <c r="E912" s="38">
        <v>-5.9191692600000373E-4</v>
      </c>
      <c r="F912" s="38">
        <v>-6.2842169400000036E-4</v>
      </c>
      <c r="G912" s="38">
        <v>-2.000000000000005E-4</v>
      </c>
    </row>
    <row r="913" spans="2:7" x14ac:dyDescent="0.2">
      <c r="B913" s="19">
        <v>45702</v>
      </c>
      <c r="C913" s="19">
        <v>45701</v>
      </c>
      <c r="D913" s="38">
        <v>2.752420219999975E-4</v>
      </c>
      <c r="E913" s="38">
        <v>4.5189344000003129E-5</v>
      </c>
      <c r="F913" s="38">
        <v>1.155749810000002E-4</v>
      </c>
      <c r="G913" s="38">
        <v>1.0000000000000291E-4</v>
      </c>
    </row>
    <row r="914" spans="2:7" x14ac:dyDescent="0.2">
      <c r="B914" s="19">
        <v>45705</v>
      </c>
      <c r="C914" s="19">
        <v>45702</v>
      </c>
      <c r="D914" s="38">
        <v>1.4811582700000389E-4</v>
      </c>
      <c r="E914" s="38">
        <v>4.5951099099999712E-4</v>
      </c>
      <c r="F914" s="38">
        <v>4.558392380000012E-4</v>
      </c>
      <c r="G914" s="38">
        <v>-4.9999999999999871E-4</v>
      </c>
    </row>
    <row r="915" spans="2:7" x14ac:dyDescent="0.2">
      <c r="B915" s="19">
        <v>45706</v>
      </c>
      <c r="C915" s="19">
        <v>45705</v>
      </c>
      <c r="D915" s="38">
        <v>-3.1402704000000482E-5</v>
      </c>
      <c r="E915" s="38">
        <v>1.0005615700000441E-4</v>
      </c>
      <c r="F915" s="38">
        <v>1.205646190000007E-4</v>
      </c>
      <c r="G915" s="38">
        <v>-2.0000000000000399E-4</v>
      </c>
    </row>
    <row r="916" spans="2:7" x14ac:dyDescent="0.2">
      <c r="B916" s="19">
        <v>45707</v>
      </c>
      <c r="C916" s="19">
        <v>45706</v>
      </c>
      <c r="D916" s="38">
        <v>5.4400806200000096E-4</v>
      </c>
      <c r="E916" s="38">
        <v>5.297599929999959E-4</v>
      </c>
      <c r="F916" s="38">
        <v>5.1660150800000165E-4</v>
      </c>
      <c r="G916" s="38">
        <v>3.4694469519536142E-18</v>
      </c>
    </row>
    <row r="917" spans="2:7" x14ac:dyDescent="0.2">
      <c r="B917" s="19">
        <v>45708</v>
      </c>
      <c r="C917" s="19">
        <v>45707</v>
      </c>
      <c r="D917" s="38">
        <v>-2.2347146200000009E-4</v>
      </c>
      <c r="E917" s="38">
        <v>-1.355654369999959E-4</v>
      </c>
      <c r="F917" s="38">
        <v>-7.8113810000002282E-5</v>
      </c>
      <c r="G917" s="38">
        <v>-1.0000000000000291E-4</v>
      </c>
    </row>
    <row r="918" spans="2:7" x14ac:dyDescent="0.2">
      <c r="B918" s="19">
        <v>45709</v>
      </c>
      <c r="C918" s="19">
        <v>45708</v>
      </c>
      <c r="D918" s="38">
        <v>-6.3517442599999793E-4</v>
      </c>
      <c r="E918" s="38">
        <v>-6.5215686200000358E-4</v>
      </c>
      <c r="F918" s="38">
        <v>-6.3563615899999912E-4</v>
      </c>
      <c r="G918" s="38">
        <v>1.0000000000000291E-4</v>
      </c>
    </row>
    <row r="919" spans="2:7" x14ac:dyDescent="0.2">
      <c r="B919" s="19">
        <v>45712</v>
      </c>
      <c r="C919" s="19">
        <v>45709</v>
      </c>
      <c r="D919" s="38">
        <v>-1.596406710000012E-4</v>
      </c>
      <c r="E919" s="38">
        <v>-1.3318896399999719E-4</v>
      </c>
      <c r="F919" s="38">
        <v>-3.5349922000001137E-5</v>
      </c>
      <c r="G919" s="38">
        <v>0</v>
      </c>
    </row>
    <row r="920" spans="2:7" x14ac:dyDescent="0.2">
      <c r="B920" s="19">
        <v>45713</v>
      </c>
      <c r="C920" s="19">
        <v>45712</v>
      </c>
      <c r="D920" s="38">
        <v>-1.1403697000000181E-4</v>
      </c>
      <c r="E920" s="38">
        <v>-8.7263199999999819E-5</v>
      </c>
      <c r="F920" s="38">
        <v>-7.5833838999998793E-5</v>
      </c>
      <c r="G920" s="38">
        <v>1.0000000000000291E-4</v>
      </c>
    </row>
    <row r="921" spans="2:7" x14ac:dyDescent="0.2">
      <c r="B921" s="19">
        <v>45714</v>
      </c>
      <c r="C921" s="19">
        <v>45713</v>
      </c>
      <c r="D921" s="38">
        <v>-9.0927910000003498E-6</v>
      </c>
      <c r="E921" s="38">
        <v>-1.302204890000005E-4</v>
      </c>
      <c r="F921" s="38">
        <v>-2.221327979999993E-4</v>
      </c>
      <c r="G921" s="38">
        <v>1.9999999999999529E-4</v>
      </c>
    </row>
    <row r="922" spans="2:7" x14ac:dyDescent="0.2">
      <c r="B922" s="19">
        <v>45715</v>
      </c>
      <c r="C922" s="19">
        <v>45714</v>
      </c>
      <c r="D922" s="38">
        <v>-2.167728089999994E-4</v>
      </c>
      <c r="E922" s="38">
        <v>-4.266361079999989E-4</v>
      </c>
      <c r="F922" s="38">
        <v>-8.6268135000004686E-5</v>
      </c>
      <c r="G922" s="38">
        <v>-1.9999999999999529E-4</v>
      </c>
    </row>
    <row r="923" spans="2:7" x14ac:dyDescent="0.2">
      <c r="B923" s="19">
        <v>45716</v>
      </c>
      <c r="C923" s="19">
        <v>45715</v>
      </c>
      <c r="D923" s="38">
        <v>-1.8216698000000231E-4</v>
      </c>
      <c r="E923" s="38">
        <v>-1.807352360000021E-4</v>
      </c>
      <c r="F923" s="38">
        <v>-2.721029499999951E-4</v>
      </c>
      <c r="G923" s="38">
        <v>3.9999999999999931E-4</v>
      </c>
    </row>
    <row r="924" spans="2:7" x14ac:dyDescent="0.2">
      <c r="B924" s="19">
        <v>45719</v>
      </c>
      <c r="C924" s="19">
        <v>45716</v>
      </c>
      <c r="D924" s="38">
        <v>5.7359269800000279E-4</v>
      </c>
      <c r="E924" s="38">
        <v>8.3674546400000147E-4</v>
      </c>
      <c r="F924" s="38">
        <v>1.0904488039999989E-3</v>
      </c>
      <c r="G924" s="38">
        <v>-3.0000000000000171E-4</v>
      </c>
    </row>
    <row r="925" spans="2:7" x14ac:dyDescent="0.2">
      <c r="B925" s="19">
        <v>45720</v>
      </c>
      <c r="C925" s="19">
        <v>45719</v>
      </c>
      <c r="D925" s="38">
        <v>-5.7583188400000054E-4</v>
      </c>
      <c r="E925" s="38">
        <v>-6.1366961700000042E-4</v>
      </c>
      <c r="F925" s="38">
        <v>-1.5736704500000231E-4</v>
      </c>
      <c r="G925" s="38">
        <v>1.0000000000000291E-4</v>
      </c>
    </row>
    <row r="926" spans="2:7" x14ac:dyDescent="0.2">
      <c r="B926" s="19">
        <v>45721</v>
      </c>
      <c r="C926" s="19">
        <v>45720</v>
      </c>
      <c r="D926" s="38">
        <v>1.6776612409999979E-3</v>
      </c>
      <c r="E926" s="38">
        <v>2.6066499269999971E-3</v>
      </c>
      <c r="F926" s="38">
        <v>2.3615360970000031E-3</v>
      </c>
      <c r="G926" s="38">
        <v>-8.000000000000021E-4</v>
      </c>
    </row>
    <row r="927" spans="2:7" x14ac:dyDescent="0.2">
      <c r="B927" s="19">
        <v>45722</v>
      </c>
      <c r="C927" s="19">
        <v>45721</v>
      </c>
      <c r="D927" s="38">
        <v>8.3852281999999972E-4</v>
      </c>
      <c r="E927" s="38">
        <v>1.3494864289999989E-3</v>
      </c>
      <c r="F927" s="38">
        <v>1.462658878999996E-3</v>
      </c>
      <c r="G927" s="38">
        <v>-3.4694469519536142E-18</v>
      </c>
    </row>
    <row r="928" spans="2:7" x14ac:dyDescent="0.2">
      <c r="B928" s="19">
        <v>45723</v>
      </c>
      <c r="C928" s="19">
        <v>45722</v>
      </c>
      <c r="D928" s="38">
        <v>-4.5706786499999721E-4</v>
      </c>
      <c r="E928" s="38">
        <v>-6.6508058999999523E-4</v>
      </c>
      <c r="F928" s="38">
        <v>-7.18953118E-4</v>
      </c>
      <c r="G928" s="38">
        <v>1.000000000000011E-4</v>
      </c>
    </row>
    <row r="929" spans="2:7" x14ac:dyDescent="0.2">
      <c r="B929" s="19">
        <v>45726</v>
      </c>
      <c r="C929" s="19">
        <v>45723</v>
      </c>
      <c r="D929" s="38">
        <v>-3.2355591799999861E-4</v>
      </c>
      <c r="E929" s="38">
        <v>-2.4549420600000407E-4</v>
      </c>
      <c r="F929" s="38">
        <v>-4.315320500000025E-5</v>
      </c>
      <c r="G929" s="38">
        <v>0</v>
      </c>
    </row>
    <row r="930" spans="2:7" x14ac:dyDescent="0.2">
      <c r="B930" s="19">
        <v>45727</v>
      </c>
      <c r="C930" s="19">
        <v>45726</v>
      </c>
      <c r="D930" s="38">
        <v>6.1158919999991512E-6</v>
      </c>
      <c r="E930" s="38">
        <v>4.1237087900000002E-4</v>
      </c>
      <c r="F930" s="38">
        <v>6.5534535800000279E-4</v>
      </c>
      <c r="G930" s="38">
        <v>-1.9999999999999879E-4</v>
      </c>
    </row>
    <row r="931" spans="2:7" x14ac:dyDescent="0.2">
      <c r="B931" s="19">
        <v>45728</v>
      </c>
      <c r="C931" s="19">
        <v>45727</v>
      </c>
      <c r="D931" s="38">
        <v>2.8595930299999892E-4</v>
      </c>
      <c r="E931" s="38">
        <v>1.511272109999996E-4</v>
      </c>
      <c r="F931" s="38">
        <v>-1.30208000003601E-7</v>
      </c>
      <c r="G931" s="38">
        <v>0</v>
      </c>
    </row>
    <row r="932" spans="2:7" x14ac:dyDescent="0.2">
      <c r="B932" s="19">
        <v>45729</v>
      </c>
      <c r="C932" s="19">
        <v>45728</v>
      </c>
      <c r="D932" s="38">
        <v>-3.5473543500000321E-4</v>
      </c>
      <c r="E932" s="38">
        <v>-2.9014285499999812E-4</v>
      </c>
      <c r="F932" s="38">
        <v>-2.0624175599999459E-4</v>
      </c>
      <c r="G932" s="38">
        <v>1.9999999999999879E-4</v>
      </c>
    </row>
    <row r="933" spans="2:7" x14ac:dyDescent="0.2">
      <c r="B933" s="19">
        <v>45730</v>
      </c>
      <c r="C933" s="19">
        <v>45729</v>
      </c>
      <c r="D933" s="38">
        <v>3.0365719000000069E-4</v>
      </c>
      <c r="E933" s="38">
        <v>1.4963790999997921E-5</v>
      </c>
      <c r="F933" s="38">
        <v>3.2499759699999847E-4</v>
      </c>
      <c r="G933" s="38">
        <v>6.0000000000000157E-4</v>
      </c>
    </row>
    <row r="934" spans="2:7" x14ac:dyDescent="0.2">
      <c r="B934" s="19">
        <v>45733</v>
      </c>
      <c r="C934" s="19">
        <v>45730</v>
      </c>
      <c r="D934" s="38">
        <v>-2.9555199099999541E-4</v>
      </c>
      <c r="E934" s="38">
        <v>-2.8978132099999679E-4</v>
      </c>
      <c r="F934" s="38">
        <v>-8.0428610900000128E-4</v>
      </c>
      <c r="G934" s="38">
        <v>1.9999999999999529E-4</v>
      </c>
    </row>
    <row r="935" spans="2:7" x14ac:dyDescent="0.2">
      <c r="B935" s="19">
        <v>45734</v>
      </c>
      <c r="C935" s="19">
        <v>45733</v>
      </c>
      <c r="D935" s="38">
        <v>2.255931999999988E-4</v>
      </c>
      <c r="E935" s="38">
        <v>2.6599742799999701E-4</v>
      </c>
      <c r="F935" s="38">
        <v>3.1050240900000117E-4</v>
      </c>
      <c r="G935" s="38">
        <v>-3.9999999999999931E-4</v>
      </c>
    </row>
    <row r="936" spans="2:7" x14ac:dyDescent="0.2">
      <c r="B936" s="19">
        <v>45735</v>
      </c>
      <c r="C936" s="19">
        <v>45734</v>
      </c>
      <c r="D936" s="38">
        <v>-2.7654018300000282E-4</v>
      </c>
      <c r="E936" s="38">
        <v>-3.1091778599999861E-4</v>
      </c>
      <c r="F936" s="38">
        <v>-3.8840507400000201E-4</v>
      </c>
      <c r="G936" s="38">
        <v>2.0000000000000399E-4</v>
      </c>
    </row>
    <row r="937" spans="2:7" x14ac:dyDescent="0.2">
      <c r="B937" s="19">
        <v>45736</v>
      </c>
      <c r="C937" s="19">
        <v>45735</v>
      </c>
      <c r="D937" s="38">
        <v>-2.7524397899999711E-4</v>
      </c>
      <c r="E937" s="38">
        <v>-2.6821348199999873E-4</v>
      </c>
      <c r="F937" s="38">
        <v>-3.124083829999999E-4</v>
      </c>
      <c r="G937" s="38">
        <v>-1.0000000000000291E-4</v>
      </c>
    </row>
    <row r="938" spans="2:7" x14ac:dyDescent="0.2">
      <c r="B938" s="19">
        <v>45737</v>
      </c>
      <c r="C938" s="19">
        <v>45736</v>
      </c>
      <c r="D938" s="38">
        <v>-1.9668781000001249E-5</v>
      </c>
      <c r="E938" s="38">
        <v>-3.3214250299999978E-4</v>
      </c>
      <c r="F938" s="38">
        <v>1.9154065499999909E-4</v>
      </c>
      <c r="G938" s="38">
        <v>0</v>
      </c>
    </row>
    <row r="939" spans="2:7" x14ac:dyDescent="0.2">
      <c r="B939" s="19">
        <v>45740</v>
      </c>
      <c r="C939" s="19">
        <v>45737</v>
      </c>
      <c r="D939" s="38">
        <v>-4.2998140999998817E-5</v>
      </c>
      <c r="E939" s="38">
        <v>8.0762765000002429E-5</v>
      </c>
      <c r="F939" s="38">
        <v>1.722091379999999E-4</v>
      </c>
      <c r="G939" s="38">
        <v>0</v>
      </c>
    </row>
    <row r="940" spans="2:7" x14ac:dyDescent="0.2">
      <c r="B940" s="19">
        <v>45741</v>
      </c>
      <c r="C940" s="19">
        <v>45740</v>
      </c>
      <c r="D940" s="38">
        <v>9.6026446999998571E-5</v>
      </c>
      <c r="E940" s="38">
        <v>1.4771903899999869E-4</v>
      </c>
      <c r="F940" s="38">
        <v>1.5211404399999989E-4</v>
      </c>
      <c r="G940" s="38">
        <v>-2.000000000000005E-4</v>
      </c>
    </row>
    <row r="941" spans="2:7" x14ac:dyDescent="0.2">
      <c r="B941" s="19">
        <v>45742</v>
      </c>
      <c r="C941" s="19">
        <v>45741</v>
      </c>
      <c r="D941" s="38">
        <v>-2.6710585999999842E-4</v>
      </c>
      <c r="E941" s="38">
        <v>-3.0497894999998582E-5</v>
      </c>
      <c r="F941" s="38">
        <v>-1.2677911399999739E-4</v>
      </c>
      <c r="G941" s="38">
        <v>2.000000000000057E-4</v>
      </c>
    </row>
    <row r="942" spans="2:7" x14ac:dyDescent="0.2">
      <c r="B942" s="19">
        <v>45743</v>
      </c>
      <c r="C942" s="19">
        <v>45742</v>
      </c>
      <c r="D942" s="38">
        <v>-3.7264541300000362E-4</v>
      </c>
      <c r="E942" s="38">
        <v>-3.1830663300000389E-4</v>
      </c>
      <c r="F942" s="38">
        <v>-3.2743027000001201E-5</v>
      </c>
      <c r="G942" s="38">
        <v>1.9999999999999529E-4</v>
      </c>
    </row>
    <row r="943" spans="2:7" x14ac:dyDescent="0.2">
      <c r="B943" s="19">
        <v>45744</v>
      </c>
      <c r="C943" s="19">
        <v>45743</v>
      </c>
      <c r="D943" s="38">
        <v>-2.7822105599999841E-4</v>
      </c>
      <c r="E943" s="38">
        <v>-5.4079684799999972E-4</v>
      </c>
      <c r="F943" s="38">
        <v>-5.0239079500000172E-4</v>
      </c>
      <c r="G943" s="38">
        <v>3.0000000000000171E-4</v>
      </c>
    </row>
    <row r="944" spans="2:7" x14ac:dyDescent="0.2">
      <c r="B944" s="19">
        <v>45747</v>
      </c>
      <c r="C944" s="19">
        <v>45744</v>
      </c>
      <c r="D944" s="38">
        <v>-2.6646838400000081E-4</v>
      </c>
      <c r="E944" s="38">
        <v>-3.1551859699999879E-4</v>
      </c>
      <c r="F944" s="38">
        <v>-3.038261750000007E-4</v>
      </c>
      <c r="G944" s="38">
        <v>4.0000000000000099E-4</v>
      </c>
    </row>
    <row r="945" spans="2:7" x14ac:dyDescent="0.2">
      <c r="B945" s="19">
        <v>45748</v>
      </c>
      <c r="C945" s="19">
        <v>45747</v>
      </c>
      <c r="D945" s="38">
        <v>1.434770000030561E-7</v>
      </c>
      <c r="E945" s="38">
        <v>-1.3233176899999849E-4</v>
      </c>
      <c r="F945" s="38">
        <v>-2.2808333299999961E-4</v>
      </c>
      <c r="G945" s="38">
        <v>0</v>
      </c>
    </row>
    <row r="946" spans="2:7" x14ac:dyDescent="0.2">
      <c r="B946" s="19">
        <v>45749</v>
      </c>
      <c r="C946" s="19">
        <v>45748</v>
      </c>
      <c r="D946" s="38">
        <v>-5.1933336000002661E-5</v>
      </c>
      <c r="E946" s="38">
        <v>6.8753120999999473E-5</v>
      </c>
      <c r="F946" s="38">
        <v>2.0365351000004719E-5</v>
      </c>
      <c r="G946" s="38">
        <v>-1.0000000000000291E-4</v>
      </c>
    </row>
    <row r="947" spans="2:7" x14ac:dyDescent="0.2">
      <c r="B947" s="19">
        <v>45750</v>
      </c>
      <c r="C947" s="19">
        <v>45749</v>
      </c>
      <c r="D947" s="38">
        <v>-4.5606406099999933E-4</v>
      </c>
      <c r="E947" s="38">
        <v>-6.5051246900000095E-4</v>
      </c>
      <c r="F947" s="38">
        <v>-2.7221080199999961E-4</v>
      </c>
      <c r="G947" s="38">
        <v>7.000000000000027E-4</v>
      </c>
    </row>
    <row r="948" spans="2:7" x14ac:dyDescent="0.2">
      <c r="B948" s="19">
        <v>45751</v>
      </c>
      <c r="C948" s="19">
        <v>45750</v>
      </c>
      <c r="D948" s="38">
        <v>-1.2237789660000001E-3</v>
      </c>
      <c r="E948" s="38">
        <v>-1.196860950999998E-3</v>
      </c>
      <c r="F948" s="38">
        <v>-8.6184037600000457E-4</v>
      </c>
      <c r="G948" s="38">
        <v>1.1999999999999979E-3</v>
      </c>
    </row>
    <row r="949" spans="2:7" x14ac:dyDescent="0.2">
      <c r="B949" s="19">
        <v>45754</v>
      </c>
      <c r="C949" s="19">
        <v>45751</v>
      </c>
      <c r="D949" s="38">
        <v>-3.3658930100000101E-4</v>
      </c>
      <c r="E949" s="38">
        <v>4.4460804999996863E-5</v>
      </c>
      <c r="F949" s="38">
        <v>3.3973258000000173E-4</v>
      </c>
      <c r="G949" s="38">
        <v>2.2999999999999978E-3</v>
      </c>
    </row>
    <row r="950" spans="2:7" x14ac:dyDescent="0.2">
      <c r="B950" s="19">
        <v>45755</v>
      </c>
      <c r="C950" s="19">
        <v>45754</v>
      </c>
      <c r="D950" s="38">
        <v>1.1701361380000021E-3</v>
      </c>
      <c r="E950" s="38">
        <v>9.1132782100000059E-4</v>
      </c>
      <c r="F950" s="38">
        <v>7.170127869999994E-4</v>
      </c>
      <c r="G950" s="38">
        <v>-1.2999999999999969E-3</v>
      </c>
    </row>
    <row r="951" spans="2:7" x14ac:dyDescent="0.2">
      <c r="B951" s="19">
        <v>45756</v>
      </c>
      <c r="C951" s="19">
        <v>45755</v>
      </c>
      <c r="D951" s="38">
        <v>-1.540370787000003E-3</v>
      </c>
      <c r="E951" s="38">
        <v>-9.3459299500000051E-4</v>
      </c>
      <c r="F951" s="38">
        <v>-6.6631475699999859E-4</v>
      </c>
      <c r="G951" s="38">
        <v>6.999999999999975E-4</v>
      </c>
    </row>
    <row r="952" spans="2:7" x14ac:dyDescent="0.2">
      <c r="B952" s="19">
        <v>45757</v>
      </c>
      <c r="C952" s="19">
        <v>45756</v>
      </c>
      <c r="D952" s="38">
        <v>8.0531146900000156E-4</v>
      </c>
      <c r="E952" s="38">
        <v>3.8917345199999948E-4</v>
      </c>
      <c r="F952" s="38">
        <v>-8.9264328000000781E-5</v>
      </c>
      <c r="G952" s="38">
        <v>-1.4E-3</v>
      </c>
    </row>
    <row r="953" spans="2:7" x14ac:dyDescent="0.2">
      <c r="B953" s="19">
        <v>45758</v>
      </c>
      <c r="C953" s="19">
        <v>45757</v>
      </c>
      <c r="D953" s="38">
        <v>-1.0135491979999969E-3</v>
      </c>
      <c r="E953" s="38">
        <v>-5.4098271899999731E-4</v>
      </c>
      <c r="F953" s="38">
        <v>-7.3966064200000139E-4</v>
      </c>
      <c r="G953" s="38">
        <v>5.0000000000000218E-4</v>
      </c>
    </row>
    <row r="954" spans="2:7" x14ac:dyDescent="0.2">
      <c r="B954" s="19">
        <v>45761</v>
      </c>
      <c r="C954" s="19">
        <v>45758</v>
      </c>
      <c r="D954" s="38">
        <v>9.1104979999995922E-5</v>
      </c>
      <c r="E954" s="38">
        <v>2.5437309200000008E-4</v>
      </c>
      <c r="F954" s="38">
        <v>-4.9004423999996632E-5</v>
      </c>
      <c r="G954" s="38">
        <v>0</v>
      </c>
    </row>
    <row r="955" spans="2:7" x14ac:dyDescent="0.2">
      <c r="B955" s="19">
        <v>45762</v>
      </c>
      <c r="C955" s="19">
        <v>45761</v>
      </c>
      <c r="D955" s="38">
        <v>3.5617416000000007E-4</v>
      </c>
      <c r="E955" s="38">
        <v>-4.1101123000000788E-5</v>
      </c>
      <c r="F955" s="38">
        <v>3.2099203499999512E-4</v>
      </c>
      <c r="G955" s="38">
        <v>-2.000000000000005E-4</v>
      </c>
    </row>
    <row r="956" spans="2:7" x14ac:dyDescent="0.2">
      <c r="B956" s="19">
        <v>45763</v>
      </c>
      <c r="C956" s="19">
        <v>45762</v>
      </c>
      <c r="D956" s="38">
        <v>-4.5693463899999792E-4</v>
      </c>
      <c r="E956" s="38">
        <v>-3.4988969000000059E-4</v>
      </c>
      <c r="F956" s="38">
        <v>-3.1312424399999872E-4</v>
      </c>
      <c r="G956" s="38">
        <v>-3.9999999999999931E-4</v>
      </c>
    </row>
    <row r="957" spans="2:7" x14ac:dyDescent="0.2">
      <c r="B957" s="19">
        <v>45764</v>
      </c>
      <c r="C957" s="19">
        <v>45763</v>
      </c>
      <c r="D957" s="38">
        <v>-2.4411900500000139E-4</v>
      </c>
      <c r="E957" s="38">
        <v>-2.9672556100000108E-4</v>
      </c>
      <c r="F957" s="38">
        <v>-2.4884338499999922E-4</v>
      </c>
      <c r="G957" s="38">
        <v>-6.9999999999999923E-4</v>
      </c>
    </row>
    <row r="958" spans="2:7" x14ac:dyDescent="0.2">
      <c r="B958" s="19">
        <v>45769</v>
      </c>
      <c r="C958" s="19">
        <v>45764</v>
      </c>
      <c r="D958" s="38">
        <v>-3.2765857000000009E-4</v>
      </c>
      <c r="E958" s="38">
        <v>-1.6033096099999511E-4</v>
      </c>
      <c r="F958" s="38">
        <v>-2.271177119999995E-4</v>
      </c>
      <c r="G958" s="38">
        <v>1.0000000000000291E-4</v>
      </c>
    </row>
    <row r="959" spans="2:7" x14ac:dyDescent="0.2">
      <c r="B959" s="19">
        <v>45770</v>
      </c>
      <c r="C959" s="19">
        <v>45769</v>
      </c>
      <c r="D959" s="38">
        <v>7.1476958900000206E-4</v>
      </c>
      <c r="E959" s="38">
        <v>5.6199065699999787E-4</v>
      </c>
      <c r="F959" s="38">
        <v>4.820290599999999E-4</v>
      </c>
      <c r="G959" s="38">
        <v>-5.0000000000000391E-4</v>
      </c>
    </row>
    <row r="960" spans="2:7" x14ac:dyDescent="0.2">
      <c r="B960" s="19">
        <v>45771</v>
      </c>
      <c r="C960" s="19">
        <v>45770</v>
      </c>
      <c r="D960" s="38">
        <v>-6.5588596500000193E-4</v>
      </c>
      <c r="E960" s="38">
        <v>-6.3740709400000178E-4</v>
      </c>
      <c r="F960" s="38">
        <v>-5.1079727899999705E-4</v>
      </c>
      <c r="G960" s="38">
        <v>-1.9999999999999879E-4</v>
      </c>
    </row>
    <row r="961" spans="2:7" x14ac:dyDescent="0.2">
      <c r="B961" s="19">
        <v>45772</v>
      </c>
      <c r="C961" s="19">
        <v>45771</v>
      </c>
      <c r="D961" s="38">
        <v>3.8019978400000149E-4</v>
      </c>
      <c r="E961" s="38">
        <v>1.9102981600000249E-4</v>
      </c>
      <c r="F961" s="38">
        <v>1.3445481699999801E-4</v>
      </c>
      <c r="G961" s="38">
        <v>-2.000000000000005E-4</v>
      </c>
    </row>
    <row r="962" spans="2:7" x14ac:dyDescent="0.2">
      <c r="B962" s="19">
        <v>45775</v>
      </c>
      <c r="C962" s="19">
        <v>45772</v>
      </c>
      <c r="D962" s="38">
        <v>2.0541471699999861E-4</v>
      </c>
      <c r="E962" s="38">
        <v>2.5181685499999629E-4</v>
      </c>
      <c r="F962" s="38">
        <v>4.4903761600000042E-4</v>
      </c>
      <c r="G962" s="38">
        <v>-9.999999999999766E-5</v>
      </c>
    </row>
    <row r="963" spans="2:7" x14ac:dyDescent="0.2">
      <c r="B963" s="19">
        <v>45776</v>
      </c>
      <c r="C963" s="19">
        <v>45775</v>
      </c>
      <c r="D963" s="38">
        <v>8.8271003000000431E-5</v>
      </c>
      <c r="E963" s="38">
        <v>-1.650611989999981E-4</v>
      </c>
      <c r="F963" s="38">
        <v>-1.8120115899999961E-4</v>
      </c>
      <c r="G963" s="38">
        <v>1.9999999999999529E-4</v>
      </c>
    </row>
    <row r="964" spans="2:7" x14ac:dyDescent="0.2">
      <c r="B964" s="19">
        <v>45777</v>
      </c>
      <c r="C964" s="19">
        <v>45776</v>
      </c>
      <c r="D964" s="38">
        <v>-4.5643663300000067E-4</v>
      </c>
      <c r="E964" s="38">
        <v>-3.5102748000000178E-4</v>
      </c>
      <c r="F964" s="38">
        <v>-3.1795148400000009E-4</v>
      </c>
      <c r="G964" s="38">
        <v>2.000000000000005E-4</v>
      </c>
    </row>
    <row r="965" spans="2:7" x14ac:dyDescent="0.2">
      <c r="B965" s="19">
        <v>45779</v>
      </c>
      <c r="C965" s="19">
        <v>45777</v>
      </c>
      <c r="D965" s="38">
        <v>5.0862796999999807E-4</v>
      </c>
      <c r="E965" s="38">
        <v>4.5177521700000278E-4</v>
      </c>
      <c r="F965" s="38">
        <v>3.8433216000000048E-4</v>
      </c>
      <c r="G965" s="38">
        <v>3.0000000000000171E-4</v>
      </c>
    </row>
    <row r="966" spans="2:7" x14ac:dyDescent="0.2">
      <c r="B966" s="19">
        <v>45782</v>
      </c>
      <c r="C966" s="19">
        <v>45779</v>
      </c>
      <c r="D966" s="38">
        <v>-8.5378815999997276E-5</v>
      </c>
      <c r="E966" s="38">
        <v>9.867665399999892E-5</v>
      </c>
      <c r="F966" s="38">
        <v>2.444036279999999E-4</v>
      </c>
      <c r="G966" s="38">
        <v>-2.9999999999999818E-4</v>
      </c>
    </row>
    <row r="967" spans="2:7" x14ac:dyDescent="0.2">
      <c r="B967" s="19">
        <v>45783</v>
      </c>
      <c r="C967" s="19">
        <v>45782</v>
      </c>
      <c r="D967" s="38">
        <v>2.5351392199999748E-4</v>
      </c>
      <c r="E967" s="38">
        <v>2.2007130299999891E-4</v>
      </c>
      <c r="F967" s="38">
        <v>3.4041248099999852E-4</v>
      </c>
      <c r="G967" s="38">
        <v>-1.000000000000011E-4</v>
      </c>
    </row>
    <row r="968" spans="2:7" x14ac:dyDescent="0.2">
      <c r="B968" s="19">
        <v>45784</v>
      </c>
      <c r="C968" s="19">
        <v>45783</v>
      </c>
      <c r="D968" s="38">
        <v>-3.5171424799999851E-4</v>
      </c>
      <c r="E968" s="38">
        <v>-5.0678314900000007E-4</v>
      </c>
      <c r="F968" s="38">
        <v>-6.1050739699999856E-4</v>
      </c>
      <c r="G968" s="38">
        <v>0</v>
      </c>
    </row>
    <row r="969" spans="2:7" x14ac:dyDescent="0.2">
      <c r="B969" s="19">
        <v>45785</v>
      </c>
      <c r="C969" s="19">
        <v>45784</v>
      </c>
      <c r="D969" s="38">
        <v>9.3481680000000178E-5</v>
      </c>
      <c r="E969" s="38">
        <v>2.0485618899999949E-4</v>
      </c>
      <c r="F969" s="38">
        <v>1.628982319999972E-4</v>
      </c>
      <c r="G969" s="38">
        <v>-2.000000000000005E-4</v>
      </c>
    </row>
    <row r="970" spans="2:7" x14ac:dyDescent="0.2">
      <c r="B970" s="19">
        <v>45786</v>
      </c>
      <c r="C970" s="19">
        <v>45785</v>
      </c>
      <c r="D970" s="38">
        <v>3.2239569500000162E-4</v>
      </c>
      <c r="E970" s="38">
        <v>5.0739526000000146E-4</v>
      </c>
      <c r="F970" s="38">
        <v>5.6796885800000294E-4</v>
      </c>
      <c r="G970" s="38">
        <v>-2.9999999999999818E-4</v>
      </c>
    </row>
    <row r="971" spans="2:7" x14ac:dyDescent="0.2">
      <c r="B971" s="19">
        <v>45789</v>
      </c>
      <c r="C971" s="19">
        <v>45786</v>
      </c>
      <c r="D971" s="38">
        <v>1.0618117890000001E-3</v>
      </c>
      <c r="E971" s="38">
        <v>1.349178491999999E-3</v>
      </c>
      <c r="F971" s="38">
        <v>5.8471441499999624E-4</v>
      </c>
      <c r="G971" s="38">
        <v>-6.0000000000000157E-4</v>
      </c>
    </row>
    <row r="972" spans="2:7" x14ac:dyDescent="0.2">
      <c r="B972" s="19">
        <v>45790</v>
      </c>
      <c r="C972" s="19">
        <v>45789</v>
      </c>
      <c r="D972" s="38">
        <v>-8.8397670000017747E-6</v>
      </c>
      <c r="E972" s="38">
        <v>7.5152394999999927E-5</v>
      </c>
      <c r="F972" s="38">
        <v>2.2109433700000239E-4</v>
      </c>
      <c r="G972" s="38">
        <v>-3.9999999999999931E-4</v>
      </c>
    </row>
    <row r="973" spans="2:7" x14ac:dyDescent="0.2">
      <c r="B973" s="19">
        <v>45791</v>
      </c>
      <c r="C973" s="19">
        <v>45790</v>
      </c>
      <c r="D973" s="38">
        <v>8.4546925000001522E-5</v>
      </c>
      <c r="E973" s="38">
        <v>-7.0264499999958541E-7</v>
      </c>
      <c r="F973" s="38">
        <v>2.316844400000011E-4</v>
      </c>
      <c r="G973" s="38">
        <v>-9.999999999999766E-5</v>
      </c>
    </row>
    <row r="974" spans="2:7" x14ac:dyDescent="0.2">
      <c r="B974" s="19">
        <v>45792</v>
      </c>
      <c r="C974" s="19">
        <v>45791</v>
      </c>
      <c r="D974" s="38">
        <v>-1.985168240000029E-4</v>
      </c>
      <c r="E974" s="38">
        <v>-3.9435151600000079E-4</v>
      </c>
      <c r="F974" s="38">
        <v>-3.271376630000003E-4</v>
      </c>
      <c r="G974" s="38">
        <v>2.000000000000005E-4</v>
      </c>
    </row>
    <row r="975" spans="2:7" x14ac:dyDescent="0.2">
      <c r="B975" s="19">
        <v>45793</v>
      </c>
      <c r="C975" s="19">
        <v>45792</v>
      </c>
      <c r="D975" s="38">
        <v>-3.1282513099999831E-4</v>
      </c>
      <c r="E975" s="38">
        <v>-4.7310744399999688E-4</v>
      </c>
      <c r="F975" s="38">
        <v>-6.232605130000006E-4</v>
      </c>
      <c r="G975" s="38">
        <v>3.9999999999999579E-4</v>
      </c>
    </row>
    <row r="976" spans="2:7" x14ac:dyDescent="0.2">
      <c r="B976" s="19">
        <v>45796</v>
      </c>
      <c r="C976" s="19">
        <v>45793</v>
      </c>
      <c r="D976" s="38">
        <v>-2.1621248999999931E-4</v>
      </c>
      <c r="E976" s="38">
        <v>2.4525277999995491E-5</v>
      </c>
      <c r="F976" s="38">
        <v>1.3496993299999879E-4</v>
      </c>
      <c r="G976" s="38">
        <v>-3.9999999999999579E-4</v>
      </c>
    </row>
    <row r="977" spans="2:7" x14ac:dyDescent="0.2">
      <c r="B977" s="19">
        <v>45797</v>
      </c>
      <c r="C977" s="19">
        <v>45796</v>
      </c>
      <c r="D977" s="38">
        <v>2.5699963199999828E-4</v>
      </c>
      <c r="E977" s="38">
        <v>8.5601281000002166E-5</v>
      </c>
      <c r="F977" s="38">
        <v>2.3917986199999819E-4</v>
      </c>
      <c r="G977" s="38">
        <v>3.9999999999999579E-4</v>
      </c>
    </row>
    <row r="978" spans="2:7" x14ac:dyDescent="0.2">
      <c r="B978" s="19">
        <v>45798</v>
      </c>
      <c r="C978" s="19">
        <v>45797</v>
      </c>
      <c r="D978" s="38">
        <v>2.2840528000001029E-5</v>
      </c>
      <c r="E978" s="38">
        <v>2.389487109999977E-4</v>
      </c>
      <c r="F978" s="38">
        <v>2.0877265300000419E-4</v>
      </c>
      <c r="G978" s="38">
        <v>-6.0000000000000157E-4</v>
      </c>
    </row>
    <row r="979" spans="2:7" x14ac:dyDescent="0.2">
      <c r="B979" s="19">
        <v>45799</v>
      </c>
      <c r="C979" s="19">
        <v>45798</v>
      </c>
      <c r="D979" s="38">
        <v>-2.0455901899999951E-4</v>
      </c>
      <c r="E979" s="38">
        <v>-6.0559521999997007E-5</v>
      </c>
      <c r="F979" s="38">
        <v>1.3848247899999819E-4</v>
      </c>
      <c r="G979" s="38">
        <v>3.0000000000000339E-4</v>
      </c>
    </row>
    <row r="980" spans="2:7" x14ac:dyDescent="0.2">
      <c r="B980" s="19">
        <v>45800</v>
      </c>
      <c r="C980" s="19">
        <v>45799</v>
      </c>
      <c r="D980" s="38">
        <v>-8.3441872099999925E-4</v>
      </c>
      <c r="E980" s="38">
        <v>-8.0802624400000411E-4</v>
      </c>
      <c r="F980" s="38">
        <v>-7.9179018199999895E-4</v>
      </c>
      <c r="G980" s="38">
        <v>-1.0000000000000291E-4</v>
      </c>
    </row>
    <row r="981" spans="2:7" x14ac:dyDescent="0.2">
      <c r="B981" s="19">
        <v>45803</v>
      </c>
      <c r="C981" s="19">
        <v>45800</v>
      </c>
      <c r="D981" s="38">
        <v>4.058293949999979E-4</v>
      </c>
      <c r="E981" s="38">
        <v>1.2389795400000531E-4</v>
      </c>
      <c r="F981" s="38">
        <v>3.9870664000001693E-5</v>
      </c>
      <c r="G981" s="38">
        <v>2.000000000000005E-4</v>
      </c>
    </row>
    <row r="982" spans="2:7" x14ac:dyDescent="0.2">
      <c r="B982" s="19">
        <v>45804</v>
      </c>
      <c r="C982" s="19">
        <v>45803</v>
      </c>
      <c r="D982" s="38">
        <v>-4.5695074999997642E-5</v>
      </c>
      <c r="E982" s="38">
        <v>-9.725523100000133E-5</v>
      </c>
      <c r="F982" s="38">
        <v>-3.6632577900000412E-4</v>
      </c>
      <c r="G982" s="38">
        <v>2.9999999999999818E-4</v>
      </c>
    </row>
    <row r="983" spans="2:7" x14ac:dyDescent="0.2">
      <c r="B983" s="19">
        <v>45805</v>
      </c>
      <c r="C983" s="19">
        <v>45804</v>
      </c>
      <c r="D983" s="38">
        <v>2.1201354899999869E-4</v>
      </c>
      <c r="E983" s="38">
        <v>1.236142549999979E-4</v>
      </c>
      <c r="F983" s="38">
        <v>9.2715017000002259E-5</v>
      </c>
      <c r="G983" s="38">
        <v>-2.9999999999999818E-4</v>
      </c>
    </row>
    <row r="984" spans="2:7" x14ac:dyDescent="0.2">
      <c r="B984" s="19">
        <v>45806</v>
      </c>
      <c r="C984" s="19">
        <v>45805</v>
      </c>
      <c r="D984" s="38">
        <v>-2.3432873000000029E-4</v>
      </c>
      <c r="E984" s="38">
        <v>-3.2911444999999748E-4</v>
      </c>
      <c r="F984" s="38">
        <v>-3.3159673100000009E-4</v>
      </c>
      <c r="G984" s="38">
        <v>-9.999999999999766E-5</v>
      </c>
    </row>
    <row r="985" spans="2:7" x14ac:dyDescent="0.2">
      <c r="B985" s="19">
        <v>45807</v>
      </c>
      <c r="C985" s="19">
        <v>45806</v>
      </c>
      <c r="D985" s="38">
        <v>8.1147569000000058E-5</v>
      </c>
      <c r="E985" s="38">
        <v>4.9533707999999822E-5</v>
      </c>
      <c r="F985" s="38">
        <v>-1.5759021000000959E-5</v>
      </c>
      <c r="G985" s="38">
        <v>0</v>
      </c>
    </row>
    <row r="986" spans="2:7" x14ac:dyDescent="0.2">
      <c r="B986" s="19">
        <v>45810</v>
      </c>
      <c r="C986" s="19">
        <v>45807</v>
      </c>
      <c r="D986" s="38">
        <v>2.6692459100000071E-4</v>
      </c>
      <c r="E986" s="38">
        <v>5.5399762000002413E-5</v>
      </c>
      <c r="F986" s="38">
        <v>1.2541027200000179E-4</v>
      </c>
      <c r="G986" s="38">
        <v>-1.0000000000000291E-4</v>
      </c>
    </row>
    <row r="987" spans="2:7" x14ac:dyDescent="0.2">
      <c r="B987" s="19">
        <v>45811</v>
      </c>
      <c r="C987" s="19">
        <v>45810</v>
      </c>
      <c r="D987" s="38">
        <v>-4.6298989699999899E-4</v>
      </c>
      <c r="E987" s="38">
        <v>-3.3840923700000428E-4</v>
      </c>
      <c r="F987" s="38">
        <v>-2.8768766400000262E-4</v>
      </c>
      <c r="G987" s="38">
        <v>1.0000000000000291E-4</v>
      </c>
    </row>
    <row r="988" spans="2:7" x14ac:dyDescent="0.2">
      <c r="B988" s="19">
        <v>45812</v>
      </c>
      <c r="C988" s="19">
        <v>45811</v>
      </c>
      <c r="D988" s="38">
        <v>3.243447919999976E-4</v>
      </c>
      <c r="E988" s="38">
        <v>4.4706728300000081E-4</v>
      </c>
      <c r="F988" s="38">
        <v>2.956696070000008E-4</v>
      </c>
      <c r="G988" s="38">
        <v>-2.000000000000057E-4</v>
      </c>
    </row>
    <row r="989" spans="2:7" x14ac:dyDescent="0.2">
      <c r="B989" s="19">
        <v>45813</v>
      </c>
      <c r="C989" s="19">
        <v>45812</v>
      </c>
      <c r="D989" s="38">
        <v>3.1680413000000068E-4</v>
      </c>
      <c r="E989" s="38">
        <v>6.3562475600000001E-4</v>
      </c>
      <c r="F989" s="38">
        <v>2.3602712900000139E-4</v>
      </c>
      <c r="G989" s="38">
        <v>3.0000000000000339E-4</v>
      </c>
    </row>
    <row r="990" spans="2:7" x14ac:dyDescent="0.2">
      <c r="B990" s="19">
        <v>45814</v>
      </c>
      <c r="C990" s="19">
        <v>45813</v>
      </c>
      <c r="D990" s="38">
        <v>3.713778410000014E-4</v>
      </c>
      <c r="E990" s="38">
        <v>3.3465285999997867E-5</v>
      </c>
      <c r="F990" s="38">
        <v>1.2426940499999861E-4</v>
      </c>
      <c r="G990" s="38">
        <v>-9.999999999999766E-5</v>
      </c>
    </row>
    <row r="991" spans="2:7" x14ac:dyDescent="0.2">
      <c r="B991" s="19">
        <v>45817</v>
      </c>
      <c r="C991" s="19">
        <v>45814</v>
      </c>
      <c r="D991" s="38">
        <v>-6.0241634000000883E-5</v>
      </c>
      <c r="E991" s="38">
        <v>-4.480691699999817E-5</v>
      </c>
      <c r="F991" s="38">
        <v>1.6406963299999899E-4</v>
      </c>
      <c r="G991" s="38">
        <v>9.999999999999766E-5</v>
      </c>
    </row>
    <row r="992" spans="2:7" x14ac:dyDescent="0.2">
      <c r="B992" s="19">
        <v>45818</v>
      </c>
      <c r="C992" s="19">
        <v>45817</v>
      </c>
      <c r="D992" s="38">
        <v>-2.2548937900000041E-4</v>
      </c>
      <c r="E992" s="38">
        <v>-4.3181802400000038E-4</v>
      </c>
      <c r="F992" s="38">
        <v>-5.9040924999999994E-4</v>
      </c>
      <c r="G992" s="38">
        <v>-5.0000000000000218E-4</v>
      </c>
    </row>
    <row r="993" spans="2:7" x14ac:dyDescent="0.2">
      <c r="B993" s="19">
        <v>45819</v>
      </c>
      <c r="C993" s="19">
        <v>45818</v>
      </c>
      <c r="D993" s="38">
        <v>-2.8177889699999847E-4</v>
      </c>
      <c r="E993" s="38">
        <v>6.5669995999998593E-5</v>
      </c>
      <c r="F993" s="38">
        <v>4.7156509000001463E-5</v>
      </c>
      <c r="G993" s="38">
        <v>0</v>
      </c>
    </row>
    <row r="994" spans="2:7" x14ac:dyDescent="0.2">
      <c r="B994" s="19">
        <v>45820</v>
      </c>
      <c r="C994" s="19">
        <v>45819</v>
      </c>
      <c r="D994" s="38">
        <v>-7.456250500000039E-5</v>
      </c>
      <c r="E994" s="38">
        <v>-3.7970223799999731E-4</v>
      </c>
      <c r="F994" s="38">
        <v>-4.3746457200000139E-4</v>
      </c>
      <c r="G994" s="38">
        <v>1.000000000000011E-4</v>
      </c>
    </row>
    <row r="995" spans="2:7" x14ac:dyDescent="0.2">
      <c r="B995" s="19">
        <v>45821</v>
      </c>
      <c r="C995" s="19">
        <v>45820</v>
      </c>
      <c r="D995" s="38">
        <v>3.6328078899999777E-4</v>
      </c>
      <c r="E995" s="38">
        <v>2.1990610399999849E-4</v>
      </c>
      <c r="F995" s="38">
        <v>2.5447203000000113E-4</v>
      </c>
      <c r="G995" s="38">
        <v>2.000000000000057E-4</v>
      </c>
    </row>
    <row r="996" spans="2:7" x14ac:dyDescent="0.2">
      <c r="B996" s="19">
        <v>45824</v>
      </c>
      <c r="C996" s="19">
        <v>45821</v>
      </c>
      <c r="D996" s="38">
        <v>-3.2043783999999298E-5</v>
      </c>
      <c r="E996" s="38">
        <v>5.4453096000002532E-5</v>
      </c>
      <c r="F996" s="38">
        <v>1.8289677599999871E-4</v>
      </c>
      <c r="G996" s="38">
        <v>-3.0000000000000691E-4</v>
      </c>
    </row>
    <row r="997" spans="2:7" x14ac:dyDescent="0.2">
      <c r="B997" s="19">
        <v>45825</v>
      </c>
      <c r="C997" s="19">
        <v>45824</v>
      </c>
      <c r="D997" s="38">
        <v>1.884915490000007E-4</v>
      </c>
      <c r="E997" s="38">
        <v>1.9976356500000031E-4</v>
      </c>
      <c r="F997" s="38">
        <v>3.3920160000013022E-6</v>
      </c>
      <c r="G997" s="38">
        <v>1.000000000000011E-4</v>
      </c>
    </row>
    <row r="998" spans="2:7" x14ac:dyDescent="0.2">
      <c r="B998" s="19">
        <v>45826</v>
      </c>
      <c r="C998" s="19">
        <v>45825</v>
      </c>
      <c r="D998" s="38">
        <v>-1.6083470399999919E-4</v>
      </c>
      <c r="E998" s="38">
        <v>-1.9557272100000081E-4</v>
      </c>
      <c r="F998" s="38">
        <v>-2.0725458999999719E-4</v>
      </c>
      <c r="G998" s="38">
        <v>0</v>
      </c>
    </row>
    <row r="999" spans="2:7" x14ac:dyDescent="0.2">
      <c r="B999" s="19">
        <v>45827</v>
      </c>
      <c r="C999" s="19">
        <v>45826</v>
      </c>
      <c r="D999" s="38">
        <v>-6.7734986000000247E-5</v>
      </c>
      <c r="E999" s="38">
        <v>-3.8133509000001092E-5</v>
      </c>
      <c r="F999" s="38">
        <v>8.5269919999977906E-6</v>
      </c>
      <c r="G999" s="38">
        <v>2.000000000000005E-4</v>
      </c>
    </row>
    <row r="1000" spans="2:7" x14ac:dyDescent="0.2">
      <c r="B1000" s="19">
        <v>45828</v>
      </c>
      <c r="C1000" s="19">
        <v>45827</v>
      </c>
      <c r="D1000" s="38">
        <v>8.9384073999998481E-5</v>
      </c>
      <c r="E1000" s="38">
        <v>7.0836240000000245E-5</v>
      </c>
      <c r="F1000" s="38">
        <v>1.232355879999987E-4</v>
      </c>
      <c r="G1000" s="38">
        <v>9.999999999999766E-5</v>
      </c>
    </row>
    <row r="1001" spans="2:7" x14ac:dyDescent="0.2">
      <c r="B1001" s="19">
        <v>45831</v>
      </c>
      <c r="C1001" s="19">
        <v>45828</v>
      </c>
      <c r="D1001" s="38">
        <v>1.8912080099999989E-4</v>
      </c>
      <c r="E1001" s="38">
        <v>-4.9429744999999331E-5</v>
      </c>
      <c r="F1001" s="38">
        <v>-6.9954121999997454E-5</v>
      </c>
      <c r="G1001" s="38">
        <v>-9.999999999999766E-5</v>
      </c>
    </row>
    <row r="1002" spans="2:7" x14ac:dyDescent="0.2">
      <c r="B1002" s="19">
        <v>45832</v>
      </c>
      <c r="C1002" s="19">
        <v>45831</v>
      </c>
      <c r="D1002" s="38">
        <v>-6.3720378999997801E-5</v>
      </c>
      <c r="E1002" s="38">
        <v>2.363686399999981E-4</v>
      </c>
      <c r="F1002" s="38">
        <v>4.2511760199999762E-4</v>
      </c>
      <c r="G1002" s="38">
        <v>-2.000000000000005E-4</v>
      </c>
    </row>
    <row r="1003" spans="2:7" x14ac:dyDescent="0.2">
      <c r="B1003" s="19">
        <v>45833</v>
      </c>
      <c r="C1003" s="19">
        <v>45832</v>
      </c>
      <c r="D1003" s="38">
        <v>2.3612810000000342E-5</v>
      </c>
      <c r="E1003" s="38">
        <v>1.343398490000029E-4</v>
      </c>
      <c r="F1003" s="38">
        <v>1.4639622699999871E-4</v>
      </c>
      <c r="G1003" s="38">
        <v>1.0000000000000291E-4</v>
      </c>
    </row>
    <row r="1004" spans="2:7" x14ac:dyDescent="0.2">
      <c r="B1004" s="19">
        <v>45834</v>
      </c>
      <c r="C1004" s="19">
        <v>45833</v>
      </c>
      <c r="D1004" s="38">
        <v>-3.4092335200000198E-4</v>
      </c>
      <c r="E1004" s="38">
        <v>-2.8340761699999911E-4</v>
      </c>
      <c r="F1004" s="38">
        <v>-6.6023535999999716E-5</v>
      </c>
      <c r="G1004" s="38">
        <v>-2.000000000000005E-4</v>
      </c>
    </row>
    <row r="1005" spans="2:7" x14ac:dyDescent="0.2">
      <c r="B1005" s="19">
        <v>45835</v>
      </c>
      <c r="C1005" s="19">
        <v>45834</v>
      </c>
      <c r="D1005" s="38">
        <v>2.8657207899999981E-4</v>
      </c>
      <c r="E1005" s="38">
        <v>3.5379578100000128E-4</v>
      </c>
      <c r="F1005" s="38">
        <v>2.8922633800000311E-4</v>
      </c>
      <c r="G1005" s="38">
        <v>9.999999999999766E-5</v>
      </c>
    </row>
    <row r="1006" spans="2:7" x14ac:dyDescent="0.2">
      <c r="B1006" s="19">
        <v>45838</v>
      </c>
      <c r="C1006" s="19">
        <v>45835</v>
      </c>
      <c r="D1006" s="38">
        <v>-6.3727519999980109E-6</v>
      </c>
      <c r="E1006" s="38">
        <v>-4.5867700000021272E-6</v>
      </c>
      <c r="F1006" s="38">
        <v>-7.5848391000003096E-5</v>
      </c>
      <c r="G1006" s="38">
        <v>-1.000000000000011E-4</v>
      </c>
    </row>
  </sheetData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F926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4" width="12" customWidth="1"/>
    <col min="5" max="5" width="14" customWidth="1"/>
    <col min="6" max="6" width="16" customWidth="1"/>
  </cols>
  <sheetData>
    <row r="2" spans="2:6" ht="18" x14ac:dyDescent="0.2">
      <c r="B2" s="1" t="s">
        <v>618</v>
      </c>
    </row>
    <row r="3" spans="2:6" x14ac:dyDescent="0.2">
      <c r="B3" s="2" t="s">
        <v>619</v>
      </c>
    </row>
    <row r="6" spans="2:6" ht="30" customHeight="1" x14ac:dyDescent="0.2">
      <c r="B6" s="3" t="s">
        <v>75</v>
      </c>
      <c r="C6" s="3" t="s">
        <v>620</v>
      </c>
      <c r="D6" s="3" t="s">
        <v>621</v>
      </c>
      <c r="E6" s="3" t="s">
        <v>622</v>
      </c>
      <c r="F6" s="3" t="s">
        <v>623</v>
      </c>
    </row>
    <row r="7" spans="2:6" x14ac:dyDescent="0.2">
      <c r="B7" s="9" t="s">
        <v>106</v>
      </c>
      <c r="C7" s="19">
        <v>46113</v>
      </c>
      <c r="D7" s="24">
        <v>0.75290896646132788</v>
      </c>
      <c r="E7" s="28">
        <v>4.25</v>
      </c>
      <c r="F7" s="39">
        <v>4.1387321585013783</v>
      </c>
    </row>
    <row r="8" spans="2:6" x14ac:dyDescent="0.2">
      <c r="B8" s="9" t="s">
        <v>106</v>
      </c>
      <c r="C8" s="19">
        <v>46478</v>
      </c>
      <c r="D8" s="24">
        <v>1.752224503764545</v>
      </c>
      <c r="E8" s="28">
        <v>4.25</v>
      </c>
      <c r="F8" s="39">
        <v>3.995535602999575</v>
      </c>
    </row>
    <row r="9" spans="2:6" x14ac:dyDescent="0.2">
      <c r="B9" s="9" t="s">
        <v>106</v>
      </c>
      <c r="C9" s="19">
        <v>46844</v>
      </c>
      <c r="D9" s="24">
        <v>2.754277891854894</v>
      </c>
      <c r="E9" s="28">
        <v>4.25</v>
      </c>
      <c r="F9" s="39">
        <v>3.8486222431560102</v>
      </c>
    </row>
    <row r="10" spans="2:6" x14ac:dyDescent="0.2">
      <c r="B10" s="9" t="s">
        <v>106</v>
      </c>
      <c r="C10" s="19">
        <v>47209</v>
      </c>
      <c r="D10" s="24">
        <v>3.7535934291581108</v>
      </c>
      <c r="E10" s="28">
        <v>4.25</v>
      </c>
      <c r="F10" s="39">
        <v>3.698149283149986</v>
      </c>
    </row>
    <row r="11" spans="2:6" x14ac:dyDescent="0.2">
      <c r="B11" s="9" t="s">
        <v>106</v>
      </c>
      <c r="C11" s="19">
        <v>47574</v>
      </c>
      <c r="D11" s="24">
        <v>4.7529089664613284</v>
      </c>
      <c r="E11" s="28">
        <v>4.25</v>
      </c>
      <c r="F11" s="39">
        <v>3.5462080578288111</v>
      </c>
    </row>
    <row r="12" spans="2:6" x14ac:dyDescent="0.2">
      <c r="B12" s="9" t="s">
        <v>106</v>
      </c>
      <c r="C12" s="19">
        <v>47939</v>
      </c>
      <c r="D12" s="24">
        <v>5.7522245037645447</v>
      </c>
      <c r="E12" s="28">
        <v>104.25</v>
      </c>
      <c r="F12" s="39">
        <v>83.236485518685853</v>
      </c>
    </row>
    <row r="13" spans="2:6" x14ac:dyDescent="0.2">
      <c r="B13" s="9" t="s">
        <v>110</v>
      </c>
      <c r="C13" s="19">
        <v>46104</v>
      </c>
      <c r="D13" s="24">
        <v>0.72826830937713893</v>
      </c>
      <c r="E13" s="28">
        <v>100.875</v>
      </c>
      <c r="F13" s="39">
        <v>99.050623333333348</v>
      </c>
    </row>
    <row r="14" spans="2:6" x14ac:dyDescent="0.2">
      <c r="B14" s="9" t="s">
        <v>113</v>
      </c>
      <c r="C14" s="19">
        <v>45995</v>
      </c>
      <c r="D14" s="24">
        <v>0.42984257357973987</v>
      </c>
      <c r="E14" s="28">
        <v>5.5</v>
      </c>
      <c r="F14" s="39">
        <v>5.4021485426623688</v>
      </c>
    </row>
    <row r="15" spans="2:6" x14ac:dyDescent="0.2">
      <c r="B15" s="9" t="s">
        <v>113</v>
      </c>
      <c r="C15" s="19">
        <v>46360</v>
      </c>
      <c r="D15" s="24">
        <v>1.429158110882957</v>
      </c>
      <c r="E15" s="28">
        <v>5.5</v>
      </c>
      <c r="F15" s="39">
        <v>5.1813350089138188</v>
      </c>
    </row>
    <row r="16" spans="2:6" x14ac:dyDescent="0.2">
      <c r="B16" s="9" t="s">
        <v>113</v>
      </c>
      <c r="C16" s="19">
        <v>46725</v>
      </c>
      <c r="D16" s="24">
        <v>2.4284736481861739</v>
      </c>
      <c r="E16" s="28">
        <v>5.5</v>
      </c>
      <c r="F16" s="39">
        <v>4.9641885116132514</v>
      </c>
    </row>
    <row r="17" spans="2:6" x14ac:dyDescent="0.2">
      <c r="B17" s="9" t="s">
        <v>113</v>
      </c>
      <c r="C17" s="19">
        <v>47091</v>
      </c>
      <c r="D17" s="24">
        <v>3.4305270362765228</v>
      </c>
      <c r="E17" s="28">
        <v>5.5</v>
      </c>
      <c r="F17" s="39">
        <v>4.7416824018060186</v>
      </c>
    </row>
    <row r="18" spans="2:6" x14ac:dyDescent="0.2">
      <c r="B18" s="9" t="s">
        <v>113</v>
      </c>
      <c r="C18" s="19">
        <v>47456</v>
      </c>
      <c r="D18" s="24">
        <v>4.42984257357974</v>
      </c>
      <c r="E18" s="28">
        <v>5.5</v>
      </c>
      <c r="F18" s="39">
        <v>4.5203333391801896</v>
      </c>
    </row>
    <row r="19" spans="2:6" x14ac:dyDescent="0.2">
      <c r="B19" s="9" t="s">
        <v>113</v>
      </c>
      <c r="C19" s="19">
        <v>47821</v>
      </c>
      <c r="D19" s="24">
        <v>5.4291581108829572</v>
      </c>
      <c r="E19" s="28">
        <v>5.5</v>
      </c>
      <c r="F19" s="39">
        <v>4.3003062695531584</v>
      </c>
    </row>
    <row r="20" spans="2:6" x14ac:dyDescent="0.2">
      <c r="B20" s="9" t="s">
        <v>113</v>
      </c>
      <c r="C20" s="19">
        <v>48186</v>
      </c>
      <c r="D20" s="24">
        <v>6.4284736481861744</v>
      </c>
      <c r="E20" s="28">
        <v>5.5</v>
      </c>
      <c r="F20" s="39">
        <v>4.082348833509565</v>
      </c>
    </row>
    <row r="21" spans="2:6" x14ac:dyDescent="0.2">
      <c r="B21" s="9" t="s">
        <v>113</v>
      </c>
      <c r="C21" s="19">
        <v>48552</v>
      </c>
      <c r="D21" s="24">
        <v>7.4305270362765228</v>
      </c>
      <c r="E21" s="28">
        <v>5.5</v>
      </c>
      <c r="F21" s="39">
        <v>3.8667627351796159</v>
      </c>
    </row>
    <row r="22" spans="2:6" x14ac:dyDescent="0.2">
      <c r="B22" s="9" t="s">
        <v>113</v>
      </c>
      <c r="C22" s="19">
        <v>48917</v>
      </c>
      <c r="D22" s="24">
        <v>8.4298425735797391</v>
      </c>
      <c r="E22" s="28">
        <v>5.5</v>
      </c>
      <c r="F22" s="39">
        <v>3.655446078504085</v>
      </c>
    </row>
    <row r="23" spans="2:6" x14ac:dyDescent="0.2">
      <c r="B23" s="9" t="s">
        <v>113</v>
      </c>
      <c r="C23" s="19">
        <v>49282</v>
      </c>
      <c r="D23" s="24">
        <v>9.4291581108829572</v>
      </c>
      <c r="E23" s="28">
        <v>5.5</v>
      </c>
      <c r="F23" s="39">
        <v>3.4484628300103379</v>
      </c>
    </row>
    <row r="24" spans="2:6" x14ac:dyDescent="0.2">
      <c r="B24" s="9" t="s">
        <v>113</v>
      </c>
      <c r="C24" s="19">
        <v>49647</v>
      </c>
      <c r="D24" s="24">
        <v>10.42847364818617</v>
      </c>
      <c r="E24" s="28">
        <v>105.5</v>
      </c>
      <c r="F24" s="39">
        <v>62.563855355170872</v>
      </c>
    </row>
    <row r="25" spans="2:6" x14ac:dyDescent="0.2">
      <c r="B25" s="9" t="s">
        <v>115</v>
      </c>
      <c r="C25" s="19">
        <v>46157</v>
      </c>
      <c r="D25" s="24">
        <v>0.87337440109514031</v>
      </c>
      <c r="E25" s="28">
        <v>4</v>
      </c>
      <c r="F25" s="39">
        <v>3.904765121925224</v>
      </c>
    </row>
    <row r="26" spans="2:6" x14ac:dyDescent="0.2">
      <c r="B26" s="9" t="s">
        <v>115</v>
      </c>
      <c r="C26" s="19">
        <v>46522</v>
      </c>
      <c r="D26" s="24">
        <v>1.8726899383983571</v>
      </c>
      <c r="E26" s="28">
        <v>4</v>
      </c>
      <c r="F26" s="39">
        <v>3.7985755551096001</v>
      </c>
    </row>
    <row r="27" spans="2:6" x14ac:dyDescent="0.2">
      <c r="B27" s="9" t="s">
        <v>115</v>
      </c>
      <c r="C27" s="19">
        <v>46888</v>
      </c>
      <c r="D27" s="24">
        <v>2.8747433264887059</v>
      </c>
      <c r="E27" s="28">
        <v>4</v>
      </c>
      <c r="F27" s="39">
        <v>3.685373003071768</v>
      </c>
    </row>
    <row r="28" spans="2:6" x14ac:dyDescent="0.2">
      <c r="B28" s="9" t="s">
        <v>115</v>
      </c>
      <c r="C28" s="19">
        <v>47253</v>
      </c>
      <c r="D28" s="24">
        <v>3.874058863791924</v>
      </c>
      <c r="E28" s="28">
        <v>4</v>
      </c>
      <c r="F28" s="39">
        <v>3.5675523528781832</v>
      </c>
    </row>
    <row r="29" spans="2:6" x14ac:dyDescent="0.2">
      <c r="B29" s="9" t="s">
        <v>115</v>
      </c>
      <c r="C29" s="19">
        <v>47618</v>
      </c>
      <c r="D29" s="24">
        <v>4.8733744010951403</v>
      </c>
      <c r="E29" s="28">
        <v>4</v>
      </c>
      <c r="F29" s="39">
        <v>3.4463539688002709</v>
      </c>
    </row>
    <row r="30" spans="2:6" x14ac:dyDescent="0.2">
      <c r="B30" s="9" t="s">
        <v>115</v>
      </c>
      <c r="C30" s="19">
        <v>47983</v>
      </c>
      <c r="D30" s="24">
        <v>5.8726899383983584</v>
      </c>
      <c r="E30" s="28">
        <v>4</v>
      </c>
      <c r="F30" s="39">
        <v>3.3222223903398089</v>
      </c>
    </row>
    <row r="31" spans="2:6" x14ac:dyDescent="0.2">
      <c r="B31" s="9" t="s">
        <v>115</v>
      </c>
      <c r="C31" s="19">
        <v>48349</v>
      </c>
      <c r="D31" s="24">
        <v>6.8747433264887068</v>
      </c>
      <c r="E31" s="28">
        <v>4</v>
      </c>
      <c r="F31" s="39">
        <v>3.1955077469037749</v>
      </c>
    </row>
    <row r="32" spans="2:6" x14ac:dyDescent="0.2">
      <c r="B32" s="9" t="s">
        <v>115</v>
      </c>
      <c r="C32" s="19">
        <v>48714</v>
      </c>
      <c r="D32" s="24">
        <v>7.8740588637919231</v>
      </c>
      <c r="E32" s="28">
        <v>104</v>
      </c>
      <c r="F32" s="39">
        <v>79.755677260971382</v>
      </c>
    </row>
    <row r="33" spans="2:6" x14ac:dyDescent="0.2">
      <c r="B33" s="9" t="s">
        <v>118</v>
      </c>
      <c r="C33" s="19">
        <v>46101</v>
      </c>
      <c r="D33" s="24">
        <v>0.72005475701574262</v>
      </c>
      <c r="E33" s="28">
        <v>4.25</v>
      </c>
      <c r="F33" s="39">
        <v>4.1490860490923636</v>
      </c>
    </row>
    <row r="34" spans="2:6" x14ac:dyDescent="0.2">
      <c r="B34" s="9" t="s">
        <v>118</v>
      </c>
      <c r="C34" s="19">
        <v>46466</v>
      </c>
      <c r="D34" s="24">
        <v>1.7193702943189599</v>
      </c>
      <c r="E34" s="28">
        <v>4.25</v>
      </c>
      <c r="F34" s="39">
        <v>4.0129924469735947</v>
      </c>
    </row>
    <row r="35" spans="2:6" x14ac:dyDescent="0.2">
      <c r="B35" s="9" t="s">
        <v>118</v>
      </c>
      <c r="C35" s="19">
        <v>46832</v>
      </c>
      <c r="D35" s="24">
        <v>2.7214236824093092</v>
      </c>
      <c r="E35" s="28">
        <v>4.25</v>
      </c>
      <c r="F35" s="39">
        <v>3.8731157426770069</v>
      </c>
    </row>
    <row r="36" spans="2:6" x14ac:dyDescent="0.2">
      <c r="B36" s="9" t="s">
        <v>118</v>
      </c>
      <c r="C36" s="19">
        <v>47197</v>
      </c>
      <c r="D36" s="24">
        <v>3.720739219712526</v>
      </c>
      <c r="E36" s="28">
        <v>4.25</v>
      </c>
      <c r="F36" s="39">
        <v>3.7288714704458048</v>
      </c>
    </row>
    <row r="37" spans="2:6" x14ac:dyDescent="0.2">
      <c r="B37" s="9" t="s">
        <v>118</v>
      </c>
      <c r="C37" s="19">
        <v>47562</v>
      </c>
      <c r="D37" s="24">
        <v>4.7200547570157427</v>
      </c>
      <c r="E37" s="28">
        <v>104.25</v>
      </c>
      <c r="F37" s="39">
        <v>87.878393162991685</v>
      </c>
    </row>
    <row r="38" spans="2:6" x14ac:dyDescent="0.2">
      <c r="B38" s="9" t="s">
        <v>121</v>
      </c>
      <c r="C38" s="19">
        <v>46144</v>
      </c>
      <c r="D38" s="24">
        <v>0.83778234086242298</v>
      </c>
      <c r="E38" s="28">
        <v>3.875</v>
      </c>
      <c r="F38" s="39">
        <v>3.7819537966678309</v>
      </c>
    </row>
    <row r="39" spans="2:6" x14ac:dyDescent="0.2">
      <c r="B39" s="9" t="s">
        <v>121</v>
      </c>
      <c r="C39" s="19">
        <v>46509</v>
      </c>
      <c r="D39" s="24">
        <v>1.83709787816564</v>
      </c>
      <c r="E39" s="28">
        <v>3.875</v>
      </c>
      <c r="F39" s="39">
        <v>3.6738846998087999</v>
      </c>
    </row>
    <row r="40" spans="2:6" x14ac:dyDescent="0.2">
      <c r="B40" s="9" t="s">
        <v>121</v>
      </c>
      <c r="C40" s="19">
        <v>46875</v>
      </c>
      <c r="D40" s="24">
        <v>2.839151266255989</v>
      </c>
      <c r="E40" s="28">
        <v>3.875</v>
      </c>
      <c r="F40" s="39">
        <v>3.5598154849474808</v>
      </c>
    </row>
    <row r="41" spans="2:6" x14ac:dyDescent="0.2">
      <c r="B41" s="9" t="s">
        <v>121</v>
      </c>
      <c r="C41" s="19">
        <v>47240</v>
      </c>
      <c r="D41" s="24">
        <v>3.8384668035592062</v>
      </c>
      <c r="E41" s="28">
        <v>3.875</v>
      </c>
      <c r="F41" s="39">
        <v>3.441374016501257</v>
      </c>
    </row>
    <row r="42" spans="2:6" x14ac:dyDescent="0.2">
      <c r="B42" s="9" t="s">
        <v>121</v>
      </c>
      <c r="C42" s="19">
        <v>47605</v>
      </c>
      <c r="D42" s="24">
        <v>4.8377823408624234</v>
      </c>
      <c r="E42" s="28">
        <v>3.875</v>
      </c>
      <c r="F42" s="39">
        <v>3.3199908281011221</v>
      </c>
    </row>
    <row r="43" spans="2:6" x14ac:dyDescent="0.2">
      <c r="B43" s="9" t="s">
        <v>121</v>
      </c>
      <c r="C43" s="19">
        <v>47970</v>
      </c>
      <c r="D43" s="24">
        <v>5.8370978781656397</v>
      </c>
      <c r="E43" s="28">
        <v>3.875</v>
      </c>
      <c r="F43" s="39">
        <v>3.1961134015447099</v>
      </c>
    </row>
    <row r="44" spans="2:6" x14ac:dyDescent="0.2">
      <c r="B44" s="9" t="s">
        <v>121</v>
      </c>
      <c r="C44" s="19">
        <v>48336</v>
      </c>
      <c r="D44" s="24">
        <v>6.839151266255989</v>
      </c>
      <c r="E44" s="28">
        <v>3.875</v>
      </c>
      <c r="F44" s="39">
        <v>3.0700647277993398</v>
      </c>
    </row>
    <row r="45" spans="2:6" x14ac:dyDescent="0.2">
      <c r="B45" s="9" t="s">
        <v>121</v>
      </c>
      <c r="C45" s="19">
        <v>48701</v>
      </c>
      <c r="D45" s="24">
        <v>7.8384668035592062</v>
      </c>
      <c r="E45" s="28">
        <v>3.875</v>
      </c>
      <c r="F45" s="39">
        <v>2.9431452451312312</v>
      </c>
    </row>
    <row r="46" spans="2:6" x14ac:dyDescent="0.2">
      <c r="B46" s="9" t="s">
        <v>121</v>
      </c>
      <c r="C46" s="19">
        <v>49066</v>
      </c>
      <c r="D46" s="24">
        <v>8.8377823408624234</v>
      </c>
      <c r="E46" s="28">
        <v>103.875</v>
      </c>
      <c r="F46" s="39">
        <v>75.475760561402979</v>
      </c>
    </row>
    <row r="47" spans="2:6" x14ac:dyDescent="0.2">
      <c r="B47" s="9" t="s">
        <v>124</v>
      </c>
      <c r="C47" s="19">
        <v>45855</v>
      </c>
      <c r="D47" s="24">
        <v>4.6543463381245723E-2</v>
      </c>
      <c r="E47" s="28">
        <v>5.125</v>
      </c>
      <c r="F47" s="39">
        <v>5.1168655880129492</v>
      </c>
    </row>
    <row r="48" spans="2:6" x14ac:dyDescent="0.2">
      <c r="B48" s="9" t="s">
        <v>124</v>
      </c>
      <c r="C48" s="19">
        <v>46220</v>
      </c>
      <c r="D48" s="24">
        <v>1.045859000684463</v>
      </c>
      <c r="E48" s="28">
        <v>5.125</v>
      </c>
      <c r="F48" s="39">
        <v>4.9452959951995643</v>
      </c>
    </row>
    <row r="49" spans="2:6" x14ac:dyDescent="0.2">
      <c r="B49" s="9" t="s">
        <v>124</v>
      </c>
      <c r="C49" s="19">
        <v>46585</v>
      </c>
      <c r="D49" s="24">
        <v>2.04517453798768</v>
      </c>
      <c r="E49" s="28">
        <v>5.125</v>
      </c>
      <c r="F49" s="39">
        <v>4.7790213345202028</v>
      </c>
    </row>
    <row r="50" spans="2:6" x14ac:dyDescent="0.2">
      <c r="B50" s="9" t="s">
        <v>124</v>
      </c>
      <c r="C50" s="19">
        <v>46951</v>
      </c>
      <c r="D50" s="24">
        <v>3.0472279260780288</v>
      </c>
      <c r="E50" s="28">
        <v>5.125</v>
      </c>
      <c r="F50" s="39">
        <v>4.6035332639601121</v>
      </c>
    </row>
    <row r="51" spans="2:6" x14ac:dyDescent="0.2">
      <c r="B51" s="9" t="s">
        <v>124</v>
      </c>
      <c r="C51" s="19">
        <v>47316</v>
      </c>
      <c r="D51" s="24">
        <v>4.046543463381246</v>
      </c>
      <c r="E51" s="28">
        <v>5.125</v>
      </c>
      <c r="F51" s="39">
        <v>4.4257551521295468</v>
      </c>
    </row>
    <row r="52" spans="2:6" x14ac:dyDescent="0.2">
      <c r="B52" s="9" t="s">
        <v>124</v>
      </c>
      <c r="C52" s="19">
        <v>47681</v>
      </c>
      <c r="D52" s="24">
        <v>5.0458590006844624</v>
      </c>
      <c r="E52" s="28">
        <v>105.125</v>
      </c>
      <c r="F52" s="39">
        <v>87.09541219951096</v>
      </c>
    </row>
    <row r="53" spans="2:6" x14ac:dyDescent="0.2">
      <c r="B53" s="9" t="s">
        <v>127</v>
      </c>
      <c r="C53" s="19">
        <v>45946</v>
      </c>
      <c r="D53" s="24">
        <v>0.29568788501026688</v>
      </c>
      <c r="E53" s="28">
        <v>3.6320000000000001</v>
      </c>
      <c r="F53" s="39">
        <v>3.6016405421198749</v>
      </c>
    </row>
    <row r="54" spans="2:6" x14ac:dyDescent="0.2">
      <c r="B54" s="9" t="s">
        <v>127</v>
      </c>
      <c r="C54" s="19">
        <v>46311</v>
      </c>
      <c r="D54" s="24">
        <v>1.2950034223134841</v>
      </c>
      <c r="E54" s="28">
        <v>3.6320000000000001</v>
      </c>
      <c r="F54" s="39">
        <v>3.5009025020244882</v>
      </c>
    </row>
    <row r="55" spans="2:6" x14ac:dyDescent="0.2">
      <c r="B55" s="9" t="s">
        <v>127</v>
      </c>
      <c r="C55" s="19">
        <v>46676</v>
      </c>
      <c r="D55" s="24">
        <v>2.2943189596167008</v>
      </c>
      <c r="E55" s="28">
        <v>3.6320000000000001</v>
      </c>
      <c r="F55" s="39">
        <v>3.400600323140663</v>
      </c>
    </row>
    <row r="56" spans="2:6" x14ac:dyDescent="0.2">
      <c r="B56" s="9" t="s">
        <v>127</v>
      </c>
      <c r="C56" s="19">
        <v>47042</v>
      </c>
      <c r="D56" s="24">
        <v>3.2963723477070501</v>
      </c>
      <c r="E56" s="28">
        <v>3.6320000000000001</v>
      </c>
      <c r="F56" s="39">
        <v>3.2929205956078862</v>
      </c>
    </row>
    <row r="57" spans="2:6" x14ac:dyDescent="0.2">
      <c r="B57" s="9" t="s">
        <v>127</v>
      </c>
      <c r="C57" s="19">
        <v>47407</v>
      </c>
      <c r="D57" s="24">
        <v>4.2956878850102669</v>
      </c>
      <c r="E57" s="28">
        <v>3.6320000000000001</v>
      </c>
      <c r="F57" s="39">
        <v>3.1823247423345049</v>
      </c>
    </row>
    <row r="58" spans="2:6" x14ac:dyDescent="0.2">
      <c r="B58" s="9" t="s">
        <v>127</v>
      </c>
      <c r="C58" s="19">
        <v>47772</v>
      </c>
      <c r="D58" s="24">
        <v>5.2950034223134841</v>
      </c>
      <c r="E58" s="28">
        <v>3.6320000000000001</v>
      </c>
      <c r="F58" s="39">
        <v>3.069035085215122</v>
      </c>
    </row>
    <row r="59" spans="2:6" x14ac:dyDescent="0.2">
      <c r="B59" s="9" t="s">
        <v>127</v>
      </c>
      <c r="C59" s="19">
        <v>48137</v>
      </c>
      <c r="D59" s="24">
        <v>6.2943189596167013</v>
      </c>
      <c r="E59" s="28">
        <v>3.6320000000000001</v>
      </c>
      <c r="F59" s="39">
        <v>2.9535132983206118</v>
      </c>
    </row>
    <row r="60" spans="2:6" x14ac:dyDescent="0.2">
      <c r="B60" s="9" t="s">
        <v>127</v>
      </c>
      <c r="C60" s="19">
        <v>48503</v>
      </c>
      <c r="D60" s="24">
        <v>7.2963723477070497</v>
      </c>
      <c r="E60" s="28">
        <v>3.6320000000000001</v>
      </c>
      <c r="F60" s="39">
        <v>2.836082971073457</v>
      </c>
    </row>
    <row r="61" spans="2:6" x14ac:dyDescent="0.2">
      <c r="B61" s="9" t="s">
        <v>127</v>
      </c>
      <c r="C61" s="19">
        <v>48868</v>
      </c>
      <c r="D61" s="24">
        <v>8.2956878850102669</v>
      </c>
      <c r="E61" s="28">
        <v>3.6320000000000001</v>
      </c>
      <c r="F61" s="39">
        <v>2.717929216865854</v>
      </c>
    </row>
    <row r="62" spans="2:6" x14ac:dyDescent="0.2">
      <c r="B62" s="9" t="s">
        <v>127</v>
      </c>
      <c r="C62" s="19">
        <v>49233</v>
      </c>
      <c r="D62" s="24">
        <v>9.2950034223134832</v>
      </c>
      <c r="E62" s="28">
        <v>103.63200000000001</v>
      </c>
      <c r="F62" s="39">
        <v>74.164778123297538</v>
      </c>
    </row>
    <row r="63" spans="2:6" x14ac:dyDescent="0.2">
      <c r="B63" s="9" t="s">
        <v>130</v>
      </c>
      <c r="C63" s="19">
        <v>45989</v>
      </c>
      <c r="D63" s="24">
        <v>0.4134154688569473</v>
      </c>
      <c r="E63" s="28">
        <v>4</v>
      </c>
      <c r="F63" s="39">
        <v>3.938773586054392</v>
      </c>
    </row>
    <row r="64" spans="2:6" x14ac:dyDescent="0.2">
      <c r="B64" s="9" t="s">
        <v>130</v>
      </c>
      <c r="C64" s="19">
        <v>46354</v>
      </c>
      <c r="D64" s="24">
        <v>1.4127310061601639</v>
      </c>
      <c r="E64" s="28">
        <v>4</v>
      </c>
      <c r="F64" s="39">
        <v>3.7946186023007269</v>
      </c>
    </row>
    <row r="65" spans="2:6" x14ac:dyDescent="0.2">
      <c r="B65" s="9" t="s">
        <v>130</v>
      </c>
      <c r="C65" s="19">
        <v>46719</v>
      </c>
      <c r="D65" s="24">
        <v>2.4120465434633811</v>
      </c>
      <c r="E65" s="28">
        <v>4</v>
      </c>
      <c r="F65" s="39">
        <v>3.6519741795797711</v>
      </c>
    </row>
    <row r="66" spans="2:6" x14ac:dyDescent="0.2">
      <c r="B66" s="9" t="s">
        <v>130</v>
      </c>
      <c r="C66" s="19">
        <v>47085</v>
      </c>
      <c r="D66" s="24">
        <v>3.4140999315537299</v>
      </c>
      <c r="E66" s="28">
        <v>4</v>
      </c>
      <c r="F66" s="39">
        <v>3.5039990165861798</v>
      </c>
    </row>
    <row r="67" spans="2:6" x14ac:dyDescent="0.2">
      <c r="B67" s="9" t="s">
        <v>130</v>
      </c>
      <c r="C67" s="19">
        <v>47450</v>
      </c>
      <c r="D67" s="24">
        <v>4.4134154688569476</v>
      </c>
      <c r="E67" s="28">
        <v>4</v>
      </c>
      <c r="F67" s="39">
        <v>3.3554341731948791</v>
      </c>
    </row>
    <row r="68" spans="2:6" x14ac:dyDescent="0.2">
      <c r="B68" s="9" t="s">
        <v>130</v>
      </c>
      <c r="C68" s="19">
        <v>47815</v>
      </c>
      <c r="D68" s="24">
        <v>5.4127310061601639</v>
      </c>
      <c r="E68" s="28">
        <v>104</v>
      </c>
      <c r="F68" s="39">
        <v>83.367762078647701</v>
      </c>
    </row>
    <row r="69" spans="2:6" x14ac:dyDescent="0.2">
      <c r="B69" s="9" t="s">
        <v>133</v>
      </c>
      <c r="C69" s="19">
        <v>46120</v>
      </c>
      <c r="D69" s="24">
        <v>0.77207392197125257</v>
      </c>
      <c r="E69" s="28">
        <v>1.5</v>
      </c>
      <c r="F69" s="39">
        <v>1.459343056920186</v>
      </c>
    </row>
    <row r="70" spans="2:6" x14ac:dyDescent="0.2">
      <c r="B70" s="9" t="s">
        <v>133</v>
      </c>
      <c r="C70" s="19">
        <v>46485</v>
      </c>
      <c r="D70" s="24">
        <v>1.771389459274469</v>
      </c>
      <c r="E70" s="28">
        <v>1.5</v>
      </c>
      <c r="F70" s="39">
        <v>1.408351576936145</v>
      </c>
    </row>
    <row r="71" spans="2:6" x14ac:dyDescent="0.2">
      <c r="B71" s="9" t="s">
        <v>133</v>
      </c>
      <c r="C71" s="19">
        <v>46851</v>
      </c>
      <c r="D71" s="24">
        <v>2.7734428473648181</v>
      </c>
      <c r="E71" s="28">
        <v>1.5</v>
      </c>
      <c r="F71" s="39">
        <v>1.355990052203021</v>
      </c>
    </row>
    <row r="72" spans="2:6" x14ac:dyDescent="0.2">
      <c r="B72" s="9" t="s">
        <v>133</v>
      </c>
      <c r="C72" s="19">
        <v>47216</v>
      </c>
      <c r="D72" s="24">
        <v>3.7727583846680361</v>
      </c>
      <c r="E72" s="28">
        <v>101.5</v>
      </c>
      <c r="F72" s="39">
        <v>88.13313037566904</v>
      </c>
    </row>
    <row r="73" spans="2:6" x14ac:dyDescent="0.2">
      <c r="B73" s="9" t="s">
        <v>136</v>
      </c>
      <c r="C73" s="19">
        <v>45969</v>
      </c>
      <c r="D73" s="24">
        <v>0.35865845311430528</v>
      </c>
      <c r="E73" s="28">
        <v>0.875</v>
      </c>
      <c r="F73" s="39">
        <v>0.86570518283376274</v>
      </c>
    </row>
    <row r="74" spans="2:6" x14ac:dyDescent="0.2">
      <c r="B74" s="9" t="s">
        <v>136</v>
      </c>
      <c r="C74" s="19">
        <v>46334</v>
      </c>
      <c r="D74" s="24">
        <v>1.3579739904175221</v>
      </c>
      <c r="E74" s="28">
        <v>0.875</v>
      </c>
      <c r="F74" s="39">
        <v>0.84032492818313553</v>
      </c>
    </row>
    <row r="75" spans="2:6" x14ac:dyDescent="0.2">
      <c r="B75" s="9" t="s">
        <v>136</v>
      </c>
      <c r="C75" s="19">
        <v>46699</v>
      </c>
      <c r="D75" s="24">
        <v>2.3572895277207389</v>
      </c>
      <c r="E75" s="28">
        <v>0.875</v>
      </c>
      <c r="F75" s="39">
        <v>0.81497673917829505</v>
      </c>
    </row>
    <row r="76" spans="2:6" x14ac:dyDescent="0.2">
      <c r="B76" s="9" t="s">
        <v>136</v>
      </c>
      <c r="C76" s="19">
        <v>47065</v>
      </c>
      <c r="D76" s="24">
        <v>3.3593429158110881</v>
      </c>
      <c r="E76" s="28">
        <v>100.875</v>
      </c>
      <c r="F76" s="39">
        <v>90.841746566471471</v>
      </c>
    </row>
    <row r="77" spans="2:6" x14ac:dyDescent="0.2">
      <c r="B77" s="9" t="s">
        <v>139</v>
      </c>
      <c r="C77" s="19">
        <v>46039</v>
      </c>
      <c r="D77" s="24">
        <v>0.55030800821355241</v>
      </c>
      <c r="E77" s="28">
        <v>1.625</v>
      </c>
      <c r="F77" s="39">
        <v>1.5994823763013339</v>
      </c>
    </row>
    <row r="78" spans="2:6" x14ac:dyDescent="0.2">
      <c r="B78" s="9" t="s">
        <v>139</v>
      </c>
      <c r="C78" s="19">
        <v>46404</v>
      </c>
      <c r="D78" s="24">
        <v>1.5496235455167691</v>
      </c>
      <c r="E78" s="28">
        <v>101.625</v>
      </c>
      <c r="F78" s="39">
        <v>97.195058665365337</v>
      </c>
    </row>
    <row r="79" spans="2:6" x14ac:dyDescent="0.2">
      <c r="B79" s="9" t="s">
        <v>141</v>
      </c>
      <c r="C79" s="19">
        <v>46147</v>
      </c>
      <c r="D79" s="24">
        <v>0.8459958932238193</v>
      </c>
      <c r="E79" s="28">
        <v>6.75</v>
      </c>
      <c r="F79" s="39">
        <v>6.5428322204165923</v>
      </c>
    </row>
    <row r="80" spans="2:6" x14ac:dyDescent="0.2">
      <c r="B80" s="9" t="s">
        <v>141</v>
      </c>
      <c r="C80" s="19">
        <v>46512</v>
      </c>
      <c r="D80" s="24">
        <v>1.8453114305270359</v>
      </c>
      <c r="E80" s="28">
        <v>6.75</v>
      </c>
      <c r="F80" s="39">
        <v>6.3062953672868858</v>
      </c>
    </row>
    <row r="81" spans="2:6" x14ac:dyDescent="0.2">
      <c r="B81" s="9" t="s">
        <v>141</v>
      </c>
      <c r="C81" s="19">
        <v>46878</v>
      </c>
      <c r="D81" s="24">
        <v>2.8473648186173852</v>
      </c>
      <c r="E81" s="28">
        <v>6.75</v>
      </c>
      <c r="F81" s="39">
        <v>6.0625110307642496</v>
      </c>
    </row>
    <row r="82" spans="2:6" x14ac:dyDescent="0.2">
      <c r="B82" s="9" t="s">
        <v>141</v>
      </c>
      <c r="C82" s="19">
        <v>47243</v>
      </c>
      <c r="D82" s="24">
        <v>3.846680355920602</v>
      </c>
      <c r="E82" s="28">
        <v>6.75</v>
      </c>
      <c r="F82" s="39">
        <v>5.8149871282038843</v>
      </c>
    </row>
    <row r="83" spans="2:6" x14ac:dyDescent="0.2">
      <c r="B83" s="9" t="s">
        <v>141</v>
      </c>
      <c r="C83" s="19">
        <v>47608</v>
      </c>
      <c r="D83" s="24">
        <v>4.8459958932238196</v>
      </c>
      <c r="E83" s="28">
        <v>6.75</v>
      </c>
      <c r="F83" s="39">
        <v>5.5660306667371184</v>
      </c>
    </row>
    <row r="84" spans="2:6" x14ac:dyDescent="0.2">
      <c r="B84" s="9" t="s">
        <v>141</v>
      </c>
      <c r="C84" s="19">
        <v>47973</v>
      </c>
      <c r="D84" s="24">
        <v>5.8453114305270359</v>
      </c>
      <c r="E84" s="28">
        <v>6.75</v>
      </c>
      <c r="F84" s="39">
        <v>5.3164592708758107</v>
      </c>
    </row>
    <row r="85" spans="2:6" x14ac:dyDescent="0.2">
      <c r="B85" s="9" t="s">
        <v>141</v>
      </c>
      <c r="C85" s="19">
        <v>48339</v>
      </c>
      <c r="D85" s="24">
        <v>6.8473648186173852</v>
      </c>
      <c r="E85" s="28">
        <v>6.75</v>
      </c>
      <c r="F85" s="39">
        <v>5.0667592091153217</v>
      </c>
    </row>
    <row r="86" spans="2:6" x14ac:dyDescent="0.2">
      <c r="B86" s="9" t="s">
        <v>141</v>
      </c>
      <c r="C86" s="19">
        <v>48704</v>
      </c>
      <c r="D86" s="24">
        <v>7.8466803559206024</v>
      </c>
      <c r="E86" s="28">
        <v>106.75</v>
      </c>
      <c r="F86" s="39">
        <v>76.216727865220818</v>
      </c>
    </row>
    <row r="87" spans="2:6" x14ac:dyDescent="0.2">
      <c r="B87" s="9" t="s">
        <v>144</v>
      </c>
      <c r="C87" s="19">
        <v>46136</v>
      </c>
      <c r="D87" s="24">
        <v>0.81587953456536622</v>
      </c>
      <c r="E87" s="28">
        <v>3.875</v>
      </c>
      <c r="F87" s="39">
        <v>3.7845291836936519</v>
      </c>
    </row>
    <row r="88" spans="2:6" x14ac:dyDescent="0.2">
      <c r="B88" s="9" t="s">
        <v>144</v>
      </c>
      <c r="C88" s="19">
        <v>46501</v>
      </c>
      <c r="D88" s="24">
        <v>1.815195071868583</v>
      </c>
      <c r="E88" s="28">
        <v>3.875</v>
      </c>
      <c r="F88" s="39">
        <v>3.6765905440043838</v>
      </c>
    </row>
    <row r="89" spans="2:6" x14ac:dyDescent="0.2">
      <c r="B89" s="9" t="s">
        <v>144</v>
      </c>
      <c r="C89" s="19">
        <v>46867</v>
      </c>
      <c r="D89" s="24">
        <v>2.817248459958932</v>
      </c>
      <c r="E89" s="28">
        <v>3.875</v>
      </c>
      <c r="F89" s="39">
        <v>3.5629314284135112</v>
      </c>
    </row>
    <row r="90" spans="2:6" x14ac:dyDescent="0.2">
      <c r="B90" s="9" t="s">
        <v>144</v>
      </c>
      <c r="C90" s="19">
        <v>47232</v>
      </c>
      <c r="D90" s="24">
        <v>3.8165639972621488</v>
      </c>
      <c r="E90" s="28">
        <v>3.875</v>
      </c>
      <c r="F90" s="39">
        <v>3.4447338102462939</v>
      </c>
    </row>
    <row r="91" spans="2:6" x14ac:dyDescent="0.2">
      <c r="B91" s="9" t="s">
        <v>144</v>
      </c>
      <c r="C91" s="19">
        <v>47597</v>
      </c>
      <c r="D91" s="24">
        <v>4.815879534565366</v>
      </c>
      <c r="E91" s="28">
        <v>3.875</v>
      </c>
      <c r="F91" s="39">
        <v>3.3235674155414729</v>
      </c>
    </row>
    <row r="92" spans="2:6" x14ac:dyDescent="0.2">
      <c r="B92" s="9" t="s">
        <v>144</v>
      </c>
      <c r="C92" s="19">
        <v>47962</v>
      </c>
      <c r="D92" s="24">
        <v>5.8151950718685832</v>
      </c>
      <c r="E92" s="28">
        <v>3.875</v>
      </c>
      <c r="F92" s="39">
        <v>3.1998838258170239</v>
      </c>
    </row>
    <row r="93" spans="2:6" x14ac:dyDescent="0.2">
      <c r="B93" s="9" t="s">
        <v>144</v>
      </c>
      <c r="C93" s="19">
        <v>48328</v>
      </c>
      <c r="D93" s="24">
        <v>6.8172484599589316</v>
      </c>
      <c r="E93" s="28">
        <v>3.875</v>
      </c>
      <c r="F93" s="39">
        <v>3.0739987176493391</v>
      </c>
    </row>
    <row r="94" spans="2:6" x14ac:dyDescent="0.2">
      <c r="B94" s="9" t="s">
        <v>144</v>
      </c>
      <c r="C94" s="19">
        <v>48693</v>
      </c>
      <c r="D94" s="24">
        <v>7.8165639972621488</v>
      </c>
      <c r="E94" s="28">
        <v>3.875</v>
      </c>
      <c r="F94" s="39">
        <v>2.9472151670546078</v>
      </c>
    </row>
    <row r="95" spans="2:6" x14ac:dyDescent="0.2">
      <c r="B95" s="9" t="s">
        <v>144</v>
      </c>
      <c r="C95" s="19">
        <v>49058</v>
      </c>
      <c r="D95" s="24">
        <v>8.8158795345653669</v>
      </c>
      <c r="E95" s="28">
        <v>3.875</v>
      </c>
      <c r="F95" s="39">
        <v>2.8197610988865192</v>
      </c>
    </row>
    <row r="96" spans="2:6" x14ac:dyDescent="0.2">
      <c r="B96" s="9" t="s">
        <v>144</v>
      </c>
      <c r="C96" s="19">
        <v>49423</v>
      </c>
      <c r="D96" s="24">
        <v>9.8151950718685832</v>
      </c>
      <c r="E96" s="28">
        <v>3.875</v>
      </c>
      <c r="F96" s="39">
        <v>2.6921862125189269</v>
      </c>
    </row>
    <row r="97" spans="2:6" x14ac:dyDescent="0.2">
      <c r="B97" s="9" t="s">
        <v>144</v>
      </c>
      <c r="C97" s="19">
        <v>49789</v>
      </c>
      <c r="D97" s="24">
        <v>10.817248459958931</v>
      </c>
      <c r="E97" s="28">
        <v>103.875</v>
      </c>
      <c r="F97" s="39">
        <v>69.388636846174293</v>
      </c>
    </row>
    <row r="98" spans="2:6" x14ac:dyDescent="0.2">
      <c r="B98" s="9" t="s">
        <v>147</v>
      </c>
      <c r="C98" s="19">
        <v>45952</v>
      </c>
      <c r="D98" s="24">
        <v>0.31211498973305962</v>
      </c>
      <c r="E98" s="28">
        <v>3.625</v>
      </c>
      <c r="F98" s="39">
        <v>3.589710300229314</v>
      </c>
    </row>
    <row r="99" spans="2:6" x14ac:dyDescent="0.2">
      <c r="B99" s="9" t="s">
        <v>147</v>
      </c>
      <c r="C99" s="19">
        <v>46317</v>
      </c>
      <c r="D99" s="24">
        <v>1.3114305270362761</v>
      </c>
      <c r="E99" s="28">
        <v>3.625</v>
      </c>
      <c r="F99" s="39">
        <v>3.479015762584027</v>
      </c>
    </row>
    <row r="100" spans="2:6" x14ac:dyDescent="0.2">
      <c r="B100" s="9" t="s">
        <v>147</v>
      </c>
      <c r="C100" s="19">
        <v>46682</v>
      </c>
      <c r="D100" s="24">
        <v>2.3107460643394941</v>
      </c>
      <c r="E100" s="28">
        <v>3.625</v>
      </c>
      <c r="F100" s="39">
        <v>3.3692252544502308</v>
      </c>
    </row>
    <row r="101" spans="2:6" x14ac:dyDescent="0.2">
      <c r="B101" s="9" t="s">
        <v>147</v>
      </c>
      <c r="C101" s="19">
        <v>47048</v>
      </c>
      <c r="D101" s="24">
        <v>3.312799452429843</v>
      </c>
      <c r="E101" s="28">
        <v>3.625</v>
      </c>
      <c r="F101" s="39">
        <v>3.2527802212387131</v>
      </c>
    </row>
    <row r="102" spans="2:6" x14ac:dyDescent="0.2">
      <c r="B102" s="9" t="s">
        <v>147</v>
      </c>
      <c r="C102" s="19">
        <v>47413</v>
      </c>
      <c r="D102" s="24">
        <v>4.3121149897330593</v>
      </c>
      <c r="E102" s="28">
        <v>3.625</v>
      </c>
      <c r="F102" s="39">
        <v>3.134155346348928</v>
      </c>
    </row>
    <row r="103" spans="2:6" x14ac:dyDescent="0.2">
      <c r="B103" s="9" t="s">
        <v>147</v>
      </c>
      <c r="C103" s="19">
        <v>47778</v>
      </c>
      <c r="D103" s="24">
        <v>5.3114305270362756</v>
      </c>
      <c r="E103" s="28">
        <v>3.625</v>
      </c>
      <c r="F103" s="39">
        <v>3.0135614700683599</v>
      </c>
    </row>
    <row r="104" spans="2:6" x14ac:dyDescent="0.2">
      <c r="B104" s="9" t="s">
        <v>147</v>
      </c>
      <c r="C104" s="19">
        <v>48143</v>
      </c>
      <c r="D104" s="24">
        <v>6.3107460643394937</v>
      </c>
      <c r="E104" s="28">
        <v>3.625</v>
      </c>
      <c r="F104" s="39">
        <v>2.891475763763796</v>
      </c>
    </row>
    <row r="105" spans="2:6" x14ac:dyDescent="0.2">
      <c r="B105" s="9" t="s">
        <v>147</v>
      </c>
      <c r="C105" s="19">
        <v>48509</v>
      </c>
      <c r="D105" s="24">
        <v>7.312799452429843</v>
      </c>
      <c r="E105" s="28">
        <v>3.625</v>
      </c>
      <c r="F105" s="39">
        <v>2.768206139673147</v>
      </c>
    </row>
    <row r="106" spans="2:6" x14ac:dyDescent="0.2">
      <c r="B106" s="9" t="s">
        <v>147</v>
      </c>
      <c r="C106" s="19">
        <v>48874</v>
      </c>
      <c r="D106" s="24">
        <v>8.3121149897330593</v>
      </c>
      <c r="E106" s="28">
        <v>3.625</v>
      </c>
      <c r="F106" s="39">
        <v>2.6449658073173019</v>
      </c>
    </row>
    <row r="107" spans="2:6" x14ac:dyDescent="0.2">
      <c r="B107" s="9" t="s">
        <v>147</v>
      </c>
      <c r="C107" s="19">
        <v>49239</v>
      </c>
      <c r="D107" s="24">
        <v>9.3114305270362774</v>
      </c>
      <c r="E107" s="28">
        <v>103.625</v>
      </c>
      <c r="F107" s="39">
        <v>72.092575184326179</v>
      </c>
    </row>
    <row r="108" spans="2:6" x14ac:dyDescent="0.2">
      <c r="B108" s="9" t="s">
        <v>150</v>
      </c>
      <c r="C108" s="19">
        <v>46149</v>
      </c>
      <c r="D108" s="24">
        <v>0.85147159479808354</v>
      </c>
      <c r="E108" s="28">
        <v>4.75</v>
      </c>
      <c r="F108" s="39">
        <v>4.6032710872027911</v>
      </c>
    </row>
    <row r="109" spans="2:6" x14ac:dyDescent="0.2">
      <c r="B109" s="9" t="s">
        <v>150</v>
      </c>
      <c r="C109" s="19">
        <v>46514</v>
      </c>
      <c r="D109" s="24">
        <v>1.850787132101301</v>
      </c>
      <c r="E109" s="28">
        <v>4.75</v>
      </c>
      <c r="F109" s="39">
        <v>4.4368360397845814</v>
      </c>
    </row>
    <row r="110" spans="2:6" x14ac:dyDescent="0.2">
      <c r="B110" s="9" t="s">
        <v>150</v>
      </c>
      <c r="C110" s="19">
        <v>46880</v>
      </c>
      <c r="D110" s="24">
        <v>2.8528405201916489</v>
      </c>
      <c r="E110" s="28">
        <v>4.75</v>
      </c>
      <c r="F110" s="39">
        <v>4.2652136456297329</v>
      </c>
    </row>
    <row r="111" spans="2:6" x14ac:dyDescent="0.2">
      <c r="B111" s="9" t="s">
        <v>150</v>
      </c>
      <c r="C111" s="19">
        <v>47245</v>
      </c>
      <c r="D111" s="24">
        <v>3.852156057494867</v>
      </c>
      <c r="E111" s="28">
        <v>4.75</v>
      </c>
      <c r="F111" s="39">
        <v>4.0910085039248019</v>
      </c>
    </row>
    <row r="112" spans="2:6" x14ac:dyDescent="0.2">
      <c r="B112" s="9" t="s">
        <v>150</v>
      </c>
      <c r="C112" s="19">
        <v>47610</v>
      </c>
      <c r="D112" s="24">
        <v>4.8514715947980838</v>
      </c>
      <c r="E112" s="28">
        <v>4.75</v>
      </c>
      <c r="F112" s="39">
        <v>3.915800844470811</v>
      </c>
    </row>
    <row r="113" spans="2:6" x14ac:dyDescent="0.2">
      <c r="B113" s="9" t="s">
        <v>150</v>
      </c>
      <c r="C113" s="19">
        <v>47975</v>
      </c>
      <c r="D113" s="24">
        <v>5.8507871321013001</v>
      </c>
      <c r="E113" s="28">
        <v>4.75</v>
      </c>
      <c r="F113" s="39">
        <v>3.7401646037294412</v>
      </c>
    </row>
    <row r="114" spans="2:6" x14ac:dyDescent="0.2">
      <c r="B114" s="9" t="s">
        <v>150</v>
      </c>
      <c r="C114" s="19">
        <v>48341</v>
      </c>
      <c r="D114" s="24">
        <v>6.8528405201916494</v>
      </c>
      <c r="E114" s="28">
        <v>4.75</v>
      </c>
      <c r="F114" s="39">
        <v>3.5644440554703749</v>
      </c>
    </row>
    <row r="115" spans="2:6" x14ac:dyDescent="0.2">
      <c r="B115" s="9" t="s">
        <v>150</v>
      </c>
      <c r="C115" s="19">
        <v>48706</v>
      </c>
      <c r="D115" s="24">
        <v>7.8521560574948666</v>
      </c>
      <c r="E115" s="28">
        <v>4.75</v>
      </c>
      <c r="F115" s="39">
        <v>3.3903228518808022</v>
      </c>
    </row>
    <row r="116" spans="2:6" x14ac:dyDescent="0.2">
      <c r="B116" s="9" t="s">
        <v>150</v>
      </c>
      <c r="C116" s="19">
        <v>49071</v>
      </c>
      <c r="D116" s="24">
        <v>8.8514715947980829</v>
      </c>
      <c r="E116" s="28">
        <v>4.75</v>
      </c>
      <c r="F116" s="39">
        <v>3.217974666898018</v>
      </c>
    </row>
    <row r="117" spans="2:6" x14ac:dyDescent="0.2">
      <c r="B117" s="9" t="s">
        <v>150</v>
      </c>
      <c r="C117" s="19">
        <v>49436</v>
      </c>
      <c r="D117" s="24">
        <v>9.850787132101301</v>
      </c>
      <c r="E117" s="28">
        <v>104.75</v>
      </c>
      <c r="F117" s="39">
        <v>67.216658138094743</v>
      </c>
    </row>
    <row r="118" spans="2:6" x14ac:dyDescent="0.2">
      <c r="B118" s="9" t="s">
        <v>152</v>
      </c>
      <c r="C118" s="19">
        <v>46108</v>
      </c>
      <c r="D118" s="24">
        <v>0.73921971252566732</v>
      </c>
      <c r="E118" s="28">
        <v>3.4140000000000001</v>
      </c>
      <c r="F118" s="39">
        <v>3.343079657006653</v>
      </c>
    </row>
    <row r="119" spans="2:6" x14ac:dyDescent="0.2">
      <c r="B119" s="9" t="s">
        <v>152</v>
      </c>
      <c r="C119" s="19">
        <v>46473</v>
      </c>
      <c r="D119" s="24">
        <v>1.738535249828884</v>
      </c>
      <c r="E119" s="28">
        <v>3.4140000000000001</v>
      </c>
      <c r="F119" s="39">
        <v>3.2495421363274062</v>
      </c>
    </row>
    <row r="120" spans="2:6" x14ac:dyDescent="0.2">
      <c r="B120" s="9" t="s">
        <v>152</v>
      </c>
      <c r="C120" s="19">
        <v>46839</v>
      </c>
      <c r="D120" s="24">
        <v>2.7405886379192328</v>
      </c>
      <c r="E120" s="28">
        <v>3.4140000000000001</v>
      </c>
      <c r="F120" s="39">
        <v>3.1517364362558622</v>
      </c>
    </row>
    <row r="121" spans="2:6" x14ac:dyDescent="0.2">
      <c r="B121" s="9" t="s">
        <v>152</v>
      </c>
      <c r="C121" s="19">
        <v>47204</v>
      </c>
      <c r="D121" s="24">
        <v>3.73990417522245</v>
      </c>
      <c r="E121" s="28">
        <v>3.4140000000000001</v>
      </c>
      <c r="F121" s="39">
        <v>3.0493630264807261</v>
      </c>
    </row>
    <row r="122" spans="2:6" x14ac:dyDescent="0.2">
      <c r="B122" s="9" t="s">
        <v>152</v>
      </c>
      <c r="C122" s="19">
        <v>47569</v>
      </c>
      <c r="D122" s="24">
        <v>4.7392197125256672</v>
      </c>
      <c r="E122" s="28">
        <v>103.414</v>
      </c>
      <c r="F122" s="39">
        <v>89.183560942510923</v>
      </c>
    </row>
    <row r="123" spans="2:6" x14ac:dyDescent="0.2">
      <c r="B123" s="9" t="s">
        <v>155</v>
      </c>
      <c r="C123" s="19">
        <v>45884</v>
      </c>
      <c r="D123" s="24">
        <v>0.12594113620807659</v>
      </c>
      <c r="E123" s="28">
        <v>0</v>
      </c>
      <c r="F123" s="39">
        <v>0</v>
      </c>
    </row>
    <row r="124" spans="2:6" x14ac:dyDescent="0.2">
      <c r="B124" s="9" t="s">
        <v>155</v>
      </c>
      <c r="C124" s="19">
        <v>46249</v>
      </c>
      <c r="D124" s="24">
        <v>1.1252566735112941</v>
      </c>
      <c r="E124" s="28">
        <v>0</v>
      </c>
      <c r="F124" s="39">
        <v>0</v>
      </c>
    </row>
    <row r="125" spans="2:6" x14ac:dyDescent="0.2">
      <c r="B125" s="9" t="s">
        <v>155</v>
      </c>
      <c r="C125" s="19">
        <v>46614</v>
      </c>
      <c r="D125" s="24">
        <v>2.12457221081451</v>
      </c>
      <c r="E125" s="28">
        <v>0</v>
      </c>
      <c r="F125" s="39">
        <v>0</v>
      </c>
    </row>
    <row r="126" spans="2:6" x14ac:dyDescent="0.2">
      <c r="B126" s="9" t="s">
        <v>155</v>
      </c>
      <c r="C126" s="19">
        <v>46980</v>
      </c>
      <c r="D126" s="24">
        <v>3.1266255989048601</v>
      </c>
      <c r="E126" s="28">
        <v>0</v>
      </c>
      <c r="F126" s="39">
        <v>0</v>
      </c>
    </row>
    <row r="127" spans="2:6" x14ac:dyDescent="0.2">
      <c r="B127" s="9" t="s">
        <v>155</v>
      </c>
      <c r="C127" s="19">
        <v>47345</v>
      </c>
      <c r="D127" s="24">
        <v>4.1259411362080769</v>
      </c>
      <c r="E127" s="28">
        <v>100</v>
      </c>
      <c r="F127" s="39">
        <v>91.968000000000004</v>
      </c>
    </row>
    <row r="128" spans="2:6" x14ac:dyDescent="0.2">
      <c r="B128" s="9" t="s">
        <v>159</v>
      </c>
      <c r="C128" s="19">
        <v>46182</v>
      </c>
      <c r="D128" s="24">
        <v>0.94182067077344289</v>
      </c>
      <c r="E128" s="28">
        <v>2.625</v>
      </c>
      <c r="F128" s="39">
        <v>2.5583527842015101</v>
      </c>
    </row>
    <row r="129" spans="2:6" x14ac:dyDescent="0.2">
      <c r="B129" s="9" t="s">
        <v>159</v>
      </c>
      <c r="C129" s="19">
        <v>46547</v>
      </c>
      <c r="D129" s="24">
        <v>1.9411362080766601</v>
      </c>
      <c r="E129" s="28">
        <v>102.625</v>
      </c>
      <c r="F129" s="39">
        <v>97.327058142950833</v>
      </c>
    </row>
    <row r="130" spans="2:6" x14ac:dyDescent="0.2">
      <c r="B130" s="9" t="s">
        <v>162</v>
      </c>
      <c r="C130" s="19">
        <v>45984</v>
      </c>
      <c r="D130" s="24">
        <v>0.39972621492128679</v>
      </c>
      <c r="E130" s="28">
        <v>5</v>
      </c>
      <c r="F130" s="39">
        <v>4.9425041142330191</v>
      </c>
    </row>
    <row r="131" spans="2:6" x14ac:dyDescent="0.2">
      <c r="B131" s="9" t="s">
        <v>162</v>
      </c>
      <c r="C131" s="19">
        <v>46349</v>
      </c>
      <c r="D131" s="24">
        <v>1.399041752224504</v>
      </c>
      <c r="E131" s="28">
        <v>5</v>
      </c>
      <c r="F131" s="39">
        <v>4.8016403475187364</v>
      </c>
    </row>
    <row r="132" spans="2:6" x14ac:dyDescent="0.2">
      <c r="B132" s="9" t="s">
        <v>162</v>
      </c>
      <c r="C132" s="19">
        <v>46714</v>
      </c>
      <c r="D132" s="24">
        <v>2.3983572895277212</v>
      </c>
      <c r="E132" s="28">
        <v>5</v>
      </c>
      <c r="F132" s="39">
        <v>4.6601724910437614</v>
      </c>
    </row>
    <row r="133" spans="2:6" x14ac:dyDescent="0.2">
      <c r="B133" s="9" t="s">
        <v>162</v>
      </c>
      <c r="C133" s="19">
        <v>47080</v>
      </c>
      <c r="D133" s="24">
        <v>3.40041067761807</v>
      </c>
      <c r="E133" s="28">
        <v>5</v>
      </c>
      <c r="F133" s="39">
        <v>4.5091642668217267</v>
      </c>
    </row>
    <row r="134" spans="2:6" x14ac:dyDescent="0.2">
      <c r="B134" s="9" t="s">
        <v>162</v>
      </c>
      <c r="C134" s="19">
        <v>47445</v>
      </c>
      <c r="D134" s="24">
        <v>4.3997262149212863</v>
      </c>
      <c r="E134" s="28">
        <v>5</v>
      </c>
      <c r="F134" s="39">
        <v>4.3544027738852824</v>
      </c>
    </row>
    <row r="135" spans="2:6" x14ac:dyDescent="0.2">
      <c r="B135" s="9" t="s">
        <v>162</v>
      </c>
      <c r="C135" s="19">
        <v>47810</v>
      </c>
      <c r="D135" s="24">
        <v>5.3990417522245044</v>
      </c>
      <c r="E135" s="28">
        <v>105</v>
      </c>
      <c r="F135" s="39">
        <v>88.11951325649747</v>
      </c>
    </row>
    <row r="136" spans="2:6" x14ac:dyDescent="0.2">
      <c r="B136" s="9" t="s">
        <v>165</v>
      </c>
      <c r="C136" s="19">
        <v>46036</v>
      </c>
      <c r="D136" s="24">
        <v>0.5420944558521561</v>
      </c>
      <c r="E136" s="28">
        <v>3.75</v>
      </c>
      <c r="F136" s="39">
        <v>3.686769908013213</v>
      </c>
    </row>
    <row r="137" spans="2:6" x14ac:dyDescent="0.2">
      <c r="B137" s="9" t="s">
        <v>165</v>
      </c>
      <c r="C137" s="19">
        <v>46401</v>
      </c>
      <c r="D137" s="24">
        <v>1.5414099931553731</v>
      </c>
      <c r="E137" s="28">
        <v>3.75</v>
      </c>
      <c r="F137" s="39">
        <v>3.5729903286998792</v>
      </c>
    </row>
    <row r="138" spans="2:6" x14ac:dyDescent="0.2">
      <c r="B138" s="9" t="s">
        <v>165</v>
      </c>
      <c r="C138" s="19">
        <v>46766</v>
      </c>
      <c r="D138" s="24">
        <v>2.5407255304585901</v>
      </c>
      <c r="E138" s="28">
        <v>3.75</v>
      </c>
      <c r="F138" s="39">
        <v>3.4577930857499322</v>
      </c>
    </row>
    <row r="139" spans="2:6" x14ac:dyDescent="0.2">
      <c r="B139" s="9" t="s">
        <v>165</v>
      </c>
      <c r="C139" s="19">
        <v>47132</v>
      </c>
      <c r="D139" s="24">
        <v>3.5427789185489389</v>
      </c>
      <c r="E139" s="28">
        <v>3.75</v>
      </c>
      <c r="F139" s="39">
        <v>3.3366058589256848</v>
      </c>
    </row>
    <row r="140" spans="2:6" x14ac:dyDescent="0.2">
      <c r="B140" s="9" t="s">
        <v>165</v>
      </c>
      <c r="C140" s="19">
        <v>47497</v>
      </c>
      <c r="D140" s="24">
        <v>4.5420944558521557</v>
      </c>
      <c r="E140" s="28">
        <v>3.75</v>
      </c>
      <c r="F140" s="39">
        <v>3.213309346794023</v>
      </c>
    </row>
    <row r="141" spans="2:6" x14ac:dyDescent="0.2">
      <c r="B141" s="9" t="s">
        <v>165</v>
      </c>
      <c r="C141" s="19">
        <v>47862</v>
      </c>
      <c r="D141" s="24">
        <v>5.5414099931553729</v>
      </c>
      <c r="E141" s="28">
        <v>103.75</v>
      </c>
      <c r="F141" s="39">
        <v>85.436832805150587</v>
      </c>
    </row>
    <row r="142" spans="2:6" x14ac:dyDescent="0.2">
      <c r="B142" s="9" t="s">
        <v>168</v>
      </c>
      <c r="C142" s="19">
        <v>46158</v>
      </c>
      <c r="D142" s="24">
        <v>0.87611225188227237</v>
      </c>
      <c r="E142" s="28">
        <v>4.25</v>
      </c>
      <c r="F142" s="39">
        <v>4.1503796216797779</v>
      </c>
    </row>
    <row r="143" spans="2:6" x14ac:dyDescent="0.2">
      <c r="B143" s="9" t="s">
        <v>168</v>
      </c>
      <c r="C143" s="19">
        <v>46523</v>
      </c>
      <c r="D143" s="24">
        <v>1.8754277891854889</v>
      </c>
      <c r="E143" s="28">
        <v>4.25</v>
      </c>
      <c r="F143" s="39">
        <v>4.0395977412345703</v>
      </c>
    </row>
    <row r="144" spans="2:6" x14ac:dyDescent="0.2">
      <c r="B144" s="9" t="s">
        <v>168</v>
      </c>
      <c r="C144" s="19">
        <v>46889</v>
      </c>
      <c r="D144" s="24">
        <v>2.877481177275838</v>
      </c>
      <c r="E144" s="28">
        <v>104.25</v>
      </c>
      <c r="F144" s="39">
        <v>96.184782937085643</v>
      </c>
    </row>
    <row r="145" spans="2:6" x14ac:dyDescent="0.2">
      <c r="B145" s="9" t="s">
        <v>170</v>
      </c>
      <c r="C145" s="19">
        <v>46144</v>
      </c>
      <c r="D145" s="24">
        <v>0.83778234086242298</v>
      </c>
      <c r="E145" s="28">
        <v>4.75</v>
      </c>
      <c r="F145" s="39">
        <v>4.6357007738646212</v>
      </c>
    </row>
    <row r="146" spans="2:6" x14ac:dyDescent="0.2">
      <c r="B146" s="9" t="s">
        <v>170</v>
      </c>
      <c r="C146" s="19">
        <v>46509</v>
      </c>
      <c r="D146" s="24">
        <v>1.83709787816564</v>
      </c>
      <c r="E146" s="28">
        <v>4.75</v>
      </c>
      <c r="F146" s="39">
        <v>4.5029548307369653</v>
      </c>
    </row>
    <row r="147" spans="2:6" x14ac:dyDescent="0.2">
      <c r="B147" s="9" t="s">
        <v>170</v>
      </c>
      <c r="C147" s="19">
        <v>46875</v>
      </c>
      <c r="D147" s="24">
        <v>2.839151266255989</v>
      </c>
      <c r="E147" s="28">
        <v>4.75</v>
      </c>
      <c r="F147" s="39">
        <v>4.3628710142766449</v>
      </c>
    </row>
    <row r="148" spans="2:6" x14ac:dyDescent="0.2">
      <c r="B148" s="9" t="s">
        <v>170</v>
      </c>
      <c r="C148" s="19">
        <v>47240</v>
      </c>
      <c r="D148" s="24">
        <v>3.8384668035592062</v>
      </c>
      <c r="E148" s="28">
        <v>104.75</v>
      </c>
      <c r="F148" s="39">
        <v>93.005808989229877</v>
      </c>
    </row>
    <row r="149" spans="2:6" x14ac:dyDescent="0.2">
      <c r="B149" s="9" t="s">
        <v>173</v>
      </c>
      <c r="C149" s="19">
        <v>45862</v>
      </c>
      <c r="D149" s="24">
        <v>6.5708418891170434E-2</v>
      </c>
      <c r="E149" s="28">
        <v>4.5</v>
      </c>
      <c r="F149" s="39">
        <v>4.4906650399615016</v>
      </c>
    </row>
    <row r="150" spans="2:6" x14ac:dyDescent="0.2">
      <c r="B150" s="9" t="s">
        <v>173</v>
      </c>
      <c r="C150" s="19">
        <v>46227</v>
      </c>
      <c r="D150" s="24">
        <v>1.0650239561943871</v>
      </c>
      <c r="E150" s="28">
        <v>4.5</v>
      </c>
      <c r="F150" s="39">
        <v>4.3510592919555204</v>
      </c>
    </row>
    <row r="151" spans="2:6" x14ac:dyDescent="0.2">
      <c r="B151" s="9" t="s">
        <v>173</v>
      </c>
      <c r="C151" s="19">
        <v>46592</v>
      </c>
      <c r="D151" s="24">
        <v>2.064339493497604</v>
      </c>
      <c r="E151" s="28">
        <v>4.5</v>
      </c>
      <c r="F151" s="39">
        <v>4.2152130671547772</v>
      </c>
    </row>
    <row r="152" spans="2:6" x14ac:dyDescent="0.2">
      <c r="B152" s="9" t="s">
        <v>173</v>
      </c>
      <c r="C152" s="19">
        <v>46958</v>
      </c>
      <c r="D152" s="24">
        <v>3.0663928815879529</v>
      </c>
      <c r="E152" s="28">
        <v>104.5</v>
      </c>
      <c r="F152" s="39">
        <v>94.527329646382753</v>
      </c>
    </row>
    <row r="153" spans="2:6" x14ac:dyDescent="0.2">
      <c r="B153" s="9" t="s">
        <v>175</v>
      </c>
      <c r="C153" s="19">
        <v>46098</v>
      </c>
      <c r="D153" s="24">
        <v>0.7118412046543463</v>
      </c>
      <c r="E153" s="28">
        <v>3.5</v>
      </c>
      <c r="F153" s="39">
        <v>3.4330592972740939</v>
      </c>
    </row>
    <row r="154" spans="2:6" x14ac:dyDescent="0.2">
      <c r="B154" s="9" t="s">
        <v>175</v>
      </c>
      <c r="C154" s="19">
        <v>46463</v>
      </c>
      <c r="D154" s="24">
        <v>1.7111567419575631</v>
      </c>
      <c r="E154" s="28">
        <v>3.5</v>
      </c>
      <c r="F154" s="39">
        <v>3.341239544544945</v>
      </c>
    </row>
    <row r="155" spans="2:6" x14ac:dyDescent="0.2">
      <c r="B155" s="9" t="s">
        <v>175</v>
      </c>
      <c r="C155" s="19">
        <v>46829</v>
      </c>
      <c r="D155" s="24">
        <v>2.713210130047913</v>
      </c>
      <c r="E155" s="28">
        <v>103.5</v>
      </c>
      <c r="F155" s="39">
        <v>95.962728558180956</v>
      </c>
    </row>
    <row r="156" spans="2:6" x14ac:dyDescent="0.2">
      <c r="B156" s="9" t="s">
        <v>177</v>
      </c>
      <c r="C156" s="19">
        <v>45961</v>
      </c>
      <c r="D156" s="24">
        <v>0.33675564681724851</v>
      </c>
      <c r="E156" s="28">
        <v>7.125</v>
      </c>
      <c r="F156" s="39">
        <v>7.0159439896799931</v>
      </c>
    </row>
    <row r="157" spans="2:6" x14ac:dyDescent="0.2">
      <c r="B157" s="9" t="s">
        <v>177</v>
      </c>
      <c r="C157" s="19">
        <v>46326</v>
      </c>
      <c r="D157" s="24">
        <v>1.3360711841204651</v>
      </c>
      <c r="E157" s="28">
        <v>7.125</v>
      </c>
      <c r="F157" s="39">
        <v>6.7020504510798808</v>
      </c>
    </row>
    <row r="158" spans="2:6" x14ac:dyDescent="0.2">
      <c r="B158" s="9" t="s">
        <v>177</v>
      </c>
      <c r="C158" s="19">
        <v>46691</v>
      </c>
      <c r="D158" s="24">
        <v>2.3353867214236819</v>
      </c>
      <c r="E158" s="28">
        <v>7.125</v>
      </c>
      <c r="F158" s="39">
        <v>6.397003183868244</v>
      </c>
    </row>
    <row r="159" spans="2:6" x14ac:dyDescent="0.2">
      <c r="B159" s="9" t="s">
        <v>177</v>
      </c>
      <c r="C159" s="19">
        <v>47057</v>
      </c>
      <c r="D159" s="24">
        <v>3.337440109514032</v>
      </c>
      <c r="E159" s="28">
        <v>107.125</v>
      </c>
      <c r="F159" s="39">
        <v>91.515016094884089</v>
      </c>
    </row>
    <row r="160" spans="2:6" x14ac:dyDescent="0.2">
      <c r="B160" s="9" t="s">
        <v>180</v>
      </c>
      <c r="C160" s="19">
        <v>46041</v>
      </c>
      <c r="D160" s="24">
        <v>0.55578370978781655</v>
      </c>
      <c r="E160" s="28">
        <v>4.625</v>
      </c>
      <c r="F160" s="39">
        <v>4.5558409034717524</v>
      </c>
    </row>
    <row r="161" spans="2:6" x14ac:dyDescent="0.2">
      <c r="B161" s="9" t="s">
        <v>180</v>
      </c>
      <c r="C161" s="19">
        <v>46406</v>
      </c>
      <c r="D161" s="24">
        <v>1.5550992470910341</v>
      </c>
      <c r="E161" s="28">
        <v>4.625</v>
      </c>
      <c r="F161" s="39">
        <v>4.4340818416010732</v>
      </c>
    </row>
    <row r="162" spans="2:6" x14ac:dyDescent="0.2">
      <c r="B162" s="9" t="s">
        <v>180</v>
      </c>
      <c r="C162" s="19">
        <v>46771</v>
      </c>
      <c r="D162" s="24">
        <v>2.55441478439425</v>
      </c>
      <c r="E162" s="28">
        <v>4.625</v>
      </c>
      <c r="F162" s="39">
        <v>4.3092444886942118</v>
      </c>
    </row>
    <row r="163" spans="2:6" x14ac:dyDescent="0.2">
      <c r="B163" s="9" t="s">
        <v>180</v>
      </c>
      <c r="C163" s="19">
        <v>47137</v>
      </c>
      <c r="D163" s="24">
        <v>3.5564681724846001</v>
      </c>
      <c r="E163" s="28">
        <v>104.625</v>
      </c>
      <c r="F163" s="39">
        <v>94.465414972638683</v>
      </c>
    </row>
    <row r="164" spans="2:6" x14ac:dyDescent="0.2">
      <c r="B164" s="9" t="s">
        <v>183</v>
      </c>
      <c r="C164" s="19">
        <v>46142</v>
      </c>
      <c r="D164" s="24">
        <v>0.83230663928815884</v>
      </c>
      <c r="E164" s="28">
        <v>3.9</v>
      </c>
      <c r="F164" s="39">
        <v>3.8141077461030108</v>
      </c>
    </row>
    <row r="165" spans="2:6" x14ac:dyDescent="0.2">
      <c r="B165" s="9" t="s">
        <v>183</v>
      </c>
      <c r="C165" s="19">
        <v>46507</v>
      </c>
      <c r="D165" s="24">
        <v>1.831622176591376</v>
      </c>
      <c r="E165" s="28">
        <v>3.9</v>
      </c>
      <c r="F165" s="39">
        <v>3.713475944732052</v>
      </c>
    </row>
    <row r="166" spans="2:6" x14ac:dyDescent="0.2">
      <c r="B166" s="9" t="s">
        <v>183</v>
      </c>
      <c r="C166" s="19">
        <v>46873</v>
      </c>
      <c r="D166" s="24">
        <v>2.8336755646817249</v>
      </c>
      <c r="E166" s="28">
        <v>3.9</v>
      </c>
      <c r="F166" s="39">
        <v>3.606389841996033</v>
      </c>
    </row>
    <row r="167" spans="2:6" x14ac:dyDescent="0.2">
      <c r="B167" s="9" t="s">
        <v>183</v>
      </c>
      <c r="C167" s="19">
        <v>47238</v>
      </c>
      <c r="D167" s="24">
        <v>3.8329911019849421</v>
      </c>
      <c r="E167" s="28">
        <v>3.9</v>
      </c>
      <c r="F167" s="39">
        <v>3.4943012265164222</v>
      </c>
    </row>
    <row r="168" spans="2:6" x14ac:dyDescent="0.2">
      <c r="B168" s="9" t="s">
        <v>183</v>
      </c>
      <c r="C168" s="19">
        <v>47603</v>
      </c>
      <c r="D168" s="24">
        <v>4.8323066392881584</v>
      </c>
      <c r="E168" s="28">
        <v>3.9</v>
      </c>
      <c r="F168" s="39">
        <v>3.378692216722722</v>
      </c>
    </row>
    <row r="169" spans="2:6" x14ac:dyDescent="0.2">
      <c r="B169" s="9" t="s">
        <v>183</v>
      </c>
      <c r="C169" s="19">
        <v>47968</v>
      </c>
      <c r="D169" s="24">
        <v>5.8316221765913756</v>
      </c>
      <c r="E169" s="28">
        <v>3.9</v>
      </c>
      <c r="F169" s="39">
        <v>3.2599982103743441</v>
      </c>
    </row>
    <row r="170" spans="2:6" x14ac:dyDescent="0.2">
      <c r="B170" s="9" t="s">
        <v>183</v>
      </c>
      <c r="C170" s="19">
        <v>48334</v>
      </c>
      <c r="D170" s="24">
        <v>6.8336755646817249</v>
      </c>
      <c r="E170" s="28">
        <v>3.9</v>
      </c>
      <c r="F170" s="39">
        <v>3.1385477125870578</v>
      </c>
    </row>
    <row r="171" spans="2:6" x14ac:dyDescent="0.2">
      <c r="B171" s="9" t="s">
        <v>183</v>
      </c>
      <c r="C171" s="19">
        <v>48699</v>
      </c>
      <c r="D171" s="24">
        <v>7.8329911019849421</v>
      </c>
      <c r="E171" s="28">
        <v>103.9</v>
      </c>
      <c r="F171" s="39">
        <v>80.339137800968373</v>
      </c>
    </row>
    <row r="172" spans="2:6" x14ac:dyDescent="0.2">
      <c r="B172" s="9" t="s">
        <v>186</v>
      </c>
      <c r="C172" s="19">
        <v>45999</v>
      </c>
      <c r="D172" s="24">
        <v>0.44079397672826831</v>
      </c>
      <c r="E172" s="28">
        <v>5.375</v>
      </c>
      <c r="F172" s="39">
        <v>5.2980128226196754</v>
      </c>
    </row>
    <row r="173" spans="2:6" x14ac:dyDescent="0.2">
      <c r="B173" s="9" t="s">
        <v>186</v>
      </c>
      <c r="C173" s="19">
        <v>46364</v>
      </c>
      <c r="D173" s="24">
        <v>1.440109514031485</v>
      </c>
      <c r="E173" s="28">
        <v>105.375</v>
      </c>
      <c r="F173" s="39">
        <v>100.5235488596233</v>
      </c>
    </row>
    <row r="174" spans="2:6" x14ac:dyDescent="0.2">
      <c r="B174" s="9" t="s">
        <v>189</v>
      </c>
      <c r="C174" s="19">
        <v>46045</v>
      </c>
      <c r="D174" s="24">
        <v>0.56673511293634493</v>
      </c>
      <c r="E174" s="28">
        <v>6</v>
      </c>
      <c r="F174" s="39">
        <v>5.9101932204754917</v>
      </c>
    </row>
    <row r="175" spans="2:6" x14ac:dyDescent="0.2">
      <c r="B175" s="9" t="s">
        <v>189</v>
      </c>
      <c r="C175" s="19">
        <v>46410</v>
      </c>
      <c r="D175" s="24">
        <v>1.5660506502395619</v>
      </c>
      <c r="E175" s="28">
        <v>106</v>
      </c>
      <c r="F175" s="39">
        <v>101.6734437910188</v>
      </c>
    </row>
    <row r="176" spans="2:6" x14ac:dyDescent="0.2">
      <c r="B176" s="9" t="s">
        <v>192</v>
      </c>
      <c r="C176" s="19">
        <v>45840</v>
      </c>
      <c r="D176" s="24">
        <v>5.4757015742642034E-3</v>
      </c>
      <c r="E176" s="28">
        <v>1.625</v>
      </c>
      <c r="F176" s="39">
        <v>1.624706192518615</v>
      </c>
    </row>
    <row r="177" spans="2:6" x14ac:dyDescent="0.2">
      <c r="B177" s="9" t="s">
        <v>192</v>
      </c>
      <c r="C177" s="19">
        <v>46205</v>
      </c>
      <c r="D177" s="24">
        <v>1.0047912388774809</v>
      </c>
      <c r="E177" s="28">
        <v>1.625</v>
      </c>
      <c r="F177" s="39">
        <v>1.5719661666114459</v>
      </c>
    </row>
    <row r="178" spans="2:6" x14ac:dyDescent="0.2">
      <c r="B178" s="9" t="s">
        <v>192</v>
      </c>
      <c r="C178" s="19">
        <v>46570</v>
      </c>
      <c r="D178" s="24">
        <v>2.0041067761806981</v>
      </c>
      <c r="E178" s="28">
        <v>1.625</v>
      </c>
      <c r="F178" s="39">
        <v>1.520925169507843</v>
      </c>
    </row>
    <row r="179" spans="2:6" x14ac:dyDescent="0.2">
      <c r="B179" s="9" t="s">
        <v>192</v>
      </c>
      <c r="C179" s="19">
        <v>46936</v>
      </c>
      <c r="D179" s="24">
        <v>3.0061601642710469</v>
      </c>
      <c r="E179" s="28">
        <v>1.625</v>
      </c>
      <c r="F179" s="39">
        <v>1.4668260605714021</v>
      </c>
    </row>
    <row r="180" spans="2:6" x14ac:dyDescent="0.2">
      <c r="B180" s="9" t="s">
        <v>192</v>
      </c>
      <c r="C180" s="19">
        <v>47301</v>
      </c>
      <c r="D180" s="24">
        <v>4.0054757015742641</v>
      </c>
      <c r="E180" s="28">
        <v>101.625</v>
      </c>
      <c r="F180" s="39">
        <v>88.295576410790702</v>
      </c>
    </row>
    <row r="181" spans="2:6" x14ac:dyDescent="0.2">
      <c r="B181" s="9" t="s">
        <v>195</v>
      </c>
      <c r="C181" s="19">
        <v>46039</v>
      </c>
      <c r="D181" s="24">
        <v>0.55030800821355241</v>
      </c>
      <c r="E181" s="28">
        <v>1.875</v>
      </c>
      <c r="F181" s="39">
        <v>1.8421660717065049</v>
      </c>
    </row>
    <row r="182" spans="2:6" x14ac:dyDescent="0.2">
      <c r="B182" s="9" t="s">
        <v>195</v>
      </c>
      <c r="C182" s="19">
        <v>46404</v>
      </c>
      <c r="D182" s="24">
        <v>1.5496235455167691</v>
      </c>
      <c r="E182" s="28">
        <v>1.875</v>
      </c>
      <c r="F182" s="39">
        <v>1.7840053128881499</v>
      </c>
    </row>
    <row r="183" spans="2:6" x14ac:dyDescent="0.2">
      <c r="B183" s="9" t="s">
        <v>195</v>
      </c>
      <c r="C183" s="19">
        <v>46769</v>
      </c>
      <c r="D183" s="24">
        <v>2.5489390828199858</v>
      </c>
      <c r="E183" s="28">
        <v>101.875</v>
      </c>
      <c r="F183" s="39">
        <v>93.734568377310126</v>
      </c>
    </row>
    <row r="184" spans="2:6" x14ac:dyDescent="0.2">
      <c r="B184" s="9" t="s">
        <v>198</v>
      </c>
      <c r="C184" s="19">
        <v>45954</v>
      </c>
      <c r="D184" s="24">
        <v>0.31759069130732381</v>
      </c>
      <c r="E184" s="28">
        <v>4</v>
      </c>
      <c r="F184" s="39">
        <v>3.9527384715963669</v>
      </c>
    </row>
    <row r="185" spans="2:6" x14ac:dyDescent="0.2">
      <c r="B185" s="9" t="s">
        <v>198</v>
      </c>
      <c r="C185" s="19">
        <v>46319</v>
      </c>
      <c r="D185" s="24">
        <v>1.3169062286105411</v>
      </c>
      <c r="E185" s="28">
        <v>4</v>
      </c>
      <c r="F185" s="39">
        <v>3.8076398367846922</v>
      </c>
    </row>
    <row r="186" spans="2:6" x14ac:dyDescent="0.2">
      <c r="B186" s="9" t="s">
        <v>198</v>
      </c>
      <c r="C186" s="19">
        <v>46684</v>
      </c>
      <c r="D186" s="24">
        <v>2.3162217659137578</v>
      </c>
      <c r="E186" s="28">
        <v>4</v>
      </c>
      <c r="F186" s="39">
        <v>3.6650830605655891</v>
      </c>
    </row>
    <row r="187" spans="2:6" x14ac:dyDescent="0.2">
      <c r="B187" s="9" t="s">
        <v>198</v>
      </c>
      <c r="C187" s="19">
        <v>47050</v>
      </c>
      <c r="D187" s="24">
        <v>3.3182751540041071</v>
      </c>
      <c r="E187" s="28">
        <v>4</v>
      </c>
      <c r="F187" s="39">
        <v>3.5168764228668632</v>
      </c>
    </row>
    <row r="188" spans="2:6" x14ac:dyDescent="0.2">
      <c r="B188" s="9" t="s">
        <v>198</v>
      </c>
      <c r="C188" s="19">
        <v>47415</v>
      </c>
      <c r="D188" s="24">
        <v>4.3175906913073234</v>
      </c>
      <c r="E188" s="28">
        <v>104</v>
      </c>
      <c r="F188" s="39">
        <v>87.569347208186514</v>
      </c>
    </row>
    <row r="189" spans="2:6" x14ac:dyDescent="0.2">
      <c r="B189" s="9" t="s">
        <v>201</v>
      </c>
      <c r="C189" s="19">
        <v>46196</v>
      </c>
      <c r="D189" s="24">
        <v>0.98015058179329229</v>
      </c>
      <c r="E189" s="28">
        <v>2.125</v>
      </c>
      <c r="F189" s="39">
        <v>2.0632247253750529</v>
      </c>
    </row>
    <row r="190" spans="2:6" x14ac:dyDescent="0.2">
      <c r="B190" s="9" t="s">
        <v>201</v>
      </c>
      <c r="C190" s="19">
        <v>46561</v>
      </c>
      <c r="D190" s="24">
        <v>1.979466119096509</v>
      </c>
      <c r="E190" s="28">
        <v>2.125</v>
      </c>
      <c r="F190" s="39">
        <v>2.0020900679579969</v>
      </c>
    </row>
    <row r="191" spans="2:6" x14ac:dyDescent="0.2">
      <c r="B191" s="9" t="s">
        <v>201</v>
      </c>
      <c r="C191" s="19">
        <v>46927</v>
      </c>
      <c r="D191" s="24">
        <v>2.9815195071868579</v>
      </c>
      <c r="E191" s="28">
        <v>2.125</v>
      </c>
      <c r="F191" s="39">
        <v>1.936721244922075</v>
      </c>
    </row>
    <row r="192" spans="2:6" x14ac:dyDescent="0.2">
      <c r="B192" s="9" t="s">
        <v>201</v>
      </c>
      <c r="C192" s="19">
        <v>47292</v>
      </c>
      <c r="D192" s="24">
        <v>3.9808350444900751</v>
      </c>
      <c r="E192" s="28">
        <v>2.125</v>
      </c>
      <c r="F192" s="39">
        <v>1.869696638775292</v>
      </c>
    </row>
    <row r="193" spans="2:6" x14ac:dyDescent="0.2">
      <c r="B193" s="9" t="s">
        <v>201</v>
      </c>
      <c r="C193" s="19">
        <v>47657</v>
      </c>
      <c r="D193" s="24">
        <v>4.9801505817932918</v>
      </c>
      <c r="E193" s="28">
        <v>2.125</v>
      </c>
      <c r="F193" s="39">
        <v>1.8012574876480461</v>
      </c>
    </row>
    <row r="194" spans="2:6" x14ac:dyDescent="0.2">
      <c r="B194" s="9" t="s">
        <v>201</v>
      </c>
      <c r="C194" s="19">
        <v>48022</v>
      </c>
      <c r="D194" s="24">
        <v>5.979466119096509</v>
      </c>
      <c r="E194" s="28">
        <v>102.125</v>
      </c>
      <c r="F194" s="39">
        <v>83.220406978178673</v>
      </c>
    </row>
    <row r="195" spans="2:6" x14ac:dyDescent="0.2">
      <c r="B195" s="9" t="s">
        <v>204</v>
      </c>
      <c r="C195" s="19">
        <v>45855</v>
      </c>
      <c r="D195" s="24">
        <v>4.6543463381245723E-2</v>
      </c>
      <c r="E195" s="28">
        <v>2</v>
      </c>
      <c r="F195" s="39">
        <v>1.9971626642765119</v>
      </c>
    </row>
    <row r="196" spans="2:6" x14ac:dyDescent="0.2">
      <c r="B196" s="9" t="s">
        <v>204</v>
      </c>
      <c r="C196" s="19">
        <v>46220</v>
      </c>
      <c r="D196" s="24">
        <v>1.045859000684463</v>
      </c>
      <c r="E196" s="28">
        <v>2</v>
      </c>
      <c r="F196" s="39">
        <v>1.9372050636134539</v>
      </c>
    </row>
    <row r="197" spans="2:6" x14ac:dyDescent="0.2">
      <c r="B197" s="9" t="s">
        <v>204</v>
      </c>
      <c r="C197" s="19">
        <v>46585</v>
      </c>
      <c r="D197" s="24">
        <v>2.04517453798768</v>
      </c>
      <c r="E197" s="28">
        <v>2</v>
      </c>
      <c r="F197" s="39">
        <v>1.878867476977605</v>
      </c>
    </row>
    <row r="198" spans="2:6" x14ac:dyDescent="0.2">
      <c r="B198" s="9" t="s">
        <v>204</v>
      </c>
      <c r="C198" s="19">
        <v>46951</v>
      </c>
      <c r="D198" s="24">
        <v>3.0472279260780288</v>
      </c>
      <c r="E198" s="28">
        <v>2</v>
      </c>
      <c r="F198" s="39">
        <v>1.8164634018613339</v>
      </c>
    </row>
    <row r="199" spans="2:6" x14ac:dyDescent="0.2">
      <c r="B199" s="9" t="s">
        <v>204</v>
      </c>
      <c r="C199" s="19">
        <v>47316</v>
      </c>
      <c r="D199" s="24">
        <v>4.046543463381246</v>
      </c>
      <c r="E199" s="28">
        <v>2</v>
      </c>
      <c r="F199" s="39">
        <v>1.7526557623704819</v>
      </c>
    </row>
    <row r="200" spans="2:6" x14ac:dyDescent="0.2">
      <c r="B200" s="9" t="s">
        <v>204</v>
      </c>
      <c r="C200" s="19">
        <v>47681</v>
      </c>
      <c r="D200" s="24">
        <v>5.0458590006844624</v>
      </c>
      <c r="E200" s="28">
        <v>102</v>
      </c>
      <c r="F200" s="39">
        <v>86.066953845186347</v>
      </c>
    </row>
    <row r="201" spans="2:6" x14ac:dyDescent="0.2">
      <c r="B201" s="9" t="s">
        <v>207</v>
      </c>
      <c r="C201" s="19">
        <v>45857</v>
      </c>
      <c r="D201" s="24">
        <v>5.2019164955509928E-2</v>
      </c>
      <c r="E201" s="28">
        <v>0.25</v>
      </c>
      <c r="F201" s="39">
        <v>0.24966788226362441</v>
      </c>
    </row>
    <row r="202" spans="2:6" x14ac:dyDescent="0.2">
      <c r="B202" s="9" t="s">
        <v>207</v>
      </c>
      <c r="C202" s="19">
        <v>46222</v>
      </c>
      <c r="D202" s="24">
        <v>1.0513347022587269</v>
      </c>
      <c r="E202" s="28">
        <v>0.25</v>
      </c>
      <c r="F202" s="39">
        <v>0.2433726897087751</v>
      </c>
    </row>
    <row r="203" spans="2:6" x14ac:dyDescent="0.2">
      <c r="B203" s="9" t="s">
        <v>207</v>
      </c>
      <c r="C203" s="19">
        <v>46587</v>
      </c>
      <c r="D203" s="24">
        <v>2.0506502395619441</v>
      </c>
      <c r="E203" s="28">
        <v>0.25</v>
      </c>
      <c r="F203" s="39">
        <v>0.23721067800040091</v>
      </c>
    </row>
    <row r="204" spans="2:6" x14ac:dyDescent="0.2">
      <c r="B204" s="9" t="s">
        <v>207</v>
      </c>
      <c r="C204" s="19">
        <v>46953</v>
      </c>
      <c r="D204" s="24">
        <v>3.052703627652293</v>
      </c>
      <c r="E204" s="28">
        <v>100.25</v>
      </c>
      <c r="F204" s="39">
        <v>92.418104883360556</v>
      </c>
    </row>
    <row r="205" spans="2:6" x14ac:dyDescent="0.2">
      <c r="B205" s="9" t="s">
        <v>210</v>
      </c>
      <c r="C205" s="19">
        <v>45865</v>
      </c>
      <c r="D205" s="24">
        <v>7.3921971252566734E-2</v>
      </c>
      <c r="E205" s="28">
        <v>1</v>
      </c>
      <c r="F205" s="39">
        <v>0.99780020157114768</v>
      </c>
    </row>
    <row r="206" spans="2:6" x14ac:dyDescent="0.2">
      <c r="B206" s="9" t="s">
        <v>210</v>
      </c>
      <c r="C206" s="19">
        <v>46230</v>
      </c>
      <c r="D206" s="24">
        <v>1.0732375085557839</v>
      </c>
      <c r="E206" s="28">
        <v>1</v>
      </c>
      <c r="F206" s="39">
        <v>0.96853273772246651</v>
      </c>
    </row>
    <row r="207" spans="2:6" x14ac:dyDescent="0.2">
      <c r="B207" s="9" t="s">
        <v>210</v>
      </c>
      <c r="C207" s="19">
        <v>46595</v>
      </c>
      <c r="D207" s="24">
        <v>2.0725530458590011</v>
      </c>
      <c r="E207" s="28">
        <v>1</v>
      </c>
      <c r="F207" s="39">
        <v>0.93997717999922625</v>
      </c>
    </row>
    <row r="208" spans="2:6" x14ac:dyDescent="0.2">
      <c r="B208" s="9" t="s">
        <v>210</v>
      </c>
      <c r="C208" s="19">
        <v>46961</v>
      </c>
      <c r="D208" s="24">
        <v>3.07460643394935</v>
      </c>
      <c r="E208" s="28">
        <v>1</v>
      </c>
      <c r="F208" s="39">
        <v>0.90935301610042185</v>
      </c>
    </row>
    <row r="209" spans="2:6" x14ac:dyDescent="0.2">
      <c r="B209" s="9" t="s">
        <v>210</v>
      </c>
      <c r="C209" s="19">
        <v>47326</v>
      </c>
      <c r="D209" s="24">
        <v>4.0739219712525667</v>
      </c>
      <c r="E209" s="28">
        <v>101</v>
      </c>
      <c r="F209" s="39">
        <v>88.676343809051204</v>
      </c>
    </row>
    <row r="210" spans="2:6" x14ac:dyDescent="0.2">
      <c r="B210" s="9" t="s">
        <v>213</v>
      </c>
      <c r="C210" s="19">
        <v>45992</v>
      </c>
      <c r="D210" s="24">
        <v>0.42162902121834361</v>
      </c>
      <c r="E210" s="28">
        <v>1.75</v>
      </c>
      <c r="F210" s="39">
        <v>1.7284911013311219</v>
      </c>
    </row>
    <row r="211" spans="2:6" x14ac:dyDescent="0.2">
      <c r="B211" s="9" t="s">
        <v>213</v>
      </c>
      <c r="C211" s="19">
        <v>46357</v>
      </c>
      <c r="D211" s="24">
        <v>1.420944558521561</v>
      </c>
      <c r="E211" s="28">
        <v>1.75</v>
      </c>
      <c r="F211" s="39">
        <v>1.6785621114353639</v>
      </c>
    </row>
    <row r="212" spans="2:6" x14ac:dyDescent="0.2">
      <c r="B212" s="9" t="s">
        <v>213</v>
      </c>
      <c r="C212" s="19">
        <v>46722</v>
      </c>
      <c r="D212" s="24">
        <v>2.4202600958247782</v>
      </c>
      <c r="E212" s="28">
        <v>1.75</v>
      </c>
      <c r="F212" s="39">
        <v>1.6283571317881731</v>
      </c>
    </row>
    <row r="213" spans="2:6" x14ac:dyDescent="0.2">
      <c r="B213" s="9" t="s">
        <v>213</v>
      </c>
      <c r="C213" s="19">
        <v>47088</v>
      </c>
      <c r="D213" s="24">
        <v>3.422313483915127</v>
      </c>
      <c r="E213" s="28">
        <v>1.75</v>
      </c>
      <c r="F213" s="39">
        <v>1.5748934143577049</v>
      </c>
    </row>
    <row r="214" spans="2:6" x14ac:dyDescent="0.2">
      <c r="B214" s="9" t="s">
        <v>213</v>
      </c>
      <c r="C214" s="19">
        <v>47453</v>
      </c>
      <c r="D214" s="24">
        <v>4.4216290212183438</v>
      </c>
      <c r="E214" s="28">
        <v>101.75</v>
      </c>
      <c r="F214" s="39">
        <v>88.386929074420962</v>
      </c>
    </row>
    <row r="215" spans="2:6" x14ac:dyDescent="0.2">
      <c r="B215" s="9" t="s">
        <v>216</v>
      </c>
      <c r="C215" s="19">
        <v>46049</v>
      </c>
      <c r="D215" s="24">
        <v>0.57768651608487342</v>
      </c>
      <c r="E215" s="28">
        <v>1.25</v>
      </c>
      <c r="F215" s="39">
        <v>1.230148137842731</v>
      </c>
    </row>
    <row r="216" spans="2:6" x14ac:dyDescent="0.2">
      <c r="B216" s="9" t="s">
        <v>216</v>
      </c>
      <c r="C216" s="19">
        <v>46414</v>
      </c>
      <c r="D216" s="24">
        <v>1.57700205338809</v>
      </c>
      <c r="E216" s="28">
        <v>1.25</v>
      </c>
      <c r="F216" s="39">
        <v>1.1965487707936671</v>
      </c>
    </row>
    <row r="217" spans="2:6" x14ac:dyDescent="0.2">
      <c r="B217" s="9" t="s">
        <v>216</v>
      </c>
      <c r="C217" s="19">
        <v>46779</v>
      </c>
      <c r="D217" s="24">
        <v>2.5763175906913069</v>
      </c>
      <c r="E217" s="28">
        <v>1.25</v>
      </c>
      <c r="F217" s="39">
        <v>1.1620766981794719</v>
      </c>
    </row>
    <row r="218" spans="2:6" x14ac:dyDescent="0.2">
      <c r="B218" s="9" t="s">
        <v>216</v>
      </c>
      <c r="C218" s="19">
        <v>47145</v>
      </c>
      <c r="D218" s="24">
        <v>3.5783709787816562</v>
      </c>
      <c r="E218" s="28">
        <v>101.25</v>
      </c>
      <c r="F218" s="39">
        <v>91.155972998688725</v>
      </c>
    </row>
    <row r="219" spans="2:6" x14ac:dyDescent="0.2">
      <c r="B219" s="9" t="s">
        <v>219</v>
      </c>
      <c r="C219" s="19">
        <v>46081</v>
      </c>
      <c r="D219" s="24">
        <v>0.6652977412731006</v>
      </c>
      <c r="E219" s="28">
        <v>2.5</v>
      </c>
      <c r="F219" s="39">
        <v>2.452031769203217</v>
      </c>
    </row>
    <row r="220" spans="2:6" x14ac:dyDescent="0.2">
      <c r="B220" s="9" t="s">
        <v>219</v>
      </c>
      <c r="C220" s="19">
        <v>46446</v>
      </c>
      <c r="D220" s="24">
        <v>1.6646132785763179</v>
      </c>
      <c r="E220" s="28">
        <v>2.5</v>
      </c>
      <c r="F220" s="39">
        <v>2.381704658993089</v>
      </c>
    </row>
    <row r="221" spans="2:6" x14ac:dyDescent="0.2">
      <c r="B221" s="9" t="s">
        <v>219</v>
      </c>
      <c r="C221" s="19">
        <v>46811</v>
      </c>
      <c r="D221" s="24">
        <v>2.663928815879534</v>
      </c>
      <c r="E221" s="28">
        <v>2.5</v>
      </c>
      <c r="F221" s="39">
        <v>2.3091560474152391</v>
      </c>
    </row>
    <row r="222" spans="2:6" x14ac:dyDescent="0.2">
      <c r="B222" s="9" t="s">
        <v>219</v>
      </c>
      <c r="C222" s="19">
        <v>47177</v>
      </c>
      <c r="D222" s="24">
        <v>3.6659822039698842</v>
      </c>
      <c r="E222" s="28">
        <v>102.5</v>
      </c>
      <c r="F222" s="39">
        <v>91.539922524388459</v>
      </c>
    </row>
    <row r="223" spans="2:6" x14ac:dyDescent="0.2">
      <c r="B223" s="9" t="s">
        <v>222</v>
      </c>
      <c r="C223" s="19">
        <v>45936</v>
      </c>
      <c r="D223" s="24">
        <v>0.26830937713894593</v>
      </c>
      <c r="E223" s="28">
        <v>7</v>
      </c>
      <c r="F223" s="39">
        <v>6.9138396289596002</v>
      </c>
    </row>
    <row r="224" spans="2:6" x14ac:dyDescent="0.2">
      <c r="B224" s="9" t="s">
        <v>222</v>
      </c>
      <c r="C224" s="19">
        <v>46301</v>
      </c>
      <c r="D224" s="24">
        <v>1.267624914442163</v>
      </c>
      <c r="E224" s="28">
        <v>7</v>
      </c>
      <c r="F224" s="39">
        <v>6.6021630423771374</v>
      </c>
    </row>
    <row r="225" spans="2:6" x14ac:dyDescent="0.2">
      <c r="B225" s="9" t="s">
        <v>222</v>
      </c>
      <c r="C225" s="19">
        <v>46666</v>
      </c>
      <c r="D225" s="24">
        <v>2.2669404517453802</v>
      </c>
      <c r="E225" s="28">
        <v>107</v>
      </c>
      <c r="F225" s="39">
        <v>96.308901495329948</v>
      </c>
    </row>
    <row r="226" spans="2:6" x14ac:dyDescent="0.2">
      <c r="B226" s="9" t="s">
        <v>225</v>
      </c>
      <c r="C226" s="19">
        <v>46157</v>
      </c>
      <c r="D226" s="24">
        <v>0.87337440109514031</v>
      </c>
      <c r="E226" s="28">
        <v>5.375</v>
      </c>
      <c r="F226" s="39">
        <v>5.2431140788945596</v>
      </c>
    </row>
    <row r="227" spans="2:6" x14ac:dyDescent="0.2">
      <c r="B227" s="9" t="s">
        <v>225</v>
      </c>
      <c r="C227" s="19">
        <v>46522</v>
      </c>
      <c r="D227" s="24">
        <v>1.8726899383983571</v>
      </c>
      <c r="E227" s="28">
        <v>105.375</v>
      </c>
      <c r="F227" s="39">
        <v>99.908735163529698</v>
      </c>
    </row>
    <row r="228" spans="2:6" x14ac:dyDescent="0.2">
      <c r="B228" s="9" t="s">
        <v>228</v>
      </c>
      <c r="C228" s="19">
        <v>46040</v>
      </c>
      <c r="D228" s="24">
        <v>0.55304585900068448</v>
      </c>
      <c r="E228" s="28">
        <v>4.25</v>
      </c>
      <c r="F228" s="39">
        <v>4.194171892584138</v>
      </c>
    </row>
    <row r="229" spans="2:6" x14ac:dyDescent="0.2">
      <c r="B229" s="9" t="s">
        <v>228</v>
      </c>
      <c r="C229" s="19">
        <v>46405</v>
      </c>
      <c r="D229" s="24">
        <v>1.5523613963039009</v>
      </c>
      <c r="E229" s="28">
        <v>104.25</v>
      </c>
      <c r="F229" s="39">
        <v>100.4515609824159</v>
      </c>
    </row>
    <row r="230" spans="2:6" x14ac:dyDescent="0.2">
      <c r="B230" s="9" t="s">
        <v>231</v>
      </c>
      <c r="C230" s="19">
        <v>46186</v>
      </c>
      <c r="D230" s="24">
        <v>0.95277207392197127</v>
      </c>
      <c r="E230" s="28">
        <v>3.625</v>
      </c>
      <c r="F230" s="39">
        <v>3.5263494145456131</v>
      </c>
    </row>
    <row r="231" spans="2:6" x14ac:dyDescent="0.2">
      <c r="B231" s="9" t="s">
        <v>231</v>
      </c>
      <c r="C231" s="19">
        <v>46551</v>
      </c>
      <c r="D231" s="24">
        <v>1.9520876112251879</v>
      </c>
      <c r="E231" s="28">
        <v>3.625</v>
      </c>
      <c r="F231" s="39">
        <v>3.4257630022301631</v>
      </c>
    </row>
    <row r="232" spans="2:6" x14ac:dyDescent="0.2">
      <c r="B232" s="9" t="s">
        <v>231</v>
      </c>
      <c r="C232" s="19">
        <v>46917</v>
      </c>
      <c r="D232" s="24">
        <v>2.9541409993155372</v>
      </c>
      <c r="E232" s="28">
        <v>3.625</v>
      </c>
      <c r="F232" s="39">
        <v>3.3180703665486559</v>
      </c>
    </row>
    <row r="233" spans="2:6" x14ac:dyDescent="0.2">
      <c r="B233" s="9" t="s">
        <v>231</v>
      </c>
      <c r="C233" s="19">
        <v>47282</v>
      </c>
      <c r="D233" s="24">
        <v>3.953456536618754</v>
      </c>
      <c r="E233" s="28">
        <v>3.625</v>
      </c>
      <c r="F233" s="39">
        <v>3.2070753032119552</v>
      </c>
    </row>
    <row r="234" spans="2:6" x14ac:dyDescent="0.2">
      <c r="B234" s="9" t="s">
        <v>231</v>
      </c>
      <c r="C234" s="19">
        <v>47647</v>
      </c>
      <c r="D234" s="24">
        <v>4.9527720739219712</v>
      </c>
      <c r="E234" s="28">
        <v>3.625</v>
      </c>
      <c r="F234" s="39">
        <v>3.0933805043470208</v>
      </c>
    </row>
    <row r="235" spans="2:6" x14ac:dyDescent="0.2">
      <c r="B235" s="9" t="s">
        <v>231</v>
      </c>
      <c r="C235" s="19">
        <v>48012</v>
      </c>
      <c r="D235" s="24">
        <v>5.9520876112251884</v>
      </c>
      <c r="E235" s="28">
        <v>103.625</v>
      </c>
      <c r="F235" s="39">
        <v>85.11206006027939</v>
      </c>
    </row>
    <row r="236" spans="2:6" x14ac:dyDescent="0.2">
      <c r="B236" s="9" t="s">
        <v>234</v>
      </c>
      <c r="C236" s="19">
        <v>45842</v>
      </c>
      <c r="D236" s="24">
        <v>1.095140314852841E-2</v>
      </c>
      <c r="E236" s="28">
        <v>3.75</v>
      </c>
      <c r="F236" s="39">
        <v>3.748852089065827</v>
      </c>
    </row>
    <row r="237" spans="2:6" x14ac:dyDescent="0.2">
      <c r="B237" s="9" t="s">
        <v>234</v>
      </c>
      <c r="C237" s="19">
        <v>46207</v>
      </c>
      <c r="D237" s="24">
        <v>1.010266940451745</v>
      </c>
      <c r="E237" s="28">
        <v>3.75</v>
      </c>
      <c r="F237" s="39">
        <v>3.6455706424568768</v>
      </c>
    </row>
    <row r="238" spans="2:6" x14ac:dyDescent="0.2">
      <c r="B238" s="9" t="s">
        <v>234</v>
      </c>
      <c r="C238" s="19">
        <v>46572</v>
      </c>
      <c r="D238" s="24">
        <v>2.0095824777549618</v>
      </c>
      <c r="E238" s="28">
        <v>3.75</v>
      </c>
      <c r="F238" s="39">
        <v>3.5450638314434162</v>
      </c>
    </row>
    <row r="239" spans="2:6" x14ac:dyDescent="0.2">
      <c r="B239" s="9" t="s">
        <v>234</v>
      </c>
      <c r="C239" s="19">
        <v>46938</v>
      </c>
      <c r="D239" s="24">
        <v>3.011635865845312</v>
      </c>
      <c r="E239" s="28">
        <v>3.75</v>
      </c>
      <c r="F239" s="39">
        <v>3.4363292289213661</v>
      </c>
    </row>
    <row r="240" spans="2:6" x14ac:dyDescent="0.2">
      <c r="B240" s="9" t="s">
        <v>234</v>
      </c>
      <c r="C240" s="19">
        <v>47303</v>
      </c>
      <c r="D240" s="24">
        <v>4.0109514031485283</v>
      </c>
      <c r="E240" s="28">
        <v>3.75</v>
      </c>
      <c r="F240" s="39">
        <v>3.324312383371347</v>
      </c>
    </row>
    <row r="241" spans="2:6" x14ac:dyDescent="0.2">
      <c r="B241" s="9" t="s">
        <v>234</v>
      </c>
      <c r="C241" s="19">
        <v>47668</v>
      </c>
      <c r="D241" s="24">
        <v>5.0102669404517446</v>
      </c>
      <c r="E241" s="28">
        <v>3.75</v>
      </c>
      <c r="F241" s="39">
        <v>3.2092924593734509</v>
      </c>
    </row>
    <row r="242" spans="2:6" x14ac:dyDescent="0.2">
      <c r="B242" s="9" t="s">
        <v>234</v>
      </c>
      <c r="C242" s="19">
        <v>48033</v>
      </c>
      <c r="D242" s="24">
        <v>6.0095824777549627</v>
      </c>
      <c r="E242" s="28">
        <v>3.75</v>
      </c>
      <c r="F242" s="39">
        <v>3.0916659676251732</v>
      </c>
    </row>
    <row r="243" spans="2:6" x14ac:dyDescent="0.2">
      <c r="B243" s="9" t="s">
        <v>234</v>
      </c>
      <c r="C243" s="19">
        <v>48399</v>
      </c>
      <c r="D243" s="24">
        <v>7.0116358658453111</v>
      </c>
      <c r="E243" s="28">
        <v>3.75</v>
      </c>
      <c r="F243" s="39">
        <v>2.9718027603909731</v>
      </c>
    </row>
    <row r="244" spans="2:6" x14ac:dyDescent="0.2">
      <c r="B244" s="9" t="s">
        <v>234</v>
      </c>
      <c r="C244" s="19">
        <v>48764</v>
      </c>
      <c r="D244" s="24">
        <v>8.0109514031485283</v>
      </c>
      <c r="E244" s="28">
        <v>3.75</v>
      </c>
      <c r="F244" s="39">
        <v>2.8509223201097358</v>
      </c>
    </row>
    <row r="245" spans="2:6" x14ac:dyDescent="0.2">
      <c r="B245" s="9" t="s">
        <v>234</v>
      </c>
      <c r="C245" s="19">
        <v>49129</v>
      </c>
      <c r="D245" s="24">
        <v>9.0102669404517446</v>
      </c>
      <c r="E245" s="28">
        <v>3.75</v>
      </c>
      <c r="F245" s="39">
        <v>2.7292486002145711</v>
      </c>
    </row>
    <row r="246" spans="2:6" x14ac:dyDescent="0.2">
      <c r="B246" s="9" t="s">
        <v>234</v>
      </c>
      <c r="C246" s="19">
        <v>49494</v>
      </c>
      <c r="D246" s="24">
        <v>10.009582477754959</v>
      </c>
      <c r="E246" s="28">
        <v>103.75</v>
      </c>
      <c r="F246" s="39">
        <v>72.14289179149533</v>
      </c>
    </row>
    <row r="247" spans="2:6" x14ac:dyDescent="0.2">
      <c r="B247" s="9" t="s">
        <v>237</v>
      </c>
      <c r="C247" s="19">
        <v>46095</v>
      </c>
      <c r="D247" s="24">
        <v>0.70362765229294999</v>
      </c>
      <c r="E247" s="28">
        <v>6.625</v>
      </c>
      <c r="F247" s="39">
        <v>6.4615782788678073</v>
      </c>
    </row>
    <row r="248" spans="2:6" x14ac:dyDescent="0.2">
      <c r="B248" s="9" t="s">
        <v>237</v>
      </c>
      <c r="C248" s="19">
        <v>46460</v>
      </c>
      <c r="D248" s="24">
        <v>1.7029431895961671</v>
      </c>
      <c r="E248" s="28">
        <v>6.625</v>
      </c>
      <c r="F248" s="39">
        <v>6.236385460503838</v>
      </c>
    </row>
    <row r="249" spans="2:6" x14ac:dyDescent="0.2">
      <c r="B249" s="9" t="s">
        <v>237</v>
      </c>
      <c r="C249" s="19">
        <v>46826</v>
      </c>
      <c r="D249" s="24">
        <v>2.7049965776865159</v>
      </c>
      <c r="E249" s="28">
        <v>6.625</v>
      </c>
      <c r="F249" s="39">
        <v>6.0065672606278877</v>
      </c>
    </row>
    <row r="250" spans="2:6" x14ac:dyDescent="0.2">
      <c r="B250" s="9" t="s">
        <v>237</v>
      </c>
      <c r="C250" s="19">
        <v>47191</v>
      </c>
      <c r="D250" s="24">
        <v>3.7043121149897331</v>
      </c>
      <c r="E250" s="28">
        <v>6.625</v>
      </c>
      <c r="F250" s="39">
        <v>5.7708064352973079</v>
      </c>
    </row>
    <row r="251" spans="2:6" x14ac:dyDescent="0.2">
      <c r="B251" s="9" t="s">
        <v>237</v>
      </c>
      <c r="C251" s="19">
        <v>47556</v>
      </c>
      <c r="D251" s="24">
        <v>4.7036276522929503</v>
      </c>
      <c r="E251" s="28">
        <v>106.625</v>
      </c>
      <c r="F251" s="39">
        <v>89.047237913540386</v>
      </c>
    </row>
    <row r="252" spans="2:6" x14ac:dyDescent="0.2">
      <c r="B252" s="9" t="s">
        <v>240</v>
      </c>
      <c r="C252" s="19">
        <v>45948</v>
      </c>
      <c r="D252" s="24">
        <v>0.30116358658453107</v>
      </c>
      <c r="E252" s="28">
        <v>4.25</v>
      </c>
      <c r="F252" s="39">
        <v>4.2160830692597866</v>
      </c>
    </row>
    <row r="253" spans="2:6" x14ac:dyDescent="0.2">
      <c r="B253" s="9" t="s">
        <v>240</v>
      </c>
      <c r="C253" s="19">
        <v>46313</v>
      </c>
      <c r="D253" s="24">
        <v>1.300479123887748</v>
      </c>
      <c r="E253" s="28">
        <v>4.25</v>
      </c>
      <c r="F253" s="39">
        <v>4.1054677667381716</v>
      </c>
    </row>
    <row r="254" spans="2:6" x14ac:dyDescent="0.2">
      <c r="B254" s="9" t="s">
        <v>240</v>
      </c>
      <c r="C254" s="19">
        <v>46678</v>
      </c>
      <c r="D254" s="24">
        <v>2.299794661190965</v>
      </c>
      <c r="E254" s="28">
        <v>4.25</v>
      </c>
      <c r="F254" s="39">
        <v>3.9948977110828658</v>
      </c>
    </row>
    <row r="255" spans="2:6" x14ac:dyDescent="0.2">
      <c r="B255" s="9" t="s">
        <v>240</v>
      </c>
      <c r="C255" s="19">
        <v>47044</v>
      </c>
      <c r="D255" s="24">
        <v>3.3018480492813138</v>
      </c>
      <c r="E255" s="28">
        <v>4.25</v>
      </c>
      <c r="F255" s="39">
        <v>3.8752733939905388</v>
      </c>
    </row>
    <row r="256" spans="2:6" x14ac:dyDescent="0.2">
      <c r="B256" s="9" t="s">
        <v>240</v>
      </c>
      <c r="C256" s="19">
        <v>47409</v>
      </c>
      <c r="D256" s="24">
        <v>4.301163586584531</v>
      </c>
      <c r="E256" s="28">
        <v>4.25</v>
      </c>
      <c r="F256" s="39">
        <v>3.7517552018529359</v>
      </c>
    </row>
    <row r="257" spans="2:6" x14ac:dyDescent="0.2">
      <c r="B257" s="9" t="s">
        <v>240</v>
      </c>
      <c r="C257" s="19">
        <v>47774</v>
      </c>
      <c r="D257" s="24">
        <v>5.3004791238877482</v>
      </c>
      <c r="E257" s="28">
        <v>4.25</v>
      </c>
      <c r="F257" s="39">
        <v>3.62460456790871</v>
      </c>
    </row>
    <row r="258" spans="2:6" x14ac:dyDescent="0.2">
      <c r="B258" s="9" t="s">
        <v>240</v>
      </c>
      <c r="C258" s="19">
        <v>48139</v>
      </c>
      <c r="D258" s="24">
        <v>6.2997946611909654</v>
      </c>
      <c r="E258" s="28">
        <v>104.25</v>
      </c>
      <c r="F258" s="39">
        <v>85.714384023432729</v>
      </c>
    </row>
    <row r="259" spans="2:6" x14ac:dyDescent="0.2">
      <c r="B259" s="9" t="s">
        <v>243</v>
      </c>
      <c r="C259" s="19">
        <v>46130</v>
      </c>
      <c r="D259" s="24">
        <v>0.79945242984257359</v>
      </c>
      <c r="E259" s="28">
        <v>4.5</v>
      </c>
      <c r="F259" s="39">
        <v>4.3956288597801958</v>
      </c>
    </row>
    <row r="260" spans="2:6" x14ac:dyDescent="0.2">
      <c r="B260" s="9" t="s">
        <v>243</v>
      </c>
      <c r="C260" s="19">
        <v>46495</v>
      </c>
      <c r="D260" s="24">
        <v>1.798767967145791</v>
      </c>
      <c r="E260" s="28">
        <v>4.5</v>
      </c>
      <c r="F260" s="39">
        <v>4.2685624932465469</v>
      </c>
    </row>
    <row r="261" spans="2:6" x14ac:dyDescent="0.2">
      <c r="B261" s="9" t="s">
        <v>243</v>
      </c>
      <c r="C261" s="19">
        <v>46861</v>
      </c>
      <c r="D261" s="24">
        <v>2.8008213552361401</v>
      </c>
      <c r="E261" s="28">
        <v>4.5</v>
      </c>
      <c r="F261" s="39">
        <v>4.1352079405345004</v>
      </c>
    </row>
    <row r="262" spans="2:6" x14ac:dyDescent="0.2">
      <c r="B262" s="9" t="s">
        <v>243</v>
      </c>
      <c r="C262" s="19">
        <v>47226</v>
      </c>
      <c r="D262" s="24">
        <v>3.8001368925393568</v>
      </c>
      <c r="E262" s="28">
        <v>4.5</v>
      </c>
      <c r="F262" s="39">
        <v>3.9965712661593158</v>
      </c>
    </row>
    <row r="263" spans="2:6" x14ac:dyDescent="0.2">
      <c r="B263" s="9" t="s">
        <v>243</v>
      </c>
      <c r="C263" s="19">
        <v>47591</v>
      </c>
      <c r="D263" s="24">
        <v>4.7994524298425736</v>
      </c>
      <c r="E263" s="28">
        <v>104.5</v>
      </c>
      <c r="F263" s="39">
        <v>89.512186973612799</v>
      </c>
    </row>
    <row r="264" spans="2:6" x14ac:dyDescent="0.2">
      <c r="B264" s="9" t="s">
        <v>246</v>
      </c>
      <c r="C264" s="19">
        <v>46028</v>
      </c>
      <c r="D264" s="24">
        <v>0.52019164955509922</v>
      </c>
      <c r="E264" s="28">
        <v>3.125</v>
      </c>
      <c r="F264" s="39">
        <v>3.0805586017077391</v>
      </c>
    </row>
    <row r="265" spans="2:6" x14ac:dyDescent="0.2">
      <c r="B265" s="9" t="s">
        <v>246</v>
      </c>
      <c r="C265" s="19">
        <v>46393</v>
      </c>
      <c r="D265" s="24">
        <v>1.5195071868583161</v>
      </c>
      <c r="E265" s="28">
        <v>3.125</v>
      </c>
      <c r="F265" s="39">
        <v>2.996949858698339</v>
      </c>
    </row>
    <row r="266" spans="2:6" x14ac:dyDescent="0.2">
      <c r="B266" s="9" t="s">
        <v>246</v>
      </c>
      <c r="C266" s="19">
        <v>46758</v>
      </c>
      <c r="D266" s="24">
        <v>2.5188227241615331</v>
      </c>
      <c r="E266" s="28">
        <v>3.125</v>
      </c>
      <c r="F266" s="39">
        <v>2.9116623415696861</v>
      </c>
    </row>
    <row r="267" spans="2:6" x14ac:dyDescent="0.2">
      <c r="B267" s="9" t="s">
        <v>246</v>
      </c>
      <c r="C267" s="19">
        <v>47124</v>
      </c>
      <c r="D267" s="24">
        <v>3.5208761122518819</v>
      </c>
      <c r="E267" s="28">
        <v>3.125</v>
      </c>
      <c r="F267" s="39">
        <v>2.8205606151067619</v>
      </c>
    </row>
    <row r="268" spans="2:6" x14ac:dyDescent="0.2">
      <c r="B268" s="9" t="s">
        <v>246</v>
      </c>
      <c r="C268" s="19">
        <v>47489</v>
      </c>
      <c r="D268" s="24">
        <v>4.5201916495550991</v>
      </c>
      <c r="E268" s="28">
        <v>3.125</v>
      </c>
      <c r="F268" s="39">
        <v>2.7268859512756571</v>
      </c>
    </row>
    <row r="269" spans="2:6" x14ac:dyDescent="0.2">
      <c r="B269" s="9" t="s">
        <v>246</v>
      </c>
      <c r="C269" s="19">
        <v>47854</v>
      </c>
      <c r="D269" s="24">
        <v>5.5195071868583163</v>
      </c>
      <c r="E269" s="28">
        <v>3.125</v>
      </c>
      <c r="F269" s="39">
        <v>2.6307961660597501</v>
      </c>
    </row>
    <row r="270" spans="2:6" x14ac:dyDescent="0.2">
      <c r="B270" s="9" t="s">
        <v>246</v>
      </c>
      <c r="C270" s="19">
        <v>48219</v>
      </c>
      <c r="D270" s="24">
        <v>6.5188227241615344</v>
      </c>
      <c r="E270" s="28">
        <v>3.125</v>
      </c>
      <c r="F270" s="39">
        <v>2.5327405900289959</v>
      </c>
    </row>
    <row r="271" spans="2:6" x14ac:dyDescent="0.2">
      <c r="B271" s="9" t="s">
        <v>246</v>
      </c>
      <c r="C271" s="19">
        <v>48585</v>
      </c>
      <c r="D271" s="24">
        <v>7.5208761122518819</v>
      </c>
      <c r="E271" s="28">
        <v>3.125</v>
      </c>
      <c r="F271" s="39">
        <v>2.4329747454801232</v>
      </c>
    </row>
    <row r="272" spans="2:6" x14ac:dyDescent="0.2">
      <c r="B272" s="9" t="s">
        <v>246</v>
      </c>
      <c r="C272" s="19">
        <v>48950</v>
      </c>
      <c r="D272" s="24">
        <v>8.5201916495551</v>
      </c>
      <c r="E272" s="28">
        <v>103.125</v>
      </c>
      <c r="F272" s="39">
        <v>76.972782053149871</v>
      </c>
    </row>
    <row r="273" spans="2:6" x14ac:dyDescent="0.2">
      <c r="B273" s="9" t="s">
        <v>249</v>
      </c>
      <c r="C273" s="19">
        <v>45860</v>
      </c>
      <c r="D273" s="24">
        <v>6.0232717316906229E-2</v>
      </c>
      <c r="E273" s="28">
        <v>5.75</v>
      </c>
      <c r="F273" s="39">
        <v>5.737658725624831</v>
      </c>
    </row>
    <row r="274" spans="2:6" x14ac:dyDescent="0.2">
      <c r="B274" s="9" t="s">
        <v>249</v>
      </c>
      <c r="C274" s="19">
        <v>46225</v>
      </c>
      <c r="D274" s="24">
        <v>1.0595482546201229</v>
      </c>
      <c r="E274" s="28">
        <v>5.75</v>
      </c>
      <c r="F274" s="39">
        <v>5.5367282627085217</v>
      </c>
    </row>
    <row r="275" spans="2:6" x14ac:dyDescent="0.2">
      <c r="B275" s="9" t="s">
        <v>249</v>
      </c>
      <c r="C275" s="19">
        <v>46590</v>
      </c>
      <c r="D275" s="24">
        <v>2.0588637919233399</v>
      </c>
      <c r="E275" s="28">
        <v>5.75</v>
      </c>
      <c r="F275" s="39">
        <v>5.3421629611801738</v>
      </c>
    </row>
    <row r="276" spans="2:6" x14ac:dyDescent="0.2">
      <c r="B276" s="9" t="s">
        <v>249</v>
      </c>
      <c r="C276" s="19">
        <v>46956</v>
      </c>
      <c r="D276" s="24">
        <v>3.0609171800136892</v>
      </c>
      <c r="E276" s="28">
        <v>5.75</v>
      </c>
      <c r="F276" s="39">
        <v>5.1378979439670216</v>
      </c>
    </row>
    <row r="277" spans="2:6" x14ac:dyDescent="0.2">
      <c r="B277" s="9" t="s">
        <v>249</v>
      </c>
      <c r="C277" s="19">
        <v>47321</v>
      </c>
      <c r="D277" s="24">
        <v>4.0602327173169064</v>
      </c>
      <c r="E277" s="28">
        <v>105.75</v>
      </c>
      <c r="F277" s="39">
        <v>90.700983618147347</v>
      </c>
    </row>
    <row r="278" spans="2:6" x14ac:dyDescent="0.2">
      <c r="B278" s="9" t="s">
        <v>252</v>
      </c>
      <c r="C278" s="19">
        <v>45869</v>
      </c>
      <c r="D278" s="24">
        <v>8.4873374401095145E-2</v>
      </c>
      <c r="E278" s="28">
        <v>6.65</v>
      </c>
      <c r="F278" s="39">
        <v>6.6159881266407563</v>
      </c>
    </row>
    <row r="279" spans="2:6" x14ac:dyDescent="0.2">
      <c r="B279" s="9" t="s">
        <v>252</v>
      </c>
      <c r="C279" s="19">
        <v>46234</v>
      </c>
      <c r="D279" s="24">
        <v>1.084188911704312</v>
      </c>
      <c r="E279" s="28">
        <v>6.65</v>
      </c>
      <c r="F279" s="39">
        <v>6.2283704266351059</v>
      </c>
    </row>
    <row r="280" spans="2:6" x14ac:dyDescent="0.2">
      <c r="B280" s="9" t="s">
        <v>252</v>
      </c>
      <c r="C280" s="19">
        <v>46599</v>
      </c>
      <c r="D280" s="24">
        <v>2.083504449007529</v>
      </c>
      <c r="E280" s="28">
        <v>6.65</v>
      </c>
      <c r="F280" s="39">
        <v>5.8624048331056757</v>
      </c>
    </row>
    <row r="281" spans="2:6" x14ac:dyDescent="0.2">
      <c r="B281" s="9" t="s">
        <v>252</v>
      </c>
      <c r="C281" s="19">
        <v>46965</v>
      </c>
      <c r="D281" s="24">
        <v>3.0855578370978778</v>
      </c>
      <c r="E281" s="28">
        <v>6.65</v>
      </c>
      <c r="F281" s="39">
        <v>5.499886272400583</v>
      </c>
    </row>
    <row r="282" spans="2:6" x14ac:dyDescent="0.2">
      <c r="B282" s="9" t="s">
        <v>252</v>
      </c>
      <c r="C282" s="19">
        <v>47330</v>
      </c>
      <c r="D282" s="24">
        <v>4.084873374401095</v>
      </c>
      <c r="E282" s="28">
        <v>106.65</v>
      </c>
      <c r="F282" s="39">
        <v>82.593517007884543</v>
      </c>
    </row>
    <row r="283" spans="2:6" x14ac:dyDescent="0.2">
      <c r="B283" s="9" t="s">
        <v>255</v>
      </c>
      <c r="C283" s="19">
        <v>45917</v>
      </c>
      <c r="D283" s="24">
        <v>0.216290212183436</v>
      </c>
      <c r="E283" s="28">
        <v>4</v>
      </c>
      <c r="F283" s="39">
        <v>3.97336678144329</v>
      </c>
    </row>
    <row r="284" spans="2:6" x14ac:dyDescent="0.2">
      <c r="B284" s="9" t="s">
        <v>255</v>
      </c>
      <c r="C284" s="19">
        <v>46282</v>
      </c>
      <c r="D284" s="24">
        <v>1.215605749486653</v>
      </c>
      <c r="E284" s="28">
        <v>4</v>
      </c>
      <c r="F284" s="39">
        <v>3.852598540551643</v>
      </c>
    </row>
    <row r="285" spans="2:6" x14ac:dyDescent="0.2">
      <c r="B285" s="9" t="s">
        <v>255</v>
      </c>
      <c r="C285" s="19">
        <v>46647</v>
      </c>
      <c r="D285" s="24">
        <v>2.21492128678987</v>
      </c>
      <c r="E285" s="28">
        <v>4</v>
      </c>
      <c r="F285" s="39">
        <v>3.7336576547374749</v>
      </c>
    </row>
    <row r="286" spans="2:6" x14ac:dyDescent="0.2">
      <c r="B286" s="9" t="s">
        <v>255</v>
      </c>
      <c r="C286" s="19">
        <v>47013</v>
      </c>
      <c r="D286" s="24">
        <v>3.2169746748802188</v>
      </c>
      <c r="E286" s="28">
        <v>4</v>
      </c>
      <c r="F286" s="39">
        <v>3.606984634149013</v>
      </c>
    </row>
    <row r="287" spans="2:6" x14ac:dyDescent="0.2">
      <c r="B287" s="9" t="s">
        <v>255</v>
      </c>
      <c r="C287" s="19">
        <v>47378</v>
      </c>
      <c r="D287" s="24">
        <v>4.216290212183436</v>
      </c>
      <c r="E287" s="28">
        <v>4</v>
      </c>
      <c r="F287" s="39">
        <v>3.477718584300229</v>
      </c>
    </row>
    <row r="288" spans="2:6" x14ac:dyDescent="0.2">
      <c r="B288" s="9" t="s">
        <v>255</v>
      </c>
      <c r="C288" s="19">
        <v>47743</v>
      </c>
      <c r="D288" s="24">
        <v>5.2156057494866532</v>
      </c>
      <c r="E288" s="28">
        <v>4</v>
      </c>
      <c r="F288" s="39">
        <v>3.3461123715945642</v>
      </c>
    </row>
    <row r="289" spans="2:6" x14ac:dyDescent="0.2">
      <c r="B289" s="9" t="s">
        <v>255</v>
      </c>
      <c r="C289" s="19">
        <v>48108</v>
      </c>
      <c r="D289" s="24">
        <v>6.2149212867898704</v>
      </c>
      <c r="E289" s="28">
        <v>4</v>
      </c>
      <c r="F289" s="39">
        <v>3.2126629605097659</v>
      </c>
    </row>
    <row r="290" spans="2:6" x14ac:dyDescent="0.2">
      <c r="B290" s="9" t="s">
        <v>255</v>
      </c>
      <c r="C290" s="19">
        <v>48474</v>
      </c>
      <c r="D290" s="24">
        <v>7.2169746748802188</v>
      </c>
      <c r="E290" s="28">
        <v>4</v>
      </c>
      <c r="F290" s="39">
        <v>3.077726056050309</v>
      </c>
    </row>
    <row r="291" spans="2:6" x14ac:dyDescent="0.2">
      <c r="B291" s="9" t="s">
        <v>255</v>
      </c>
      <c r="C291" s="19">
        <v>48839</v>
      </c>
      <c r="D291" s="24">
        <v>8.216290212183436</v>
      </c>
      <c r="E291" s="28">
        <v>4</v>
      </c>
      <c r="F291" s="39">
        <v>2.9426373195370639</v>
      </c>
    </row>
    <row r="292" spans="2:6" x14ac:dyDescent="0.2">
      <c r="B292" s="9" t="s">
        <v>255</v>
      </c>
      <c r="C292" s="19">
        <v>49204</v>
      </c>
      <c r="D292" s="24">
        <v>9.2156057494866523</v>
      </c>
      <c r="E292" s="28">
        <v>104</v>
      </c>
      <c r="F292" s="39">
        <v>72.997699472126641</v>
      </c>
    </row>
    <row r="293" spans="2:6" x14ac:dyDescent="0.2">
      <c r="B293" s="9" t="s">
        <v>258</v>
      </c>
      <c r="C293" s="19">
        <v>45933</v>
      </c>
      <c r="D293" s="24">
        <v>0.26009582477754961</v>
      </c>
      <c r="E293" s="28">
        <v>5.375</v>
      </c>
      <c r="F293" s="39">
        <v>5.3213917985913106</v>
      </c>
    </row>
    <row r="294" spans="2:6" x14ac:dyDescent="0.2">
      <c r="B294" s="9" t="s">
        <v>258</v>
      </c>
      <c r="C294" s="19">
        <v>46298</v>
      </c>
      <c r="D294" s="24">
        <v>1.259411362080767</v>
      </c>
      <c r="E294" s="28">
        <v>5.375</v>
      </c>
      <c r="F294" s="39">
        <v>5.1203501157268274</v>
      </c>
    </row>
    <row r="295" spans="2:6" x14ac:dyDescent="0.2">
      <c r="B295" s="9" t="s">
        <v>258</v>
      </c>
      <c r="C295" s="19">
        <v>46663</v>
      </c>
      <c r="D295" s="24">
        <v>2.258726899383984</v>
      </c>
      <c r="E295" s="28">
        <v>5.375</v>
      </c>
      <c r="F295" s="39">
        <v>4.9239192734863702</v>
      </c>
    </row>
    <row r="296" spans="2:6" x14ac:dyDescent="0.2">
      <c r="B296" s="9" t="s">
        <v>258</v>
      </c>
      <c r="C296" s="19">
        <v>47029</v>
      </c>
      <c r="D296" s="24">
        <v>3.2607802874743328</v>
      </c>
      <c r="E296" s="28">
        <v>5.375</v>
      </c>
      <c r="F296" s="39">
        <v>4.7201023326203098</v>
      </c>
    </row>
    <row r="297" spans="2:6" x14ac:dyDescent="0.2">
      <c r="B297" s="9" t="s">
        <v>258</v>
      </c>
      <c r="C297" s="19">
        <v>47394</v>
      </c>
      <c r="D297" s="24">
        <v>4.26009582477755</v>
      </c>
      <c r="E297" s="28">
        <v>5.375</v>
      </c>
      <c r="F297" s="39">
        <v>4.5158702594659283</v>
      </c>
    </row>
    <row r="298" spans="2:6" x14ac:dyDescent="0.2">
      <c r="B298" s="9" t="s">
        <v>258</v>
      </c>
      <c r="C298" s="19">
        <v>47759</v>
      </c>
      <c r="D298" s="24">
        <v>5.2594113620807663</v>
      </c>
      <c r="E298" s="28">
        <v>5.375</v>
      </c>
      <c r="F298" s="39">
        <v>4.3114806529567682</v>
      </c>
    </row>
    <row r="299" spans="2:6" x14ac:dyDescent="0.2">
      <c r="B299" s="9" t="s">
        <v>258</v>
      </c>
      <c r="C299" s="19">
        <v>48124</v>
      </c>
      <c r="D299" s="24">
        <v>6.2587268993839844</v>
      </c>
      <c r="E299" s="28">
        <v>5.375</v>
      </c>
      <c r="F299" s="39">
        <v>4.1076234053043601</v>
      </c>
    </row>
    <row r="300" spans="2:6" x14ac:dyDescent="0.2">
      <c r="B300" s="9" t="s">
        <v>258</v>
      </c>
      <c r="C300" s="19">
        <v>48490</v>
      </c>
      <c r="D300" s="24">
        <v>7.2607802874743328</v>
      </c>
      <c r="E300" s="28">
        <v>5.375</v>
      </c>
      <c r="F300" s="39">
        <v>3.9046826411516431</v>
      </c>
    </row>
    <row r="301" spans="2:6" x14ac:dyDescent="0.2">
      <c r="B301" s="9" t="s">
        <v>258</v>
      </c>
      <c r="C301" s="19">
        <v>48855</v>
      </c>
      <c r="D301" s="24">
        <v>8.2600958247775491</v>
      </c>
      <c r="E301" s="28">
        <v>5.375</v>
      </c>
      <c r="F301" s="39">
        <v>3.704520928003471</v>
      </c>
    </row>
    <row r="302" spans="2:6" x14ac:dyDescent="0.2">
      <c r="B302" s="9" t="s">
        <v>258</v>
      </c>
      <c r="C302" s="19">
        <v>49220</v>
      </c>
      <c r="D302" s="24">
        <v>9.2594113620807672</v>
      </c>
      <c r="E302" s="28">
        <v>105.375</v>
      </c>
      <c r="F302" s="39">
        <v>68.759038057575978</v>
      </c>
    </row>
    <row r="303" spans="2:6" x14ac:dyDescent="0.2">
      <c r="B303" s="9" t="s">
        <v>260</v>
      </c>
      <c r="C303" s="19">
        <v>45982</v>
      </c>
      <c r="D303" s="24">
        <v>0.3942505133470226</v>
      </c>
      <c r="E303" s="28">
        <v>3</v>
      </c>
      <c r="F303" s="39">
        <v>2.9679777554436382</v>
      </c>
    </row>
    <row r="304" spans="2:6" x14ac:dyDescent="0.2">
      <c r="B304" s="9" t="s">
        <v>260</v>
      </c>
      <c r="C304" s="19">
        <v>46347</v>
      </c>
      <c r="D304" s="24">
        <v>1.3935660506502401</v>
      </c>
      <c r="E304" s="28">
        <v>3</v>
      </c>
      <c r="F304" s="39">
        <v>2.8883331324087722</v>
      </c>
    </row>
    <row r="305" spans="2:6" x14ac:dyDescent="0.2">
      <c r="B305" s="9" t="s">
        <v>260</v>
      </c>
      <c r="C305" s="19">
        <v>46712</v>
      </c>
      <c r="D305" s="24">
        <v>2.3928815879534571</v>
      </c>
      <c r="E305" s="28">
        <v>3</v>
      </c>
      <c r="F305" s="39">
        <v>2.8080871467106312</v>
      </c>
    </row>
    <row r="306" spans="2:6" x14ac:dyDescent="0.2">
      <c r="B306" s="9" t="s">
        <v>260</v>
      </c>
      <c r="C306" s="19">
        <v>47078</v>
      </c>
      <c r="D306" s="24">
        <v>3.394934976043805</v>
      </c>
      <c r="E306" s="28">
        <v>3</v>
      </c>
      <c r="F306" s="39">
        <v>2.7217966746885991</v>
      </c>
    </row>
    <row r="307" spans="2:6" x14ac:dyDescent="0.2">
      <c r="B307" s="9" t="s">
        <v>260</v>
      </c>
      <c r="C307" s="19">
        <v>47443</v>
      </c>
      <c r="D307" s="24">
        <v>4.3942505133470222</v>
      </c>
      <c r="E307" s="28">
        <v>3</v>
      </c>
      <c r="F307" s="39">
        <v>2.6329171964166078</v>
      </c>
    </row>
    <row r="308" spans="2:6" x14ac:dyDescent="0.2">
      <c r="B308" s="9" t="s">
        <v>260</v>
      </c>
      <c r="C308" s="19">
        <v>47808</v>
      </c>
      <c r="D308" s="24">
        <v>5.3935660506502394</v>
      </c>
      <c r="E308" s="28">
        <v>103</v>
      </c>
      <c r="F308" s="39">
        <v>87.262264821604475</v>
      </c>
    </row>
    <row r="309" spans="2:6" x14ac:dyDescent="0.2">
      <c r="B309" s="9" t="s">
        <v>263</v>
      </c>
      <c r="C309" s="19">
        <v>46044</v>
      </c>
      <c r="D309" s="24">
        <v>0.56399726214921286</v>
      </c>
      <c r="E309" s="28">
        <v>3.75</v>
      </c>
      <c r="F309" s="39">
        <v>3.6858569969852129</v>
      </c>
    </row>
    <row r="310" spans="2:6" x14ac:dyDescent="0.2">
      <c r="B310" s="9" t="s">
        <v>263</v>
      </c>
      <c r="C310" s="19">
        <v>46409</v>
      </c>
      <c r="D310" s="24">
        <v>1.5633127994524301</v>
      </c>
      <c r="E310" s="28">
        <v>3.75</v>
      </c>
      <c r="F310" s="39">
        <v>3.5748879039277028</v>
      </c>
    </row>
    <row r="311" spans="2:6" x14ac:dyDescent="0.2">
      <c r="B311" s="9" t="s">
        <v>263</v>
      </c>
      <c r="C311" s="19">
        <v>46774</v>
      </c>
      <c r="D311" s="24">
        <v>2.5626283367556471</v>
      </c>
      <c r="E311" s="28">
        <v>3.75</v>
      </c>
      <c r="F311" s="39">
        <v>3.462080176351924</v>
      </c>
    </row>
    <row r="312" spans="2:6" x14ac:dyDescent="0.2">
      <c r="B312" s="9" t="s">
        <v>263</v>
      </c>
      <c r="C312" s="19">
        <v>47140</v>
      </c>
      <c r="D312" s="24">
        <v>3.5646817248459959</v>
      </c>
      <c r="E312" s="28">
        <v>3.75</v>
      </c>
      <c r="F312" s="39">
        <v>3.343199767733533</v>
      </c>
    </row>
    <row r="313" spans="2:6" x14ac:dyDescent="0.2">
      <c r="B313" s="9" t="s">
        <v>263</v>
      </c>
      <c r="C313" s="19">
        <v>47505</v>
      </c>
      <c r="D313" s="24">
        <v>4.5639972621492131</v>
      </c>
      <c r="E313" s="28">
        <v>103.75</v>
      </c>
      <c r="F313" s="39">
        <v>89.142584762844763</v>
      </c>
    </row>
    <row r="314" spans="2:6" x14ac:dyDescent="0.2">
      <c r="B314" s="9" t="s">
        <v>266</v>
      </c>
      <c r="C314" s="19">
        <v>46051</v>
      </c>
      <c r="D314" s="24">
        <v>0.58316221765913756</v>
      </c>
      <c r="E314" s="28">
        <v>4.125</v>
      </c>
      <c r="F314" s="39">
        <v>4.0429432145385196</v>
      </c>
    </row>
    <row r="315" spans="2:6" x14ac:dyDescent="0.2">
      <c r="B315" s="9" t="s">
        <v>266</v>
      </c>
      <c r="C315" s="19">
        <v>46416</v>
      </c>
      <c r="D315" s="24">
        <v>1.582477754962355</v>
      </c>
      <c r="E315" s="28">
        <v>4.125</v>
      </c>
      <c r="F315" s="39">
        <v>3.9061067064185342</v>
      </c>
    </row>
    <row r="316" spans="2:6" x14ac:dyDescent="0.2">
      <c r="B316" s="9" t="s">
        <v>266</v>
      </c>
      <c r="C316" s="19">
        <v>46781</v>
      </c>
      <c r="D316" s="24">
        <v>2.581793292265572</v>
      </c>
      <c r="E316" s="28">
        <v>4.125</v>
      </c>
      <c r="F316" s="39">
        <v>3.7680284579658689</v>
      </c>
    </row>
    <row r="317" spans="2:6" x14ac:dyDescent="0.2">
      <c r="B317" s="9" t="s">
        <v>266</v>
      </c>
      <c r="C317" s="19">
        <v>47147</v>
      </c>
      <c r="D317" s="24">
        <v>3.5838466803559208</v>
      </c>
      <c r="E317" s="28">
        <v>4.125</v>
      </c>
      <c r="F317" s="39">
        <v>3.6244324013045119</v>
      </c>
    </row>
    <row r="318" spans="2:6" x14ac:dyDescent="0.2">
      <c r="B318" s="9" t="s">
        <v>266</v>
      </c>
      <c r="C318" s="19">
        <v>47512</v>
      </c>
      <c r="D318" s="24">
        <v>4.5831622176591376</v>
      </c>
      <c r="E318" s="28">
        <v>104.125</v>
      </c>
      <c r="F318" s="39">
        <v>87.829900191994781</v>
      </c>
    </row>
    <row r="319" spans="2:6" x14ac:dyDescent="0.2">
      <c r="B319" s="9" t="s">
        <v>268</v>
      </c>
      <c r="C319" s="19">
        <v>46120</v>
      </c>
      <c r="D319" s="24">
        <v>0.77207392197125257</v>
      </c>
      <c r="E319" s="28">
        <v>4.25</v>
      </c>
      <c r="F319" s="39">
        <v>4.1358193715091209</v>
      </c>
    </row>
    <row r="320" spans="2:6" x14ac:dyDescent="0.2">
      <c r="B320" s="9" t="s">
        <v>268</v>
      </c>
      <c r="C320" s="19">
        <v>46485</v>
      </c>
      <c r="D320" s="24">
        <v>1.771389459274469</v>
      </c>
      <c r="E320" s="28">
        <v>4.25</v>
      </c>
      <c r="F320" s="39">
        <v>3.9925750783305758</v>
      </c>
    </row>
    <row r="321" spans="2:6" x14ac:dyDescent="0.2">
      <c r="B321" s="9" t="s">
        <v>268</v>
      </c>
      <c r="C321" s="19">
        <v>46851</v>
      </c>
      <c r="D321" s="24">
        <v>2.7734428473648181</v>
      </c>
      <c r="E321" s="28">
        <v>4.25</v>
      </c>
      <c r="F321" s="39">
        <v>3.8453575584494391</v>
      </c>
    </row>
    <row r="322" spans="2:6" x14ac:dyDescent="0.2">
      <c r="B322" s="9" t="s">
        <v>268</v>
      </c>
      <c r="C322" s="19">
        <v>47216</v>
      </c>
      <c r="D322" s="24">
        <v>3.7727583846680361</v>
      </c>
      <c r="E322" s="28">
        <v>4.25</v>
      </c>
      <c r="F322" s="39">
        <v>3.694728055016137</v>
      </c>
    </row>
    <row r="323" spans="2:6" x14ac:dyDescent="0.2">
      <c r="B323" s="9" t="s">
        <v>268</v>
      </c>
      <c r="C323" s="19">
        <v>47581</v>
      </c>
      <c r="D323" s="24">
        <v>4.7720739219712529</v>
      </c>
      <c r="E323" s="28">
        <v>4.25</v>
      </c>
      <c r="F323" s="39">
        <v>3.5426549046782299</v>
      </c>
    </row>
    <row r="324" spans="2:6" x14ac:dyDescent="0.2">
      <c r="B324" s="9" t="s">
        <v>268</v>
      </c>
      <c r="C324" s="19">
        <v>47946</v>
      </c>
      <c r="D324" s="24">
        <v>5.7713894592744692</v>
      </c>
      <c r="E324" s="28">
        <v>104.25</v>
      </c>
      <c r="F324" s="39">
        <v>83.14659105474378</v>
      </c>
    </row>
    <row r="325" spans="2:6" x14ac:dyDescent="0.2">
      <c r="B325" s="9" t="s">
        <v>270</v>
      </c>
      <c r="C325" s="19">
        <v>46185</v>
      </c>
      <c r="D325" s="24">
        <v>0.95003422313483921</v>
      </c>
      <c r="E325" s="28">
        <v>4.75</v>
      </c>
      <c r="F325" s="39">
        <v>4.5689531487162069</v>
      </c>
    </row>
    <row r="326" spans="2:6" x14ac:dyDescent="0.2">
      <c r="B326" s="9" t="s">
        <v>270</v>
      </c>
      <c r="C326" s="19">
        <v>46550</v>
      </c>
      <c r="D326" s="24">
        <v>1.9493497604380561</v>
      </c>
      <c r="E326" s="28">
        <v>4.75</v>
      </c>
      <c r="F326" s="39">
        <v>4.3859567092402472</v>
      </c>
    </row>
    <row r="327" spans="2:6" x14ac:dyDescent="0.2">
      <c r="B327" s="9" t="s">
        <v>270</v>
      </c>
      <c r="C327" s="19">
        <v>46916</v>
      </c>
      <c r="D327" s="24">
        <v>2.9514031485284051</v>
      </c>
      <c r="E327" s="28">
        <v>4.75</v>
      </c>
      <c r="F327" s="39">
        <v>4.1975791452901312</v>
      </c>
    </row>
    <row r="328" spans="2:6" x14ac:dyDescent="0.2">
      <c r="B328" s="9" t="s">
        <v>270</v>
      </c>
      <c r="C328" s="19">
        <v>47281</v>
      </c>
      <c r="D328" s="24">
        <v>3.9507186858316219</v>
      </c>
      <c r="E328" s="28">
        <v>4.75</v>
      </c>
      <c r="F328" s="39">
        <v>4.0090418267645838</v>
      </c>
    </row>
    <row r="329" spans="2:6" x14ac:dyDescent="0.2">
      <c r="B329" s="9" t="s">
        <v>270</v>
      </c>
      <c r="C329" s="19">
        <v>47646</v>
      </c>
      <c r="D329" s="24">
        <v>4.9500342231348391</v>
      </c>
      <c r="E329" s="28">
        <v>104.75</v>
      </c>
      <c r="F329" s="39">
        <v>84.264243136655523</v>
      </c>
    </row>
    <row r="330" spans="2:6" x14ac:dyDescent="0.2">
      <c r="B330" s="9" t="s">
        <v>273</v>
      </c>
      <c r="C330" s="19">
        <v>46076</v>
      </c>
      <c r="D330" s="24">
        <v>0.65160848733744015</v>
      </c>
      <c r="E330" s="28">
        <v>4.625</v>
      </c>
      <c r="F330" s="39">
        <v>4.5109633360401036</v>
      </c>
    </row>
    <row r="331" spans="2:6" x14ac:dyDescent="0.2">
      <c r="B331" s="9" t="s">
        <v>273</v>
      </c>
      <c r="C331" s="19">
        <v>46441</v>
      </c>
      <c r="D331" s="24">
        <v>1.6509240246406569</v>
      </c>
      <c r="E331" s="28">
        <v>4.625</v>
      </c>
      <c r="F331" s="39">
        <v>4.3415138000683431</v>
      </c>
    </row>
    <row r="332" spans="2:6" x14ac:dyDescent="0.2">
      <c r="B332" s="9" t="s">
        <v>273</v>
      </c>
      <c r="C332" s="19">
        <v>46806</v>
      </c>
      <c r="D332" s="24">
        <v>2.6502395619438741</v>
      </c>
      <c r="E332" s="28">
        <v>4.625</v>
      </c>
      <c r="F332" s="39">
        <v>4.1709700068346542</v>
      </c>
    </row>
    <row r="333" spans="2:6" x14ac:dyDescent="0.2">
      <c r="B333" s="9" t="s">
        <v>273</v>
      </c>
      <c r="C333" s="19">
        <v>47172</v>
      </c>
      <c r="D333" s="24">
        <v>3.6522929500342229</v>
      </c>
      <c r="E333" s="28">
        <v>4.625</v>
      </c>
      <c r="F333" s="39">
        <v>3.9959676707157969</v>
      </c>
    </row>
    <row r="334" spans="2:6" x14ac:dyDescent="0.2">
      <c r="B334" s="9" t="s">
        <v>273</v>
      </c>
      <c r="C334" s="19">
        <v>47537</v>
      </c>
      <c r="D334" s="24">
        <v>4.6516084873374401</v>
      </c>
      <c r="E334" s="28">
        <v>4.625</v>
      </c>
      <c r="F334" s="39">
        <v>3.8208247208702</v>
      </c>
    </row>
    <row r="335" spans="2:6" x14ac:dyDescent="0.2">
      <c r="B335" s="9" t="s">
        <v>273</v>
      </c>
      <c r="C335" s="19">
        <v>47902</v>
      </c>
      <c r="D335" s="24">
        <v>5.6509240246406574</v>
      </c>
      <c r="E335" s="28">
        <v>4.625</v>
      </c>
      <c r="F335" s="39">
        <v>3.6456718790243321</v>
      </c>
    </row>
    <row r="336" spans="2:6" x14ac:dyDescent="0.2">
      <c r="B336" s="9" t="s">
        <v>273</v>
      </c>
      <c r="C336" s="19">
        <v>48267</v>
      </c>
      <c r="D336" s="24">
        <v>6.6502395619438737</v>
      </c>
      <c r="E336" s="28">
        <v>4.625</v>
      </c>
      <c r="F336" s="39">
        <v>3.4712317342640171</v>
      </c>
    </row>
    <row r="337" spans="2:6" x14ac:dyDescent="0.2">
      <c r="B337" s="9" t="s">
        <v>273</v>
      </c>
      <c r="C337" s="19">
        <v>48633</v>
      </c>
      <c r="D337" s="24">
        <v>7.6522929500342229</v>
      </c>
      <c r="E337" s="28">
        <v>4.625</v>
      </c>
      <c r="F337" s="39">
        <v>3.297766281047545</v>
      </c>
    </row>
    <row r="338" spans="2:6" x14ac:dyDescent="0.2">
      <c r="B338" s="9" t="s">
        <v>273</v>
      </c>
      <c r="C338" s="19">
        <v>48998</v>
      </c>
      <c r="D338" s="24">
        <v>8.6516084873374393</v>
      </c>
      <c r="E338" s="28">
        <v>4.625</v>
      </c>
      <c r="F338" s="39">
        <v>3.1268571064722179</v>
      </c>
    </row>
    <row r="339" spans="2:6" x14ac:dyDescent="0.2">
      <c r="B339" s="9" t="s">
        <v>273</v>
      </c>
      <c r="C339" s="19">
        <v>49363</v>
      </c>
      <c r="D339" s="24">
        <v>9.6509240246406574</v>
      </c>
      <c r="E339" s="28">
        <v>4.625</v>
      </c>
      <c r="F339" s="39">
        <v>2.9586153528978909</v>
      </c>
    </row>
    <row r="340" spans="2:6" x14ac:dyDescent="0.2">
      <c r="B340" s="9" t="s">
        <v>273</v>
      </c>
      <c r="C340" s="19">
        <v>49728</v>
      </c>
      <c r="D340" s="24">
        <v>10.65023956194387</v>
      </c>
      <c r="E340" s="28">
        <v>104.625</v>
      </c>
      <c r="F340" s="39">
        <v>63.654967426833387</v>
      </c>
    </row>
    <row r="341" spans="2:6" x14ac:dyDescent="0.2">
      <c r="B341" s="9" t="s">
        <v>276</v>
      </c>
      <c r="C341" s="19">
        <v>46193</v>
      </c>
      <c r="D341" s="24">
        <v>0.97193702943189597</v>
      </c>
      <c r="E341" s="28">
        <v>4.5</v>
      </c>
      <c r="F341" s="39">
        <v>4.3460147592890719</v>
      </c>
    </row>
    <row r="342" spans="2:6" x14ac:dyDescent="0.2">
      <c r="B342" s="9" t="s">
        <v>276</v>
      </c>
      <c r="C342" s="19">
        <v>46558</v>
      </c>
      <c r="D342" s="24">
        <v>1.9712525667351131</v>
      </c>
      <c r="E342" s="28">
        <v>4.5</v>
      </c>
      <c r="F342" s="39">
        <v>4.1931840714421229</v>
      </c>
    </row>
    <row r="343" spans="2:6" x14ac:dyDescent="0.2">
      <c r="B343" s="9" t="s">
        <v>276</v>
      </c>
      <c r="C343" s="19">
        <v>46924</v>
      </c>
      <c r="D343" s="24">
        <v>2.9733059548254621</v>
      </c>
      <c r="E343" s="28">
        <v>4.5</v>
      </c>
      <c r="F343" s="39">
        <v>4.0332106632659217</v>
      </c>
    </row>
    <row r="344" spans="2:6" x14ac:dyDescent="0.2">
      <c r="B344" s="9" t="s">
        <v>276</v>
      </c>
      <c r="C344" s="19">
        <v>47289</v>
      </c>
      <c r="D344" s="24">
        <v>3.9726214921286789</v>
      </c>
      <c r="E344" s="28">
        <v>4.5</v>
      </c>
      <c r="F344" s="39">
        <v>3.8714885806670178</v>
      </c>
    </row>
    <row r="345" spans="2:6" x14ac:dyDescent="0.2">
      <c r="B345" s="9" t="s">
        <v>276</v>
      </c>
      <c r="C345" s="19">
        <v>47654</v>
      </c>
      <c r="D345" s="24">
        <v>4.9719370294318956</v>
      </c>
      <c r="E345" s="28">
        <v>4.5</v>
      </c>
      <c r="F345" s="39">
        <v>3.7085631584433738</v>
      </c>
    </row>
    <row r="346" spans="2:6" x14ac:dyDescent="0.2">
      <c r="B346" s="9" t="s">
        <v>276</v>
      </c>
      <c r="C346" s="19">
        <v>48019</v>
      </c>
      <c r="D346" s="24">
        <v>5.9712525667351128</v>
      </c>
      <c r="E346" s="28">
        <v>4.5</v>
      </c>
      <c r="F346" s="39">
        <v>3.5449479542809339</v>
      </c>
    </row>
    <row r="347" spans="2:6" x14ac:dyDescent="0.2">
      <c r="B347" s="9" t="s">
        <v>276</v>
      </c>
      <c r="C347" s="19">
        <v>48385</v>
      </c>
      <c r="D347" s="24">
        <v>6.9733059548254621</v>
      </c>
      <c r="E347" s="28">
        <v>4.5</v>
      </c>
      <c r="F347" s="39">
        <v>3.3810247808564</v>
      </c>
    </row>
    <row r="348" spans="2:6" x14ac:dyDescent="0.2">
      <c r="B348" s="9" t="s">
        <v>276</v>
      </c>
      <c r="C348" s="19">
        <v>48750</v>
      </c>
      <c r="D348" s="24">
        <v>7.9726214921286793</v>
      </c>
      <c r="E348" s="28">
        <v>4.5</v>
      </c>
      <c r="F348" s="39">
        <v>3.2183560562803231</v>
      </c>
    </row>
    <row r="349" spans="2:6" x14ac:dyDescent="0.2">
      <c r="B349" s="9" t="s">
        <v>276</v>
      </c>
      <c r="C349" s="19">
        <v>49115</v>
      </c>
      <c r="D349" s="24">
        <v>8.9719370294318956</v>
      </c>
      <c r="E349" s="28">
        <v>4.5</v>
      </c>
      <c r="F349" s="39">
        <v>3.0571175293069222</v>
      </c>
    </row>
    <row r="350" spans="2:6" x14ac:dyDescent="0.2">
      <c r="B350" s="9" t="s">
        <v>276</v>
      </c>
      <c r="C350" s="19">
        <v>49480</v>
      </c>
      <c r="D350" s="24">
        <v>9.9712525667351137</v>
      </c>
      <c r="E350" s="28">
        <v>104.5</v>
      </c>
      <c r="F350" s="39">
        <v>67.295537656251952</v>
      </c>
    </row>
    <row r="351" spans="2:6" x14ac:dyDescent="0.2">
      <c r="B351" s="9" t="s">
        <v>55</v>
      </c>
      <c r="C351" s="19">
        <v>45841</v>
      </c>
      <c r="D351" s="24">
        <v>8.2135523613963042E-3</v>
      </c>
      <c r="E351" s="28">
        <v>5.07</v>
      </c>
      <c r="F351" s="39">
        <v>5.0679966807536632</v>
      </c>
    </row>
    <row r="352" spans="2:6" x14ac:dyDescent="0.2">
      <c r="B352" s="9" t="s">
        <v>55</v>
      </c>
      <c r="C352" s="19">
        <v>46206</v>
      </c>
      <c r="D352" s="24">
        <v>1.007529089664613</v>
      </c>
      <c r="E352" s="28">
        <v>5.07</v>
      </c>
      <c r="F352" s="39">
        <v>4.8300736387336647</v>
      </c>
    </row>
    <row r="353" spans="2:6" x14ac:dyDescent="0.2">
      <c r="B353" s="9" t="s">
        <v>55</v>
      </c>
      <c r="C353" s="19">
        <v>46571</v>
      </c>
      <c r="D353" s="24">
        <v>2.0068446269678302</v>
      </c>
      <c r="E353" s="28">
        <v>5.07</v>
      </c>
      <c r="F353" s="39">
        <v>4.6032546103010654</v>
      </c>
    </row>
    <row r="354" spans="2:6" x14ac:dyDescent="0.2">
      <c r="B354" s="9" t="s">
        <v>55</v>
      </c>
      <c r="C354" s="19">
        <v>46937</v>
      </c>
      <c r="D354" s="24">
        <v>3.008898015058179</v>
      </c>
      <c r="E354" s="28">
        <v>5.07</v>
      </c>
      <c r="F354" s="39">
        <v>4.3728483876237556</v>
      </c>
    </row>
    <row r="355" spans="2:6" x14ac:dyDescent="0.2">
      <c r="B355" s="9" t="s">
        <v>55</v>
      </c>
      <c r="C355" s="19">
        <v>47302</v>
      </c>
      <c r="D355" s="24">
        <v>4.0082135523613962</v>
      </c>
      <c r="E355" s="28">
        <v>5.07</v>
      </c>
      <c r="F355" s="39">
        <v>4.1459509809566901</v>
      </c>
    </row>
    <row r="356" spans="2:6" x14ac:dyDescent="0.2">
      <c r="B356" s="9" t="s">
        <v>55</v>
      </c>
      <c r="C356" s="19">
        <v>47667</v>
      </c>
      <c r="D356" s="24">
        <v>5.0075290896646134</v>
      </c>
      <c r="E356" s="28">
        <v>5.07</v>
      </c>
      <c r="F356" s="39">
        <v>3.9226934488531549</v>
      </c>
    </row>
    <row r="357" spans="2:6" x14ac:dyDescent="0.2">
      <c r="B357" s="9" t="s">
        <v>55</v>
      </c>
      <c r="C357" s="19">
        <v>48032</v>
      </c>
      <c r="D357" s="24">
        <v>6.0068446269678306</v>
      </c>
      <c r="E357" s="28">
        <v>5.07</v>
      </c>
      <c r="F357" s="39">
        <v>3.7035681818314639</v>
      </c>
    </row>
    <row r="358" spans="2:6" x14ac:dyDescent="0.2">
      <c r="B358" s="9" t="s">
        <v>55</v>
      </c>
      <c r="C358" s="19">
        <v>48398</v>
      </c>
      <c r="D358" s="24">
        <v>7.008898015058179</v>
      </c>
      <c r="E358" s="28">
        <v>5.07</v>
      </c>
      <c r="F358" s="39">
        <v>3.4888034249127831</v>
      </c>
    </row>
    <row r="359" spans="2:6" x14ac:dyDescent="0.2">
      <c r="B359" s="9" t="s">
        <v>55</v>
      </c>
      <c r="C359" s="19">
        <v>48763</v>
      </c>
      <c r="D359" s="24">
        <v>8.0082135523613971</v>
      </c>
      <c r="E359" s="28">
        <v>5.07</v>
      </c>
      <c r="F359" s="39">
        <v>3.280156816923633</v>
      </c>
    </row>
    <row r="360" spans="2:6" x14ac:dyDescent="0.2">
      <c r="B360" s="9" t="s">
        <v>55</v>
      </c>
      <c r="C360" s="19">
        <v>49128</v>
      </c>
      <c r="D360" s="24">
        <v>9.0075290896646134</v>
      </c>
      <c r="E360" s="28">
        <v>5.07</v>
      </c>
      <c r="F360" s="39">
        <v>3.0775493334364579</v>
      </c>
    </row>
    <row r="361" spans="2:6" x14ac:dyDescent="0.2">
      <c r="B361" s="9" t="s">
        <v>55</v>
      </c>
      <c r="C361" s="19">
        <v>49493</v>
      </c>
      <c r="D361" s="24">
        <v>10.00684462696783</v>
      </c>
      <c r="E361" s="28">
        <v>105.07</v>
      </c>
      <c r="F361" s="39">
        <v>59.718604495673702</v>
      </c>
    </row>
    <row r="362" spans="2:6" x14ac:dyDescent="0.2">
      <c r="B362" s="9" t="s">
        <v>280</v>
      </c>
      <c r="C362" s="19">
        <v>45913</v>
      </c>
      <c r="D362" s="24">
        <v>0.20533880903490759</v>
      </c>
      <c r="E362" s="28">
        <v>6.875</v>
      </c>
      <c r="F362" s="39">
        <v>6.8302040311786572</v>
      </c>
    </row>
    <row r="363" spans="2:6" x14ac:dyDescent="0.2">
      <c r="B363" s="9" t="s">
        <v>280</v>
      </c>
      <c r="C363" s="19">
        <v>46278</v>
      </c>
      <c r="D363" s="24">
        <v>1.204654346338125</v>
      </c>
      <c r="E363" s="28">
        <v>6.875</v>
      </c>
      <c r="F363" s="39">
        <v>6.6163289101183063</v>
      </c>
    </row>
    <row r="364" spans="2:6" x14ac:dyDescent="0.2">
      <c r="B364" s="9" t="s">
        <v>280</v>
      </c>
      <c r="C364" s="19">
        <v>46643</v>
      </c>
      <c r="D364" s="24">
        <v>2.2039698836413422</v>
      </c>
      <c r="E364" s="28">
        <v>6.875</v>
      </c>
      <c r="F364" s="39">
        <v>6.4061641732567249</v>
      </c>
    </row>
    <row r="365" spans="2:6" x14ac:dyDescent="0.2">
      <c r="B365" s="9" t="s">
        <v>280</v>
      </c>
      <c r="C365" s="19">
        <v>47009</v>
      </c>
      <c r="D365" s="24">
        <v>3.206023271731691</v>
      </c>
      <c r="E365" s="28">
        <v>106.875</v>
      </c>
      <c r="F365" s="39">
        <v>96.118802885446328</v>
      </c>
    </row>
    <row r="366" spans="2:6" x14ac:dyDescent="0.2">
      <c r="B366" s="9" t="s">
        <v>283</v>
      </c>
      <c r="C366" s="19">
        <v>46080</v>
      </c>
      <c r="D366" s="24">
        <v>0.66255989048596853</v>
      </c>
      <c r="E366" s="28">
        <v>5.5</v>
      </c>
      <c r="F366" s="39">
        <v>5.3802923126209512</v>
      </c>
    </row>
    <row r="367" spans="2:6" x14ac:dyDescent="0.2">
      <c r="B367" s="9" t="s">
        <v>283</v>
      </c>
      <c r="C367" s="19">
        <v>46445</v>
      </c>
      <c r="D367" s="24">
        <v>1.661875427789185</v>
      </c>
      <c r="E367" s="28">
        <v>5.5</v>
      </c>
      <c r="F367" s="39">
        <v>5.2046515974187608</v>
      </c>
    </row>
    <row r="368" spans="2:6" x14ac:dyDescent="0.2">
      <c r="B368" s="9" t="s">
        <v>283</v>
      </c>
      <c r="C368" s="19">
        <v>46810</v>
      </c>
      <c r="D368" s="24">
        <v>2.6611909650924019</v>
      </c>
      <c r="E368" s="28">
        <v>5.5</v>
      </c>
      <c r="F368" s="39">
        <v>5.025567567941053</v>
      </c>
    </row>
    <row r="369" spans="2:6" x14ac:dyDescent="0.2">
      <c r="B369" s="9" t="s">
        <v>283</v>
      </c>
      <c r="C369" s="19">
        <v>47176</v>
      </c>
      <c r="D369" s="24">
        <v>3.6632443531827521</v>
      </c>
      <c r="E369" s="28">
        <v>105.5</v>
      </c>
      <c r="F369" s="39">
        <v>92.826050022019245</v>
      </c>
    </row>
    <row r="370" spans="2:6" x14ac:dyDescent="0.2">
      <c r="B370" s="9" t="s">
        <v>285</v>
      </c>
      <c r="C370" s="19">
        <v>45904</v>
      </c>
      <c r="D370" s="24">
        <v>0.1806981519507187</v>
      </c>
      <c r="E370" s="28">
        <v>3.875</v>
      </c>
      <c r="F370" s="39">
        <v>3.8548984571015188</v>
      </c>
    </row>
    <row r="371" spans="2:6" x14ac:dyDescent="0.2">
      <c r="B371" s="9" t="s">
        <v>285</v>
      </c>
      <c r="C371" s="19">
        <v>46269</v>
      </c>
      <c r="D371" s="24">
        <v>1.1800136892539359</v>
      </c>
      <c r="E371" s="28">
        <v>3.875</v>
      </c>
      <c r="F371" s="39">
        <v>3.7455991029026232</v>
      </c>
    </row>
    <row r="372" spans="2:6" x14ac:dyDescent="0.2">
      <c r="B372" s="9" t="s">
        <v>285</v>
      </c>
      <c r="C372" s="19">
        <v>46634</v>
      </c>
      <c r="D372" s="24">
        <v>2.1793292265571531</v>
      </c>
      <c r="E372" s="28">
        <v>3.875</v>
      </c>
      <c r="F372" s="39">
        <v>3.637924274302073</v>
      </c>
    </row>
    <row r="373" spans="2:6" x14ac:dyDescent="0.2">
      <c r="B373" s="9" t="s">
        <v>285</v>
      </c>
      <c r="C373" s="19">
        <v>47000</v>
      </c>
      <c r="D373" s="24">
        <v>3.1813826146475011</v>
      </c>
      <c r="E373" s="28">
        <v>3.875</v>
      </c>
      <c r="F373" s="39">
        <v>3.522178207413178</v>
      </c>
    </row>
    <row r="374" spans="2:6" x14ac:dyDescent="0.2">
      <c r="B374" s="9" t="s">
        <v>285</v>
      </c>
      <c r="C374" s="19">
        <v>47365</v>
      </c>
      <c r="D374" s="24">
        <v>4.1806981519507183</v>
      </c>
      <c r="E374" s="28">
        <v>3.875</v>
      </c>
      <c r="F374" s="39">
        <v>3.4033510860974241</v>
      </c>
    </row>
    <row r="375" spans="2:6" x14ac:dyDescent="0.2">
      <c r="B375" s="9" t="s">
        <v>285</v>
      </c>
      <c r="C375" s="19">
        <v>47730</v>
      </c>
      <c r="D375" s="24">
        <v>5.1800136892539346</v>
      </c>
      <c r="E375" s="28">
        <v>3.875</v>
      </c>
      <c r="F375" s="39">
        <v>3.2817003293064029</v>
      </c>
    </row>
    <row r="376" spans="2:6" x14ac:dyDescent="0.2">
      <c r="B376" s="9" t="s">
        <v>285</v>
      </c>
      <c r="C376" s="19">
        <v>48095</v>
      </c>
      <c r="D376" s="24">
        <v>6.1793292265571527</v>
      </c>
      <c r="E376" s="28">
        <v>103.875</v>
      </c>
      <c r="F376" s="39">
        <v>84.646396492876789</v>
      </c>
    </row>
    <row r="377" spans="2:6" x14ac:dyDescent="0.2">
      <c r="B377" s="9" t="s">
        <v>288</v>
      </c>
      <c r="C377" s="19">
        <v>45841</v>
      </c>
      <c r="D377" s="24">
        <v>8.2135523613963042E-3</v>
      </c>
      <c r="E377" s="28">
        <v>4.875</v>
      </c>
      <c r="F377" s="39">
        <v>4.8737761987819717</v>
      </c>
    </row>
    <row r="378" spans="2:6" x14ac:dyDescent="0.2">
      <c r="B378" s="9" t="s">
        <v>288</v>
      </c>
      <c r="C378" s="19">
        <v>46206</v>
      </c>
      <c r="D378" s="24">
        <v>1.007529089664613</v>
      </c>
      <c r="E378" s="28">
        <v>4.875</v>
      </c>
      <c r="F378" s="39">
        <v>4.7271499400607988</v>
      </c>
    </row>
    <row r="379" spans="2:6" x14ac:dyDescent="0.2">
      <c r="B379" s="9" t="s">
        <v>288</v>
      </c>
      <c r="C379" s="19">
        <v>46571</v>
      </c>
      <c r="D379" s="24">
        <v>2.0068446269678302</v>
      </c>
      <c r="E379" s="28">
        <v>4.875</v>
      </c>
      <c r="F379" s="39">
        <v>4.5848695927482028</v>
      </c>
    </row>
    <row r="380" spans="2:6" x14ac:dyDescent="0.2">
      <c r="B380" s="9" t="s">
        <v>288</v>
      </c>
      <c r="C380" s="19">
        <v>46937</v>
      </c>
      <c r="D380" s="24">
        <v>3.008898015058179</v>
      </c>
      <c r="E380" s="28">
        <v>104.875</v>
      </c>
      <c r="F380" s="39">
        <v>95.35884809354566</v>
      </c>
    </row>
    <row r="381" spans="2:6" x14ac:dyDescent="0.2">
      <c r="B381" s="9" t="s">
        <v>291</v>
      </c>
      <c r="C381" s="19">
        <v>46105</v>
      </c>
      <c r="D381" s="24">
        <v>0.731006160164271</v>
      </c>
      <c r="E381" s="28">
        <v>102.375</v>
      </c>
      <c r="F381" s="39">
        <v>100.653685</v>
      </c>
    </row>
    <row r="382" spans="2:6" x14ac:dyDescent="0.2">
      <c r="B382" s="9" t="s">
        <v>293</v>
      </c>
      <c r="C382" s="19">
        <v>45915</v>
      </c>
      <c r="D382" s="24">
        <v>0.21081451060917181</v>
      </c>
      <c r="E382" s="28">
        <v>1.25</v>
      </c>
      <c r="F382" s="39">
        <v>1.2439316408530381</v>
      </c>
    </row>
    <row r="383" spans="2:6" x14ac:dyDescent="0.2">
      <c r="B383" s="9" t="s">
        <v>293</v>
      </c>
      <c r="C383" s="19">
        <v>46280</v>
      </c>
      <c r="D383" s="24">
        <v>1.2101300479123891</v>
      </c>
      <c r="E383" s="28">
        <v>101.25</v>
      </c>
      <c r="F383" s="39">
        <v>98.460719014884674</v>
      </c>
    </row>
    <row r="384" spans="2:6" x14ac:dyDescent="0.2">
      <c r="B384" s="9" t="s">
        <v>296</v>
      </c>
      <c r="C384" s="19">
        <v>46110</v>
      </c>
      <c r="D384" s="24">
        <v>0.74469541409993156</v>
      </c>
      <c r="E384" s="28">
        <v>2.75</v>
      </c>
      <c r="F384" s="39">
        <v>2.6921094555604879</v>
      </c>
    </row>
    <row r="385" spans="2:6" x14ac:dyDescent="0.2">
      <c r="B385" s="9" t="s">
        <v>296</v>
      </c>
      <c r="C385" s="19">
        <v>46475</v>
      </c>
      <c r="D385" s="24">
        <v>1.744010951403149</v>
      </c>
      <c r="E385" s="28">
        <v>2.75</v>
      </c>
      <c r="F385" s="39">
        <v>2.6163357469045172</v>
      </c>
    </row>
    <row r="386" spans="2:6" x14ac:dyDescent="0.2">
      <c r="B386" s="9" t="s">
        <v>296</v>
      </c>
      <c r="C386" s="19">
        <v>46841</v>
      </c>
      <c r="D386" s="24">
        <v>2.7460643394934978</v>
      </c>
      <c r="E386" s="28">
        <v>102.75</v>
      </c>
      <c r="F386" s="39">
        <v>94.795308285907112</v>
      </c>
    </row>
    <row r="387" spans="2:6" x14ac:dyDescent="0.2">
      <c r="B387" s="9" t="s">
        <v>299</v>
      </c>
      <c r="C387" s="19">
        <v>46164</v>
      </c>
      <c r="D387" s="24">
        <v>0.892539356605065</v>
      </c>
      <c r="E387" s="28">
        <v>101.375</v>
      </c>
      <c r="F387" s="39">
        <v>98.99295208333335</v>
      </c>
    </row>
    <row r="388" spans="2:6" x14ac:dyDescent="0.2">
      <c r="B388" s="9" t="s">
        <v>302</v>
      </c>
      <c r="C388" s="19">
        <v>45853</v>
      </c>
      <c r="D388" s="24">
        <v>4.1067761806981518E-2</v>
      </c>
      <c r="E388" s="28">
        <v>1.625</v>
      </c>
      <c r="F388" s="39">
        <v>1.623105995447554</v>
      </c>
    </row>
    <row r="389" spans="2:6" x14ac:dyDescent="0.2">
      <c r="B389" s="9" t="s">
        <v>302</v>
      </c>
      <c r="C389" s="19">
        <v>46218</v>
      </c>
      <c r="D389" s="24">
        <v>1.040383299110198</v>
      </c>
      <c r="E389" s="28">
        <v>1.625</v>
      </c>
      <c r="F389" s="39">
        <v>1.577692836142421</v>
      </c>
    </row>
    <row r="390" spans="2:6" x14ac:dyDescent="0.2">
      <c r="B390" s="9" t="s">
        <v>302</v>
      </c>
      <c r="C390" s="19">
        <v>46583</v>
      </c>
      <c r="D390" s="24">
        <v>2.039698836413415</v>
      </c>
      <c r="E390" s="28">
        <v>101.625</v>
      </c>
      <c r="F390" s="39">
        <v>95.897824596981437</v>
      </c>
    </row>
    <row r="391" spans="2:6" x14ac:dyDescent="0.2">
      <c r="B391" s="9" t="s">
        <v>305</v>
      </c>
      <c r="C391" s="19">
        <v>46068</v>
      </c>
      <c r="D391" s="24">
        <v>0.62970568104038327</v>
      </c>
      <c r="E391" s="28">
        <v>3.4</v>
      </c>
      <c r="F391" s="39">
        <v>3.3403190303380801</v>
      </c>
    </row>
    <row r="392" spans="2:6" x14ac:dyDescent="0.2">
      <c r="B392" s="9" t="s">
        <v>305</v>
      </c>
      <c r="C392" s="19">
        <v>46433</v>
      </c>
      <c r="D392" s="24">
        <v>1.6290212183435999</v>
      </c>
      <c r="E392" s="28">
        <v>3.4</v>
      </c>
      <c r="F392" s="39">
        <v>3.24775091650557</v>
      </c>
    </row>
    <row r="393" spans="2:6" x14ac:dyDescent="0.2">
      <c r="B393" s="9" t="s">
        <v>305</v>
      </c>
      <c r="C393" s="19">
        <v>46798</v>
      </c>
      <c r="D393" s="24">
        <v>2.6283367556468171</v>
      </c>
      <c r="E393" s="28">
        <v>3.4</v>
      </c>
      <c r="F393" s="39">
        <v>3.1523454902820052</v>
      </c>
    </row>
    <row r="394" spans="2:6" x14ac:dyDescent="0.2">
      <c r="B394" s="9" t="s">
        <v>305</v>
      </c>
      <c r="C394" s="19">
        <v>47164</v>
      </c>
      <c r="D394" s="24">
        <v>3.630390143737166</v>
      </c>
      <c r="E394" s="28">
        <v>103.4</v>
      </c>
      <c r="F394" s="39">
        <v>92.792973457346719</v>
      </c>
    </row>
    <row r="395" spans="2:6" x14ac:dyDescent="0.2">
      <c r="B395" s="9" t="s">
        <v>308</v>
      </c>
      <c r="C395" s="19">
        <v>45852</v>
      </c>
      <c r="D395" s="24">
        <v>3.8329911019849422E-2</v>
      </c>
      <c r="E395" s="28">
        <v>3.375</v>
      </c>
      <c r="F395" s="39">
        <v>3.3712573469990259</v>
      </c>
    </row>
    <row r="396" spans="2:6" x14ac:dyDescent="0.2">
      <c r="B396" s="9" t="s">
        <v>308</v>
      </c>
      <c r="C396" s="19">
        <v>46217</v>
      </c>
      <c r="D396" s="24">
        <v>1.0376454483230659</v>
      </c>
      <c r="E396" s="28">
        <v>3.375</v>
      </c>
      <c r="F396" s="39">
        <v>3.2751321947125911</v>
      </c>
    </row>
    <row r="397" spans="2:6" x14ac:dyDescent="0.2">
      <c r="B397" s="9" t="s">
        <v>308</v>
      </c>
      <c r="C397" s="19">
        <v>46582</v>
      </c>
      <c r="D397" s="24">
        <v>2.0369609856262829</v>
      </c>
      <c r="E397" s="28">
        <v>103.375</v>
      </c>
      <c r="F397" s="39">
        <v>97.448151458288393</v>
      </c>
    </row>
    <row r="398" spans="2:6" x14ac:dyDescent="0.2">
      <c r="B398" s="9" t="s">
        <v>311</v>
      </c>
      <c r="C398" s="19">
        <v>45923</v>
      </c>
      <c r="D398" s="24">
        <v>0.2327173169062286</v>
      </c>
      <c r="E398" s="28">
        <v>1.026</v>
      </c>
      <c r="F398" s="39">
        <v>1.0162290353343271</v>
      </c>
    </row>
    <row r="399" spans="2:6" x14ac:dyDescent="0.2">
      <c r="B399" s="9" t="s">
        <v>311</v>
      </c>
      <c r="C399" s="19">
        <v>46288</v>
      </c>
      <c r="D399" s="24">
        <v>1.2320328542094461</v>
      </c>
      <c r="E399" s="28">
        <v>1.026</v>
      </c>
      <c r="F399" s="39">
        <v>0.97531806955648537</v>
      </c>
    </row>
    <row r="400" spans="2:6" x14ac:dyDescent="0.2">
      <c r="B400" s="9" t="s">
        <v>311</v>
      </c>
      <c r="C400" s="19">
        <v>46653</v>
      </c>
      <c r="D400" s="24">
        <v>2.231348391512662</v>
      </c>
      <c r="E400" s="28">
        <v>1.026</v>
      </c>
      <c r="F400" s="39">
        <v>0.93555319283014338</v>
      </c>
    </row>
    <row r="401" spans="2:6" x14ac:dyDescent="0.2">
      <c r="B401" s="9" t="s">
        <v>311</v>
      </c>
      <c r="C401" s="19">
        <v>47019</v>
      </c>
      <c r="D401" s="24">
        <v>3.2334017796030121</v>
      </c>
      <c r="E401" s="28">
        <v>1.026</v>
      </c>
      <c r="F401" s="39">
        <v>0.89456286293984255</v>
      </c>
    </row>
    <row r="402" spans="2:6" x14ac:dyDescent="0.2">
      <c r="B402" s="9" t="s">
        <v>311</v>
      </c>
      <c r="C402" s="19">
        <v>47384</v>
      </c>
      <c r="D402" s="24">
        <v>4.2327173169062284</v>
      </c>
      <c r="E402" s="28">
        <v>1.026</v>
      </c>
      <c r="F402" s="39">
        <v>0.85370101233272233</v>
      </c>
    </row>
    <row r="403" spans="2:6" x14ac:dyDescent="0.2">
      <c r="B403" s="9" t="s">
        <v>311</v>
      </c>
      <c r="C403" s="19">
        <v>47749</v>
      </c>
      <c r="D403" s="24">
        <v>5.2320328542094456</v>
      </c>
      <c r="E403" s="28">
        <v>101.026</v>
      </c>
      <c r="F403" s="39">
        <v>80.053826274767673</v>
      </c>
    </row>
    <row r="404" spans="2:6" x14ac:dyDescent="0.2">
      <c r="B404" s="9" t="s">
        <v>314</v>
      </c>
      <c r="C404" s="19">
        <v>45945</v>
      </c>
      <c r="D404" s="24">
        <v>0.29295003422313481</v>
      </c>
      <c r="E404" s="28">
        <v>2.5</v>
      </c>
      <c r="F404" s="39">
        <v>2.4568990592596118</v>
      </c>
    </row>
    <row r="405" spans="2:6" x14ac:dyDescent="0.2">
      <c r="B405" s="9" t="s">
        <v>314</v>
      </c>
      <c r="C405" s="19">
        <v>46310</v>
      </c>
      <c r="D405" s="24">
        <v>1.292265571526352</v>
      </c>
      <c r="E405" s="28">
        <v>2.5</v>
      </c>
      <c r="F405" s="39">
        <v>2.3153862458760721</v>
      </c>
    </row>
    <row r="406" spans="2:6" x14ac:dyDescent="0.2">
      <c r="B406" s="9" t="s">
        <v>314</v>
      </c>
      <c r="C406" s="19">
        <v>46675</v>
      </c>
      <c r="D406" s="24">
        <v>2.2915811088295688</v>
      </c>
      <c r="E406" s="28">
        <v>102.5</v>
      </c>
      <c r="F406" s="39">
        <v>89.401036694864317</v>
      </c>
    </row>
    <row r="407" spans="2:6" x14ac:dyDescent="0.2">
      <c r="B407" s="9" t="s">
        <v>317</v>
      </c>
      <c r="C407" s="19">
        <v>45950</v>
      </c>
      <c r="D407" s="24">
        <v>0.30663928815879532</v>
      </c>
      <c r="E407" s="28">
        <v>1.625</v>
      </c>
      <c r="F407" s="39">
        <v>1.611087792277641</v>
      </c>
    </row>
    <row r="408" spans="2:6" x14ac:dyDescent="0.2">
      <c r="B408" s="9" t="s">
        <v>317</v>
      </c>
      <c r="C408" s="19">
        <v>46315</v>
      </c>
      <c r="D408" s="24">
        <v>1.3059548254620119</v>
      </c>
      <c r="E408" s="28">
        <v>1.625</v>
      </c>
      <c r="F408" s="39">
        <v>1.5665701650498001</v>
      </c>
    </row>
    <row r="409" spans="2:6" x14ac:dyDescent="0.2">
      <c r="B409" s="9" t="s">
        <v>317</v>
      </c>
      <c r="C409" s="19">
        <v>46680</v>
      </c>
      <c r="D409" s="24">
        <v>2.3052703627652291</v>
      </c>
      <c r="E409" s="28">
        <v>1.625</v>
      </c>
      <c r="F409" s="39">
        <v>1.5221715540937331</v>
      </c>
    </row>
    <row r="410" spans="2:6" x14ac:dyDescent="0.2">
      <c r="B410" s="9" t="s">
        <v>317</v>
      </c>
      <c r="C410" s="19">
        <v>47046</v>
      </c>
      <c r="D410" s="24">
        <v>3.3073237508555779</v>
      </c>
      <c r="E410" s="28">
        <v>101.625</v>
      </c>
      <c r="F410" s="39">
        <v>92.209992511050743</v>
      </c>
    </row>
    <row r="411" spans="2:6" x14ac:dyDescent="0.2">
      <c r="B411" s="9" t="s">
        <v>320</v>
      </c>
      <c r="C411" s="19">
        <v>46138</v>
      </c>
      <c r="D411" s="24">
        <v>0.82135523613963035</v>
      </c>
      <c r="E411" s="28">
        <v>1.25</v>
      </c>
      <c r="F411" s="39">
        <v>1.2216923097547789</v>
      </c>
    </row>
    <row r="412" spans="2:6" x14ac:dyDescent="0.2">
      <c r="B412" s="9" t="s">
        <v>320</v>
      </c>
      <c r="C412" s="19">
        <v>46503</v>
      </c>
      <c r="D412" s="24">
        <v>1.8206707734428469</v>
      </c>
      <c r="E412" s="28">
        <v>101.25</v>
      </c>
      <c r="F412" s="39">
        <v>96.237259790245247</v>
      </c>
    </row>
    <row r="413" spans="2:6" x14ac:dyDescent="0.2">
      <c r="B413" s="9" t="s">
        <v>323</v>
      </c>
      <c r="C413" s="19">
        <v>45995</v>
      </c>
      <c r="D413" s="24">
        <v>0.42984257357973987</v>
      </c>
      <c r="E413" s="28">
        <v>2</v>
      </c>
      <c r="F413" s="39">
        <v>1.9770392183481049</v>
      </c>
    </row>
    <row r="414" spans="2:6" x14ac:dyDescent="0.2">
      <c r="B414" s="9" t="s">
        <v>323</v>
      </c>
      <c r="C414" s="19">
        <v>46360</v>
      </c>
      <c r="D414" s="24">
        <v>1.429158110882957</v>
      </c>
      <c r="E414" s="28">
        <v>2</v>
      </c>
      <c r="F414" s="39">
        <v>1.9246726698901171</v>
      </c>
    </row>
    <row r="415" spans="2:6" x14ac:dyDescent="0.2">
      <c r="B415" s="9" t="s">
        <v>323</v>
      </c>
      <c r="C415" s="19">
        <v>46725</v>
      </c>
      <c r="D415" s="24">
        <v>2.4284736481861739</v>
      </c>
      <c r="E415" s="28">
        <v>2</v>
      </c>
      <c r="F415" s="39">
        <v>1.8716727383669609</v>
      </c>
    </row>
    <row r="416" spans="2:6" x14ac:dyDescent="0.2">
      <c r="B416" s="9" t="s">
        <v>323</v>
      </c>
      <c r="C416" s="19">
        <v>47091</v>
      </c>
      <c r="D416" s="24">
        <v>3.4305270362765228</v>
      </c>
      <c r="E416" s="28">
        <v>102</v>
      </c>
      <c r="F416" s="39">
        <v>92.548300262283732</v>
      </c>
    </row>
    <row r="417" spans="2:6" x14ac:dyDescent="0.2">
      <c r="B417" s="9" t="s">
        <v>326</v>
      </c>
      <c r="C417" s="19">
        <v>46036</v>
      </c>
      <c r="D417" s="24">
        <v>0.5420944558521561</v>
      </c>
      <c r="E417" s="28">
        <v>0.875</v>
      </c>
      <c r="F417" s="39">
        <v>0.85960130918397026</v>
      </c>
    </row>
    <row r="418" spans="2:6" x14ac:dyDescent="0.2">
      <c r="B418" s="9" t="s">
        <v>326</v>
      </c>
      <c r="C418" s="19">
        <v>46401</v>
      </c>
      <c r="D418" s="24">
        <v>1.5414099931553731</v>
      </c>
      <c r="E418" s="28">
        <v>0.875</v>
      </c>
      <c r="F418" s="39">
        <v>0.83192154953788833</v>
      </c>
    </row>
    <row r="419" spans="2:6" x14ac:dyDescent="0.2">
      <c r="B419" s="9" t="s">
        <v>326</v>
      </c>
      <c r="C419" s="19">
        <v>46766</v>
      </c>
      <c r="D419" s="24">
        <v>2.5407255304585901</v>
      </c>
      <c r="E419" s="28">
        <v>0.875</v>
      </c>
      <c r="F419" s="39">
        <v>0.80398701430817765</v>
      </c>
    </row>
    <row r="420" spans="2:6" x14ac:dyDescent="0.2">
      <c r="B420" s="9" t="s">
        <v>326</v>
      </c>
      <c r="C420" s="19">
        <v>47132</v>
      </c>
      <c r="D420" s="24">
        <v>3.5427789185489389</v>
      </c>
      <c r="E420" s="28">
        <v>0.875</v>
      </c>
      <c r="F420" s="39">
        <v>0.77473431924474634</v>
      </c>
    </row>
    <row r="421" spans="2:6" x14ac:dyDescent="0.2">
      <c r="B421" s="9" t="s">
        <v>326</v>
      </c>
      <c r="C421" s="19">
        <v>47497</v>
      </c>
      <c r="D421" s="24">
        <v>4.5420944558521557</v>
      </c>
      <c r="E421" s="28">
        <v>0.875</v>
      </c>
      <c r="F421" s="39">
        <v>0.74507488303256786</v>
      </c>
    </row>
    <row r="422" spans="2:6" x14ac:dyDescent="0.2">
      <c r="B422" s="9" t="s">
        <v>326</v>
      </c>
      <c r="C422" s="19">
        <v>47862</v>
      </c>
      <c r="D422" s="24">
        <v>5.5414099931553729</v>
      </c>
      <c r="E422" s="28">
        <v>100.875</v>
      </c>
      <c r="F422" s="39">
        <v>82.434817863468169</v>
      </c>
    </row>
    <row r="423" spans="2:6" x14ac:dyDescent="0.2">
      <c r="B423" s="9" t="s">
        <v>328</v>
      </c>
      <c r="C423" s="19">
        <v>46055</v>
      </c>
      <c r="D423" s="24">
        <v>0.59411362080766594</v>
      </c>
      <c r="E423" s="28">
        <v>103.875</v>
      </c>
      <c r="F423" s="39">
        <v>101.68546574850301</v>
      </c>
    </row>
    <row r="424" spans="2:6" x14ac:dyDescent="0.2">
      <c r="B424" s="9" t="s">
        <v>331</v>
      </c>
      <c r="C424" s="19">
        <v>45905</v>
      </c>
      <c r="D424" s="24">
        <v>0.1834360027378508</v>
      </c>
      <c r="E424" s="28">
        <v>2.625</v>
      </c>
      <c r="F424" s="39">
        <v>2.5942604913676628</v>
      </c>
    </row>
    <row r="425" spans="2:6" x14ac:dyDescent="0.2">
      <c r="B425" s="9" t="s">
        <v>331</v>
      </c>
      <c r="C425" s="19">
        <v>46270</v>
      </c>
      <c r="D425" s="24">
        <v>1.182751540041068</v>
      </c>
      <c r="E425" s="28">
        <v>2.625</v>
      </c>
      <c r="F425" s="39">
        <v>2.433012432008661</v>
      </c>
    </row>
    <row r="426" spans="2:6" x14ac:dyDescent="0.2">
      <c r="B426" s="9" t="s">
        <v>331</v>
      </c>
      <c r="C426" s="19">
        <v>46635</v>
      </c>
      <c r="D426" s="24">
        <v>2.1820670773442852</v>
      </c>
      <c r="E426" s="28">
        <v>102.625</v>
      </c>
      <c r="F426" s="39">
        <v>89.170261076623689</v>
      </c>
    </row>
    <row r="427" spans="2:6" x14ac:dyDescent="0.2">
      <c r="B427" s="9" t="s">
        <v>334</v>
      </c>
      <c r="C427" s="19">
        <v>46037</v>
      </c>
      <c r="D427" s="24">
        <v>0.54483230663928817</v>
      </c>
      <c r="E427" s="28">
        <v>1.25</v>
      </c>
      <c r="F427" s="39">
        <v>1.231640933634635</v>
      </c>
    </row>
    <row r="428" spans="2:6" x14ac:dyDescent="0.2">
      <c r="B428" s="9" t="s">
        <v>334</v>
      </c>
      <c r="C428" s="19">
        <v>46402</v>
      </c>
      <c r="D428" s="24">
        <v>1.5441478439425049</v>
      </c>
      <c r="E428" s="28">
        <v>1.25</v>
      </c>
      <c r="F428" s="39">
        <v>1.1986652583247599</v>
      </c>
    </row>
    <row r="429" spans="2:6" x14ac:dyDescent="0.2">
      <c r="B429" s="9" t="s">
        <v>334</v>
      </c>
      <c r="C429" s="19">
        <v>46767</v>
      </c>
      <c r="D429" s="24">
        <v>2.5434633812457221</v>
      </c>
      <c r="E429" s="28">
        <v>1.25</v>
      </c>
      <c r="F429" s="39">
        <v>1.1649016857953001</v>
      </c>
    </row>
    <row r="430" spans="2:6" x14ac:dyDescent="0.2">
      <c r="B430" s="9" t="s">
        <v>334</v>
      </c>
      <c r="C430" s="19">
        <v>47133</v>
      </c>
      <c r="D430" s="24">
        <v>3.545516769336071</v>
      </c>
      <c r="E430" s="28">
        <v>101.25</v>
      </c>
      <c r="F430" s="39">
        <v>91.434634622245326</v>
      </c>
    </row>
    <row r="431" spans="2:6" x14ac:dyDescent="0.2">
      <c r="B431" s="9" t="s">
        <v>337</v>
      </c>
      <c r="C431" s="19">
        <v>46068</v>
      </c>
      <c r="D431" s="24">
        <v>0.62970568104038327</v>
      </c>
      <c r="E431" s="28">
        <v>2</v>
      </c>
      <c r="F431" s="39">
        <v>1.961852621755152</v>
      </c>
    </row>
    <row r="432" spans="2:6" x14ac:dyDescent="0.2">
      <c r="B432" s="9" t="s">
        <v>337</v>
      </c>
      <c r="C432" s="19">
        <v>46433</v>
      </c>
      <c r="D432" s="24">
        <v>1.6290212183435999</v>
      </c>
      <c r="E432" s="28">
        <v>2</v>
      </c>
      <c r="F432" s="39">
        <v>1.902802369373235</v>
      </c>
    </row>
    <row r="433" spans="2:6" x14ac:dyDescent="0.2">
      <c r="B433" s="9" t="s">
        <v>337</v>
      </c>
      <c r="C433" s="19">
        <v>46798</v>
      </c>
      <c r="D433" s="24">
        <v>2.6283367556468171</v>
      </c>
      <c r="E433" s="28">
        <v>2</v>
      </c>
      <c r="F433" s="39">
        <v>1.842371966632304</v>
      </c>
    </row>
    <row r="434" spans="2:6" x14ac:dyDescent="0.2">
      <c r="B434" s="9" t="s">
        <v>337</v>
      </c>
      <c r="C434" s="19">
        <v>47164</v>
      </c>
      <c r="D434" s="24">
        <v>3.630390143737166</v>
      </c>
      <c r="E434" s="28">
        <v>2</v>
      </c>
      <c r="F434" s="39">
        <v>1.778879748598015</v>
      </c>
    </row>
    <row r="435" spans="2:6" x14ac:dyDescent="0.2">
      <c r="B435" s="9" t="s">
        <v>337</v>
      </c>
      <c r="C435" s="19">
        <v>47529</v>
      </c>
      <c r="D435" s="24">
        <v>4.6297056810403836</v>
      </c>
      <c r="E435" s="28">
        <v>2</v>
      </c>
      <c r="F435" s="39">
        <v>1.714181754705248</v>
      </c>
    </row>
    <row r="436" spans="2:6" x14ac:dyDescent="0.2">
      <c r="B436" s="9" t="s">
        <v>337</v>
      </c>
      <c r="C436" s="19">
        <v>47894</v>
      </c>
      <c r="D436" s="24">
        <v>5.6290212183435999</v>
      </c>
      <c r="E436" s="28">
        <v>2</v>
      </c>
      <c r="F436" s="39">
        <v>1.648363662672399</v>
      </c>
    </row>
    <row r="437" spans="2:6" x14ac:dyDescent="0.2">
      <c r="B437" s="9" t="s">
        <v>337</v>
      </c>
      <c r="C437" s="19">
        <v>48259</v>
      </c>
      <c r="D437" s="24">
        <v>6.6283367556468171</v>
      </c>
      <c r="E437" s="28">
        <v>2</v>
      </c>
      <c r="F437" s="39">
        <v>1.5817373566578199</v>
      </c>
    </row>
    <row r="438" spans="2:6" x14ac:dyDescent="0.2">
      <c r="B438" s="9" t="s">
        <v>337</v>
      </c>
      <c r="C438" s="19">
        <v>48625</v>
      </c>
      <c r="D438" s="24">
        <v>7.6303901437371664</v>
      </c>
      <c r="E438" s="28">
        <v>102</v>
      </c>
      <c r="F438" s="39">
        <v>77.236995449183283</v>
      </c>
    </row>
    <row r="439" spans="2:6" x14ac:dyDescent="0.2">
      <c r="B439" s="9" t="s">
        <v>339</v>
      </c>
      <c r="C439" s="19">
        <v>46093</v>
      </c>
      <c r="D439" s="24">
        <v>0.69815195071868585</v>
      </c>
      <c r="E439" s="28">
        <v>1.625</v>
      </c>
      <c r="F439" s="39">
        <v>1.5828922704385311</v>
      </c>
    </row>
    <row r="440" spans="2:6" x14ac:dyDescent="0.2">
      <c r="B440" s="9" t="s">
        <v>339</v>
      </c>
      <c r="C440" s="19">
        <v>46458</v>
      </c>
      <c r="D440" s="24">
        <v>1.6974674880219029</v>
      </c>
      <c r="E440" s="28">
        <v>1.625</v>
      </c>
      <c r="F440" s="39">
        <v>1.524511969771124</v>
      </c>
    </row>
    <row r="441" spans="2:6" x14ac:dyDescent="0.2">
      <c r="B441" s="9" t="s">
        <v>339</v>
      </c>
      <c r="C441" s="19">
        <v>46824</v>
      </c>
      <c r="D441" s="24">
        <v>2.6995208761122522</v>
      </c>
      <c r="E441" s="28">
        <v>101.625</v>
      </c>
      <c r="F441" s="39">
        <v>91.635225759790345</v>
      </c>
    </row>
    <row r="442" spans="2:6" x14ac:dyDescent="0.2">
      <c r="B442" s="9" t="s">
        <v>342</v>
      </c>
      <c r="C442" s="19">
        <v>46112</v>
      </c>
      <c r="D442" s="24">
        <v>0.75017111567419581</v>
      </c>
      <c r="E442" s="28">
        <v>0.875</v>
      </c>
      <c r="F442" s="39">
        <v>0.85508074835212977</v>
      </c>
    </row>
    <row r="443" spans="2:6" x14ac:dyDescent="0.2">
      <c r="B443" s="9" t="s">
        <v>342</v>
      </c>
      <c r="C443" s="19">
        <v>46477</v>
      </c>
      <c r="D443" s="24">
        <v>1.7494866529774129</v>
      </c>
      <c r="E443" s="28">
        <v>0.875</v>
      </c>
      <c r="F443" s="39">
        <v>0.82924856644070866</v>
      </c>
    </row>
    <row r="444" spans="2:6" x14ac:dyDescent="0.2">
      <c r="B444" s="9" t="s">
        <v>342</v>
      </c>
      <c r="C444" s="19">
        <v>46843</v>
      </c>
      <c r="D444" s="24">
        <v>2.751540041067762</v>
      </c>
      <c r="E444" s="28">
        <v>0.875</v>
      </c>
      <c r="F444" s="39">
        <v>0.80240688554644746</v>
      </c>
    </row>
    <row r="445" spans="2:6" x14ac:dyDescent="0.2">
      <c r="B445" s="9" t="s">
        <v>342</v>
      </c>
      <c r="C445" s="19">
        <v>47208</v>
      </c>
      <c r="D445" s="24">
        <v>3.7508555783709792</v>
      </c>
      <c r="E445" s="28">
        <v>0.875</v>
      </c>
      <c r="F445" s="39">
        <v>0.77454415520752784</v>
      </c>
    </row>
    <row r="446" spans="2:6" x14ac:dyDescent="0.2">
      <c r="B446" s="9" t="s">
        <v>342</v>
      </c>
      <c r="C446" s="19">
        <v>47573</v>
      </c>
      <c r="D446" s="24">
        <v>4.7501711156741946</v>
      </c>
      <c r="E446" s="28">
        <v>0.875</v>
      </c>
      <c r="F446" s="39">
        <v>0.74610222737184118</v>
      </c>
    </row>
    <row r="447" spans="2:6" x14ac:dyDescent="0.2">
      <c r="B447" s="9" t="s">
        <v>342</v>
      </c>
      <c r="C447" s="19">
        <v>47938</v>
      </c>
      <c r="D447" s="24">
        <v>5.7494866529774127</v>
      </c>
      <c r="E447" s="28">
        <v>100.875</v>
      </c>
      <c r="F447" s="39">
        <v>82.681562583748018</v>
      </c>
    </row>
    <row r="448" spans="2:6" x14ac:dyDescent="0.2">
      <c r="B448" s="9" t="s">
        <v>345</v>
      </c>
      <c r="C448" s="19">
        <v>46134</v>
      </c>
      <c r="D448" s="24">
        <v>0.81040383299110197</v>
      </c>
      <c r="E448" s="28">
        <v>1.5</v>
      </c>
      <c r="F448" s="39">
        <v>1.465742353101664</v>
      </c>
    </row>
    <row r="449" spans="2:6" x14ac:dyDescent="0.2">
      <c r="B449" s="9" t="s">
        <v>345</v>
      </c>
      <c r="C449" s="19">
        <v>46499</v>
      </c>
      <c r="D449" s="24">
        <v>1.8097193702943191</v>
      </c>
      <c r="E449" s="28">
        <v>1.5</v>
      </c>
      <c r="F449" s="39">
        <v>1.4245742715987499</v>
      </c>
    </row>
    <row r="450" spans="2:6" x14ac:dyDescent="0.2">
      <c r="B450" s="9" t="s">
        <v>345</v>
      </c>
      <c r="C450" s="19">
        <v>46865</v>
      </c>
      <c r="D450" s="24">
        <v>2.8117727583846679</v>
      </c>
      <c r="E450" s="28">
        <v>101.5</v>
      </c>
      <c r="F450" s="39">
        <v>93.459964109244524</v>
      </c>
    </row>
    <row r="451" spans="2:6" x14ac:dyDescent="0.2">
      <c r="B451" s="9" t="s">
        <v>348</v>
      </c>
      <c r="C451" s="19">
        <v>46154</v>
      </c>
      <c r="D451" s="24">
        <v>0.86516084873374399</v>
      </c>
      <c r="E451" s="28">
        <v>1.125</v>
      </c>
      <c r="F451" s="39">
        <v>1.0975593610663961</v>
      </c>
    </row>
    <row r="452" spans="2:6" x14ac:dyDescent="0.2">
      <c r="B452" s="9" t="s">
        <v>348</v>
      </c>
      <c r="C452" s="19">
        <v>46519</v>
      </c>
      <c r="D452" s="24">
        <v>1.8644763860369611</v>
      </c>
      <c r="E452" s="28">
        <v>1.125</v>
      </c>
      <c r="F452" s="39">
        <v>1.066695681889404</v>
      </c>
    </row>
    <row r="453" spans="2:6" x14ac:dyDescent="0.2">
      <c r="B453" s="9" t="s">
        <v>348</v>
      </c>
      <c r="C453" s="19">
        <v>46885</v>
      </c>
      <c r="D453" s="24">
        <v>2.8665297741273101</v>
      </c>
      <c r="E453" s="28">
        <v>1.125</v>
      </c>
      <c r="F453" s="39">
        <v>1.033952501590196</v>
      </c>
    </row>
    <row r="454" spans="2:6" x14ac:dyDescent="0.2">
      <c r="B454" s="9" t="s">
        <v>348</v>
      </c>
      <c r="C454" s="19">
        <v>47250</v>
      </c>
      <c r="D454" s="24">
        <v>3.8658453114305269</v>
      </c>
      <c r="E454" s="28">
        <v>101.125</v>
      </c>
      <c r="F454" s="39">
        <v>89.885484288787353</v>
      </c>
    </row>
    <row r="455" spans="2:6" x14ac:dyDescent="0.2">
      <c r="B455" s="9" t="s">
        <v>351</v>
      </c>
      <c r="C455" s="19">
        <v>46170</v>
      </c>
      <c r="D455" s="24">
        <v>0.90896646132785763</v>
      </c>
      <c r="E455" s="28">
        <v>1.125</v>
      </c>
      <c r="F455" s="39">
        <v>1.098804149348954</v>
      </c>
    </row>
    <row r="456" spans="2:6" x14ac:dyDescent="0.2">
      <c r="B456" s="9" t="s">
        <v>351</v>
      </c>
      <c r="C456" s="19">
        <v>46535</v>
      </c>
      <c r="D456" s="24">
        <v>1.9082819986310751</v>
      </c>
      <c r="E456" s="28">
        <v>1.125</v>
      </c>
      <c r="F456" s="39">
        <v>1.070707882352383</v>
      </c>
    </row>
    <row r="457" spans="2:6" x14ac:dyDescent="0.2">
      <c r="B457" s="9" t="s">
        <v>351</v>
      </c>
      <c r="C457" s="19">
        <v>46901</v>
      </c>
      <c r="D457" s="24">
        <v>2.9103353867214241</v>
      </c>
      <c r="E457" s="28">
        <v>101.125</v>
      </c>
      <c r="F457" s="39">
        <v>93.51986470375833</v>
      </c>
    </row>
    <row r="458" spans="2:6" x14ac:dyDescent="0.2">
      <c r="B458" s="9" t="s">
        <v>354</v>
      </c>
      <c r="C458" s="19">
        <v>46038</v>
      </c>
      <c r="D458" s="24">
        <v>0.54757015742642023</v>
      </c>
      <c r="E458" s="28">
        <v>1</v>
      </c>
      <c r="F458" s="39">
        <v>0.98334664681188089</v>
      </c>
    </row>
    <row r="459" spans="2:6" x14ac:dyDescent="0.2">
      <c r="B459" s="9" t="s">
        <v>354</v>
      </c>
      <c r="C459" s="19">
        <v>46403</v>
      </c>
      <c r="D459" s="24">
        <v>1.546885694729637</v>
      </c>
      <c r="E459" s="28">
        <v>1</v>
      </c>
      <c r="F459" s="39">
        <v>0.95366591626646913</v>
      </c>
    </row>
    <row r="460" spans="2:6" x14ac:dyDescent="0.2">
      <c r="B460" s="9" t="s">
        <v>354</v>
      </c>
      <c r="C460" s="19">
        <v>46768</v>
      </c>
      <c r="D460" s="24">
        <v>2.5462012320328542</v>
      </c>
      <c r="E460" s="28">
        <v>1</v>
      </c>
      <c r="F460" s="39">
        <v>0.9235483234109253</v>
      </c>
    </row>
    <row r="461" spans="2:6" x14ac:dyDescent="0.2">
      <c r="B461" s="9" t="s">
        <v>354</v>
      </c>
      <c r="C461" s="19">
        <v>47134</v>
      </c>
      <c r="D461" s="24">
        <v>3.548254620123203</v>
      </c>
      <c r="E461" s="28">
        <v>1</v>
      </c>
      <c r="F461" s="39">
        <v>0.89179541479659741</v>
      </c>
    </row>
    <row r="462" spans="2:6" x14ac:dyDescent="0.2">
      <c r="B462" s="9" t="s">
        <v>354</v>
      </c>
      <c r="C462" s="19">
        <v>47499</v>
      </c>
      <c r="D462" s="24">
        <v>4.5475701574264207</v>
      </c>
      <c r="E462" s="28">
        <v>101</v>
      </c>
      <c r="F462" s="39">
        <v>86.802677898714137</v>
      </c>
    </row>
    <row r="463" spans="2:6" x14ac:dyDescent="0.2">
      <c r="B463" s="9" t="s">
        <v>357</v>
      </c>
      <c r="C463" s="19">
        <v>46187</v>
      </c>
      <c r="D463" s="24">
        <v>0.95550992470910334</v>
      </c>
      <c r="E463" s="28">
        <v>0.75</v>
      </c>
      <c r="F463" s="39">
        <v>0.73089303682328244</v>
      </c>
    </row>
    <row r="464" spans="2:6" x14ac:dyDescent="0.2">
      <c r="B464" s="9" t="s">
        <v>357</v>
      </c>
      <c r="C464" s="19">
        <v>46552</v>
      </c>
      <c r="D464" s="24">
        <v>1.95482546201232</v>
      </c>
      <c r="E464" s="28">
        <v>0.75</v>
      </c>
      <c r="F464" s="39">
        <v>0.71143065935451322</v>
      </c>
    </row>
    <row r="465" spans="2:6" x14ac:dyDescent="0.2">
      <c r="B465" s="9" t="s">
        <v>357</v>
      </c>
      <c r="C465" s="19">
        <v>46918</v>
      </c>
      <c r="D465" s="24">
        <v>2.9568788501026688</v>
      </c>
      <c r="E465" s="28">
        <v>100.75</v>
      </c>
      <c r="F465" s="39">
        <v>92.744662510718754</v>
      </c>
    </row>
    <row r="466" spans="2:6" x14ac:dyDescent="0.2">
      <c r="B466" s="9" t="s">
        <v>360</v>
      </c>
      <c r="C466" s="19">
        <v>45851</v>
      </c>
      <c r="D466" s="24">
        <v>3.5592060232717319E-2</v>
      </c>
      <c r="E466" s="28">
        <v>1.288</v>
      </c>
      <c r="F466" s="39">
        <v>1.286639860524764</v>
      </c>
    </row>
    <row r="467" spans="2:6" x14ac:dyDescent="0.2">
      <c r="B467" s="9" t="s">
        <v>360</v>
      </c>
      <c r="C467" s="19">
        <v>46216</v>
      </c>
      <c r="D467" s="24">
        <v>1.0349075975359341</v>
      </c>
      <c r="E467" s="28">
        <v>1.288</v>
      </c>
      <c r="F467" s="39">
        <v>1.249032078047895</v>
      </c>
    </row>
    <row r="468" spans="2:6" x14ac:dyDescent="0.2">
      <c r="B468" s="9" t="s">
        <v>360</v>
      </c>
      <c r="C468" s="19">
        <v>46581</v>
      </c>
      <c r="D468" s="24">
        <v>2.0342231348391508</v>
      </c>
      <c r="E468" s="28">
        <v>1.288</v>
      </c>
      <c r="F468" s="39">
        <v>1.212436028828469</v>
      </c>
    </row>
    <row r="469" spans="2:6" x14ac:dyDescent="0.2">
      <c r="B469" s="9" t="s">
        <v>360</v>
      </c>
      <c r="C469" s="19">
        <v>46947</v>
      </c>
      <c r="D469" s="24">
        <v>3.0362765229295001</v>
      </c>
      <c r="E469" s="28">
        <v>1.288</v>
      </c>
      <c r="F469" s="39">
        <v>1.1731529155655449</v>
      </c>
    </row>
    <row r="470" spans="2:6" x14ac:dyDescent="0.2">
      <c r="B470" s="9" t="s">
        <v>360</v>
      </c>
      <c r="C470" s="19">
        <v>47312</v>
      </c>
      <c r="D470" s="24">
        <v>4.0355920602327169</v>
      </c>
      <c r="E470" s="28">
        <v>101.288</v>
      </c>
      <c r="F470" s="39">
        <v>89.090422710783315</v>
      </c>
    </row>
    <row r="471" spans="2:6" x14ac:dyDescent="0.2">
      <c r="B471" s="9" t="s">
        <v>363</v>
      </c>
      <c r="C471" s="19">
        <v>45858</v>
      </c>
      <c r="D471" s="24">
        <v>5.4757015742642023E-2</v>
      </c>
      <c r="E471" s="28">
        <v>2.25</v>
      </c>
      <c r="F471" s="39">
        <v>2.2446865699994381</v>
      </c>
    </row>
    <row r="472" spans="2:6" x14ac:dyDescent="0.2">
      <c r="B472" s="9" t="s">
        <v>363</v>
      </c>
      <c r="C472" s="19">
        <v>46223</v>
      </c>
      <c r="D472" s="24">
        <v>1.054072553045859</v>
      </c>
      <c r="E472" s="28">
        <v>2.25</v>
      </c>
      <c r="F472" s="39">
        <v>2.1498909272095981</v>
      </c>
    </row>
    <row r="473" spans="2:6" x14ac:dyDescent="0.2">
      <c r="B473" s="9" t="s">
        <v>363</v>
      </c>
      <c r="C473" s="19">
        <v>46588</v>
      </c>
      <c r="D473" s="24">
        <v>2.0533880903490762</v>
      </c>
      <c r="E473" s="28">
        <v>2.25</v>
      </c>
      <c r="F473" s="39">
        <v>2.058864570739984</v>
      </c>
    </row>
    <row r="474" spans="2:6" x14ac:dyDescent="0.2">
      <c r="B474" s="9" t="s">
        <v>363</v>
      </c>
      <c r="C474" s="19">
        <v>46954</v>
      </c>
      <c r="D474" s="24">
        <v>3.055441478439425</v>
      </c>
      <c r="E474" s="28">
        <v>102.25</v>
      </c>
      <c r="F474" s="39">
        <v>89.313099030952074</v>
      </c>
    </row>
    <row r="475" spans="2:6" x14ac:dyDescent="0.2">
      <c r="B475" s="9" t="s">
        <v>366</v>
      </c>
      <c r="C475" s="19">
        <v>45901</v>
      </c>
      <c r="D475" s="24">
        <v>0.17248459958932241</v>
      </c>
      <c r="E475" s="28">
        <v>0.75</v>
      </c>
      <c r="F475" s="39">
        <v>0.74625810565883333</v>
      </c>
    </row>
    <row r="476" spans="2:6" x14ac:dyDescent="0.2">
      <c r="B476" s="9" t="s">
        <v>366</v>
      </c>
      <c r="C476" s="19">
        <v>46266</v>
      </c>
      <c r="D476" s="24">
        <v>1.171800136892539</v>
      </c>
      <c r="E476" s="28">
        <v>0.75</v>
      </c>
      <c r="F476" s="39">
        <v>0.72494336824451122</v>
      </c>
    </row>
    <row r="477" spans="2:6" x14ac:dyDescent="0.2">
      <c r="B477" s="9" t="s">
        <v>366</v>
      </c>
      <c r="C477" s="19">
        <v>46631</v>
      </c>
      <c r="D477" s="24">
        <v>2.171115674195756</v>
      </c>
      <c r="E477" s="28">
        <v>0.75</v>
      </c>
      <c r="F477" s="39">
        <v>0.70396619961483853</v>
      </c>
    </row>
    <row r="478" spans="2:6" x14ac:dyDescent="0.2">
      <c r="B478" s="9" t="s">
        <v>366</v>
      </c>
      <c r="C478" s="19">
        <v>46997</v>
      </c>
      <c r="D478" s="24">
        <v>3.1731690622861048</v>
      </c>
      <c r="E478" s="28">
        <v>0.75</v>
      </c>
      <c r="F478" s="39">
        <v>0.68143322564105824</v>
      </c>
    </row>
    <row r="479" spans="2:6" x14ac:dyDescent="0.2">
      <c r="B479" s="9" t="s">
        <v>366</v>
      </c>
      <c r="C479" s="19">
        <v>47362</v>
      </c>
      <c r="D479" s="24">
        <v>4.1724845995893221</v>
      </c>
      <c r="E479" s="28">
        <v>0.75</v>
      </c>
      <c r="F479" s="39">
        <v>0.65831355091177235</v>
      </c>
    </row>
    <row r="480" spans="2:6" x14ac:dyDescent="0.2">
      <c r="B480" s="9" t="s">
        <v>366</v>
      </c>
      <c r="C480" s="19">
        <v>47727</v>
      </c>
      <c r="D480" s="24">
        <v>5.1718001368925393</v>
      </c>
      <c r="E480" s="28">
        <v>0.75</v>
      </c>
      <c r="F480" s="39">
        <v>0.63465719516909536</v>
      </c>
    </row>
    <row r="481" spans="2:6" x14ac:dyDescent="0.2">
      <c r="B481" s="9" t="s">
        <v>366</v>
      </c>
      <c r="C481" s="19">
        <v>48092</v>
      </c>
      <c r="D481" s="24">
        <v>6.1711156741957556</v>
      </c>
      <c r="E481" s="28">
        <v>0.75</v>
      </c>
      <c r="F481" s="39">
        <v>0.61055327140877047</v>
      </c>
    </row>
    <row r="482" spans="2:6" x14ac:dyDescent="0.2">
      <c r="B482" s="9" t="s">
        <v>366</v>
      </c>
      <c r="C482" s="19">
        <v>48458</v>
      </c>
      <c r="D482" s="24">
        <v>7.1731690622861057</v>
      </c>
      <c r="E482" s="28">
        <v>0.75</v>
      </c>
      <c r="F482" s="39">
        <v>0.58607125751689138</v>
      </c>
    </row>
    <row r="483" spans="2:6" x14ac:dyDescent="0.2">
      <c r="B483" s="9" t="s">
        <v>366</v>
      </c>
      <c r="C483" s="19">
        <v>48823</v>
      </c>
      <c r="D483" s="24">
        <v>8.1724845995893229</v>
      </c>
      <c r="E483" s="28">
        <v>100.75</v>
      </c>
      <c r="F483" s="39">
        <v>75.422461425834243</v>
      </c>
    </row>
    <row r="484" spans="2:6" x14ac:dyDescent="0.2">
      <c r="B484" s="9" t="s">
        <v>369</v>
      </c>
      <c r="C484" s="19">
        <v>45917</v>
      </c>
      <c r="D484" s="24">
        <v>0.216290212183436</v>
      </c>
      <c r="E484" s="28">
        <v>0.875</v>
      </c>
      <c r="F484" s="39">
        <v>0.86909754049331367</v>
      </c>
    </row>
    <row r="485" spans="2:6" x14ac:dyDescent="0.2">
      <c r="B485" s="9" t="s">
        <v>369</v>
      </c>
      <c r="C485" s="19">
        <v>46282</v>
      </c>
      <c r="D485" s="24">
        <v>1.215605749486653</v>
      </c>
      <c r="E485" s="28">
        <v>0.875</v>
      </c>
      <c r="F485" s="39">
        <v>0.8423394449779632</v>
      </c>
    </row>
    <row r="486" spans="2:6" x14ac:dyDescent="0.2">
      <c r="B486" s="9" t="s">
        <v>369</v>
      </c>
      <c r="C486" s="19">
        <v>46647</v>
      </c>
      <c r="D486" s="24">
        <v>2.21492128678987</v>
      </c>
      <c r="E486" s="28">
        <v>0.875</v>
      </c>
      <c r="F486" s="39">
        <v>0.81600232271046613</v>
      </c>
    </row>
    <row r="487" spans="2:6" x14ac:dyDescent="0.2">
      <c r="B487" s="9" t="s">
        <v>369</v>
      </c>
      <c r="C487" s="19">
        <v>47013</v>
      </c>
      <c r="D487" s="24">
        <v>3.2169746748802188</v>
      </c>
      <c r="E487" s="28">
        <v>0.875</v>
      </c>
      <c r="F487" s="39">
        <v>0.7879963895068216</v>
      </c>
    </row>
    <row r="488" spans="2:6" x14ac:dyDescent="0.2">
      <c r="B488" s="9" t="s">
        <v>369</v>
      </c>
      <c r="C488" s="19">
        <v>47378</v>
      </c>
      <c r="D488" s="24">
        <v>4.216290212183436</v>
      </c>
      <c r="E488" s="28">
        <v>100.875</v>
      </c>
      <c r="F488" s="39">
        <v>87.553474302311443</v>
      </c>
    </row>
    <row r="489" spans="2:6" x14ac:dyDescent="0.2">
      <c r="B489" s="9" t="s">
        <v>372</v>
      </c>
      <c r="C489" s="19">
        <v>45928</v>
      </c>
      <c r="D489" s="24">
        <v>0.24640657084188911</v>
      </c>
      <c r="E489" s="28">
        <v>0.875</v>
      </c>
      <c r="F489" s="39">
        <v>0.86894357548777656</v>
      </c>
    </row>
    <row r="490" spans="2:6" x14ac:dyDescent="0.2">
      <c r="B490" s="9" t="s">
        <v>372</v>
      </c>
      <c r="C490" s="19">
        <v>46293</v>
      </c>
      <c r="D490" s="24">
        <v>1.245722108145106</v>
      </c>
      <c r="E490" s="28">
        <v>0.875</v>
      </c>
      <c r="F490" s="39">
        <v>0.84480813847808578</v>
      </c>
    </row>
    <row r="491" spans="2:6" x14ac:dyDescent="0.2">
      <c r="B491" s="9" t="s">
        <v>372</v>
      </c>
      <c r="C491" s="19">
        <v>46658</v>
      </c>
      <c r="D491" s="24">
        <v>2.2450376454483232</v>
      </c>
      <c r="E491" s="28">
        <v>0.875</v>
      </c>
      <c r="F491" s="39">
        <v>0.82087471742417106</v>
      </c>
    </row>
    <row r="492" spans="2:6" x14ac:dyDescent="0.2">
      <c r="B492" s="9" t="s">
        <v>372</v>
      </c>
      <c r="C492" s="19">
        <v>47024</v>
      </c>
      <c r="D492" s="24">
        <v>3.247091033538672</v>
      </c>
      <c r="E492" s="28">
        <v>0.875</v>
      </c>
      <c r="F492" s="39">
        <v>0.79512264354850748</v>
      </c>
    </row>
    <row r="493" spans="2:6" x14ac:dyDescent="0.2">
      <c r="B493" s="9" t="s">
        <v>372</v>
      </c>
      <c r="C493" s="19">
        <v>47389</v>
      </c>
      <c r="D493" s="24">
        <v>4.2464065708418888</v>
      </c>
      <c r="E493" s="28">
        <v>0.875</v>
      </c>
      <c r="F493" s="39">
        <v>0.76864989832733221</v>
      </c>
    </row>
    <row r="494" spans="2:6" x14ac:dyDescent="0.2">
      <c r="B494" s="9" t="s">
        <v>372</v>
      </c>
      <c r="C494" s="19">
        <v>47754</v>
      </c>
      <c r="D494" s="24">
        <v>5.245722108145106</v>
      </c>
      <c r="E494" s="28">
        <v>0.875</v>
      </c>
      <c r="F494" s="39">
        <v>0.74151217095775268</v>
      </c>
    </row>
    <row r="495" spans="2:6" x14ac:dyDescent="0.2">
      <c r="B495" s="9" t="s">
        <v>372</v>
      </c>
      <c r="C495" s="19">
        <v>48119</v>
      </c>
      <c r="D495" s="24">
        <v>6.2450376454483232</v>
      </c>
      <c r="E495" s="28">
        <v>0.875</v>
      </c>
      <c r="F495" s="39">
        <v>0.71381716404498086</v>
      </c>
    </row>
    <row r="496" spans="2:6" x14ac:dyDescent="0.2">
      <c r="B496" s="9" t="s">
        <v>372</v>
      </c>
      <c r="C496" s="19">
        <v>48485</v>
      </c>
      <c r="D496" s="24">
        <v>7.2470910335386716</v>
      </c>
      <c r="E496" s="28">
        <v>0.875</v>
      </c>
      <c r="F496" s="39">
        <v>0.68564446459199624</v>
      </c>
    </row>
    <row r="497" spans="2:6" x14ac:dyDescent="0.2">
      <c r="B497" s="9" t="s">
        <v>372</v>
      </c>
      <c r="C497" s="19">
        <v>48850</v>
      </c>
      <c r="D497" s="24">
        <v>8.2464065708418897</v>
      </c>
      <c r="E497" s="28">
        <v>0.875</v>
      </c>
      <c r="F497" s="39">
        <v>0.6572790798463457</v>
      </c>
    </row>
    <row r="498" spans="2:6" x14ac:dyDescent="0.2">
      <c r="B498" s="9" t="s">
        <v>372</v>
      </c>
      <c r="C498" s="19">
        <v>49215</v>
      </c>
      <c r="D498" s="24">
        <v>9.245722108145106</v>
      </c>
      <c r="E498" s="28">
        <v>100.875</v>
      </c>
      <c r="F498" s="39">
        <v>72.488389247293057</v>
      </c>
    </row>
    <row r="499" spans="2:6" x14ac:dyDescent="0.2">
      <c r="B499" s="9" t="s">
        <v>375</v>
      </c>
      <c r="C499" s="19">
        <v>45945</v>
      </c>
      <c r="D499" s="24">
        <v>0.29295003422313481</v>
      </c>
      <c r="E499" s="28">
        <v>5</v>
      </c>
      <c r="F499" s="39">
        <v>4.8463584330160554</v>
      </c>
    </row>
    <row r="500" spans="2:6" x14ac:dyDescent="0.2">
      <c r="B500" s="9" t="s">
        <v>375</v>
      </c>
      <c r="C500" s="19">
        <v>46310</v>
      </c>
      <c r="D500" s="24">
        <v>1.292265571526352</v>
      </c>
      <c r="E500" s="28">
        <v>5</v>
      </c>
      <c r="F500" s="39">
        <v>4.356907194581189</v>
      </c>
    </row>
    <row r="501" spans="2:6" x14ac:dyDescent="0.2">
      <c r="B501" s="9" t="s">
        <v>375</v>
      </c>
      <c r="C501" s="19">
        <v>46675</v>
      </c>
      <c r="D501" s="24">
        <v>2.2915811088295688</v>
      </c>
      <c r="E501" s="28">
        <v>5</v>
      </c>
      <c r="F501" s="39">
        <v>3.9141746630084291</v>
      </c>
    </row>
    <row r="502" spans="2:6" x14ac:dyDescent="0.2">
      <c r="B502" s="9" t="s">
        <v>375</v>
      </c>
      <c r="C502" s="19">
        <v>47041</v>
      </c>
      <c r="D502" s="24">
        <v>3.2936344969199181</v>
      </c>
      <c r="E502" s="28">
        <v>105</v>
      </c>
      <c r="F502" s="39">
        <v>73.600004183078539</v>
      </c>
    </row>
    <row r="503" spans="2:6" x14ac:dyDescent="0.2">
      <c r="B503" s="9" t="s">
        <v>378</v>
      </c>
      <c r="C503" s="19">
        <v>46041</v>
      </c>
      <c r="D503" s="24">
        <v>0.55578370978781655</v>
      </c>
      <c r="E503" s="28">
        <v>2.085</v>
      </c>
      <c r="F503" s="39">
        <v>2.0509916784041389</v>
      </c>
    </row>
    <row r="504" spans="2:6" x14ac:dyDescent="0.2">
      <c r="B504" s="9" t="s">
        <v>378</v>
      </c>
      <c r="C504" s="19">
        <v>46406</v>
      </c>
      <c r="D504" s="24">
        <v>1.5550992470910341</v>
      </c>
      <c r="E504" s="28">
        <v>2.085</v>
      </c>
      <c r="F504" s="39">
        <v>1.991233002744216</v>
      </c>
    </row>
    <row r="505" spans="2:6" x14ac:dyDescent="0.2">
      <c r="B505" s="9" t="s">
        <v>378</v>
      </c>
      <c r="C505" s="19">
        <v>46771</v>
      </c>
      <c r="D505" s="24">
        <v>2.55441478439425</v>
      </c>
      <c r="E505" s="28">
        <v>2.085</v>
      </c>
      <c r="F505" s="39">
        <v>1.930378801871363</v>
      </c>
    </row>
    <row r="506" spans="2:6" x14ac:dyDescent="0.2">
      <c r="B506" s="9" t="s">
        <v>378</v>
      </c>
      <c r="C506" s="19">
        <v>47137</v>
      </c>
      <c r="D506" s="24">
        <v>3.5564681724846001</v>
      </c>
      <c r="E506" s="28">
        <v>2.085</v>
      </c>
      <c r="F506" s="39">
        <v>1.865995470339338</v>
      </c>
    </row>
    <row r="507" spans="2:6" x14ac:dyDescent="0.2">
      <c r="B507" s="9" t="s">
        <v>378</v>
      </c>
      <c r="C507" s="19">
        <v>47502</v>
      </c>
      <c r="D507" s="24">
        <v>4.5557837097878169</v>
      </c>
      <c r="E507" s="28">
        <v>102.08499999999999</v>
      </c>
      <c r="F507" s="39">
        <v>88.140222951402876</v>
      </c>
    </row>
    <row r="508" spans="2:6" x14ac:dyDescent="0.2">
      <c r="B508" s="9" t="s">
        <v>380</v>
      </c>
      <c r="C508" s="19">
        <v>46041</v>
      </c>
      <c r="D508" s="24">
        <v>0.55578370978781655</v>
      </c>
      <c r="E508" s="28">
        <v>101.20699999999999</v>
      </c>
      <c r="F508" s="39">
        <v>99.962823305785122</v>
      </c>
    </row>
    <row r="509" spans="2:6" x14ac:dyDescent="0.2">
      <c r="B509" s="9" t="s">
        <v>382</v>
      </c>
      <c r="C509" s="19">
        <v>46126</v>
      </c>
      <c r="D509" s="24">
        <v>0.7885010266940452</v>
      </c>
      <c r="E509" s="28">
        <v>3.125</v>
      </c>
      <c r="F509" s="39">
        <v>3.0605195404938659</v>
      </c>
    </row>
    <row r="510" spans="2:6" x14ac:dyDescent="0.2">
      <c r="B510" s="9" t="s">
        <v>382</v>
      </c>
      <c r="C510" s="19">
        <v>46491</v>
      </c>
      <c r="D510" s="24">
        <v>1.7878165639972621</v>
      </c>
      <c r="E510" s="28">
        <v>103.125</v>
      </c>
      <c r="F510" s="39">
        <v>98.363350348395016</v>
      </c>
    </row>
    <row r="511" spans="2:6" x14ac:dyDescent="0.2">
      <c r="B511" s="9" t="s">
        <v>385</v>
      </c>
      <c r="C511" s="19">
        <v>45843</v>
      </c>
      <c r="D511" s="24">
        <v>1.3689253935660509E-2</v>
      </c>
      <c r="E511" s="28">
        <v>4</v>
      </c>
      <c r="F511" s="39">
        <v>3.9986512995508829</v>
      </c>
    </row>
    <row r="512" spans="2:6" x14ac:dyDescent="0.2">
      <c r="B512" s="9" t="s">
        <v>385</v>
      </c>
      <c r="C512" s="19">
        <v>46208</v>
      </c>
      <c r="D512" s="24">
        <v>1.013004791238878</v>
      </c>
      <c r="E512" s="28">
        <v>4</v>
      </c>
      <c r="F512" s="39">
        <v>3.901414561478644</v>
      </c>
    </row>
    <row r="513" spans="2:6" x14ac:dyDescent="0.2">
      <c r="B513" s="9" t="s">
        <v>385</v>
      </c>
      <c r="C513" s="19">
        <v>46573</v>
      </c>
      <c r="D513" s="24">
        <v>2.0123203285420939</v>
      </c>
      <c r="E513" s="28">
        <v>104</v>
      </c>
      <c r="F513" s="39">
        <v>98.967557388970476</v>
      </c>
    </row>
    <row r="514" spans="2:6" x14ac:dyDescent="0.2">
      <c r="B514" s="9" t="s">
        <v>388</v>
      </c>
      <c r="C514" s="19">
        <v>45963</v>
      </c>
      <c r="D514" s="24">
        <v>0.34223134839151259</v>
      </c>
      <c r="E514" s="28">
        <v>4.125</v>
      </c>
      <c r="F514" s="39">
        <v>4.0855707662168834</v>
      </c>
    </row>
    <row r="515" spans="2:6" x14ac:dyDescent="0.2">
      <c r="B515" s="9" t="s">
        <v>388</v>
      </c>
      <c r="C515" s="19">
        <v>46328</v>
      </c>
      <c r="D515" s="24">
        <v>1.3415468856947299</v>
      </c>
      <c r="E515" s="28">
        <v>4.125</v>
      </c>
      <c r="F515" s="39">
        <v>3.972581244530486</v>
      </c>
    </row>
    <row r="516" spans="2:6" x14ac:dyDescent="0.2">
      <c r="B516" s="9" t="s">
        <v>388</v>
      </c>
      <c r="C516" s="19">
        <v>46693</v>
      </c>
      <c r="D516" s="24">
        <v>2.340862422997946</v>
      </c>
      <c r="E516" s="28">
        <v>4.125</v>
      </c>
      <c r="F516" s="39">
        <v>3.8595221180414119</v>
      </c>
    </row>
    <row r="517" spans="2:6" x14ac:dyDescent="0.2">
      <c r="B517" s="9" t="s">
        <v>388</v>
      </c>
      <c r="C517" s="19">
        <v>47059</v>
      </c>
      <c r="D517" s="24">
        <v>3.3429158110882962</v>
      </c>
      <c r="E517" s="28">
        <v>4.125</v>
      </c>
      <c r="F517" s="39">
        <v>3.7381608310887011</v>
      </c>
    </row>
    <row r="518" spans="2:6" x14ac:dyDescent="0.2">
      <c r="B518" s="9" t="s">
        <v>388</v>
      </c>
      <c r="C518" s="19">
        <v>47424</v>
      </c>
      <c r="D518" s="24">
        <v>4.3422313483915129</v>
      </c>
      <c r="E518" s="28">
        <v>4.125</v>
      </c>
      <c r="F518" s="39">
        <v>3.613430712348781</v>
      </c>
    </row>
    <row r="519" spans="2:6" x14ac:dyDescent="0.2">
      <c r="B519" s="9" t="s">
        <v>388</v>
      </c>
      <c r="C519" s="19">
        <v>47789</v>
      </c>
      <c r="D519" s="24">
        <v>5.3415468856947292</v>
      </c>
      <c r="E519" s="28">
        <v>4.125</v>
      </c>
      <c r="F519" s="39">
        <v>3.4855756229166381</v>
      </c>
    </row>
    <row r="520" spans="2:6" x14ac:dyDescent="0.2">
      <c r="B520" s="9" t="s">
        <v>388</v>
      </c>
      <c r="C520" s="19">
        <v>48154</v>
      </c>
      <c r="D520" s="24">
        <v>6.3408624229979456</v>
      </c>
      <c r="E520" s="28">
        <v>4.125</v>
      </c>
      <c r="F520" s="39">
        <v>3.355132776958345</v>
      </c>
    </row>
    <row r="521" spans="2:6" x14ac:dyDescent="0.2">
      <c r="B521" s="9" t="s">
        <v>388</v>
      </c>
      <c r="C521" s="19">
        <v>48520</v>
      </c>
      <c r="D521" s="24">
        <v>7.3429158110882957</v>
      </c>
      <c r="E521" s="28">
        <v>4.125</v>
      </c>
      <c r="F521" s="39">
        <v>3.2224642423585941</v>
      </c>
    </row>
    <row r="522" spans="2:6" x14ac:dyDescent="0.2">
      <c r="B522" s="9" t="s">
        <v>388</v>
      </c>
      <c r="C522" s="19">
        <v>48885</v>
      </c>
      <c r="D522" s="24">
        <v>8.3422313483915129</v>
      </c>
      <c r="E522" s="28">
        <v>4.125</v>
      </c>
      <c r="F522" s="39">
        <v>3.0889113307114808</v>
      </c>
    </row>
    <row r="523" spans="2:6" x14ac:dyDescent="0.2">
      <c r="B523" s="9" t="s">
        <v>388</v>
      </c>
      <c r="C523" s="19">
        <v>49250</v>
      </c>
      <c r="D523" s="24">
        <v>9.3415468856947292</v>
      </c>
      <c r="E523" s="28">
        <v>104.125</v>
      </c>
      <c r="F523" s="39">
        <v>74.58408185482871</v>
      </c>
    </row>
    <row r="524" spans="2:6" x14ac:dyDescent="0.2">
      <c r="B524" s="9" t="s">
        <v>391</v>
      </c>
      <c r="C524" s="19">
        <v>46032</v>
      </c>
      <c r="D524" s="24">
        <v>0.53114305270362761</v>
      </c>
      <c r="E524" s="28">
        <v>4</v>
      </c>
      <c r="F524" s="39">
        <v>3.9454063235443182</v>
      </c>
    </row>
    <row r="525" spans="2:6" x14ac:dyDescent="0.2">
      <c r="B525" s="9" t="s">
        <v>391</v>
      </c>
      <c r="C525" s="19">
        <v>46397</v>
      </c>
      <c r="D525" s="24">
        <v>1.530458590006845</v>
      </c>
      <c r="E525" s="28">
        <v>4</v>
      </c>
      <c r="F525" s="39">
        <v>3.8447030562078339</v>
      </c>
    </row>
    <row r="526" spans="2:6" x14ac:dyDescent="0.2">
      <c r="B526" s="9" t="s">
        <v>391</v>
      </c>
      <c r="C526" s="19">
        <v>46762</v>
      </c>
      <c r="D526" s="24">
        <v>2.5297741273100618</v>
      </c>
      <c r="E526" s="28">
        <v>4</v>
      </c>
      <c r="F526" s="39">
        <v>3.7413674700320469</v>
      </c>
    </row>
    <row r="527" spans="2:6" x14ac:dyDescent="0.2">
      <c r="B527" s="9" t="s">
        <v>391</v>
      </c>
      <c r="C527" s="19">
        <v>47128</v>
      </c>
      <c r="D527" s="24">
        <v>3.5318275154004111</v>
      </c>
      <c r="E527" s="28">
        <v>4</v>
      </c>
      <c r="F527" s="39">
        <v>3.6302618400749118</v>
      </c>
    </row>
    <row r="528" spans="2:6" x14ac:dyDescent="0.2">
      <c r="B528" s="9" t="s">
        <v>391</v>
      </c>
      <c r="C528" s="19">
        <v>47493</v>
      </c>
      <c r="D528" s="24">
        <v>4.5311430527036274</v>
      </c>
      <c r="E528" s="28">
        <v>104</v>
      </c>
      <c r="F528" s="39">
        <v>91.40165171949765</v>
      </c>
    </row>
    <row r="529" spans="2:6" x14ac:dyDescent="0.2">
      <c r="B529" s="9" t="s">
        <v>394</v>
      </c>
      <c r="C529" s="19">
        <v>46038</v>
      </c>
      <c r="D529" s="24">
        <v>0.54757015742642023</v>
      </c>
      <c r="E529" s="28">
        <v>4.2750000000000004</v>
      </c>
      <c r="F529" s="39">
        <v>4.2062531720651366</v>
      </c>
    </row>
    <row r="530" spans="2:6" x14ac:dyDescent="0.2">
      <c r="B530" s="9" t="s">
        <v>394</v>
      </c>
      <c r="C530" s="19">
        <v>46403</v>
      </c>
      <c r="D530" s="24">
        <v>1.546885694729637</v>
      </c>
      <c r="E530" s="28">
        <v>4.2750000000000004</v>
      </c>
      <c r="F530" s="39">
        <v>4.0836274396750021</v>
      </c>
    </row>
    <row r="531" spans="2:6" x14ac:dyDescent="0.2">
      <c r="B531" s="9" t="s">
        <v>394</v>
      </c>
      <c r="C531" s="19">
        <v>46768</v>
      </c>
      <c r="D531" s="24">
        <v>2.5462012320328542</v>
      </c>
      <c r="E531" s="28">
        <v>4.2750000000000004</v>
      </c>
      <c r="F531" s="39">
        <v>3.9588637976355932</v>
      </c>
    </row>
    <row r="532" spans="2:6" x14ac:dyDescent="0.2">
      <c r="B532" s="9" t="s">
        <v>394</v>
      </c>
      <c r="C532" s="19">
        <v>47134</v>
      </c>
      <c r="D532" s="24">
        <v>3.548254620123203</v>
      </c>
      <c r="E532" s="28">
        <v>4.2750000000000004</v>
      </c>
      <c r="F532" s="39">
        <v>3.8268242606101071</v>
      </c>
    </row>
    <row r="533" spans="2:6" x14ac:dyDescent="0.2">
      <c r="B533" s="9" t="s">
        <v>394</v>
      </c>
      <c r="C533" s="19">
        <v>47499</v>
      </c>
      <c r="D533" s="24">
        <v>4.5475701574264207</v>
      </c>
      <c r="E533" s="28">
        <v>4.2750000000000004</v>
      </c>
      <c r="F533" s="39">
        <v>3.6918675971600949</v>
      </c>
    </row>
    <row r="534" spans="2:6" x14ac:dyDescent="0.2">
      <c r="B534" s="9" t="s">
        <v>394</v>
      </c>
      <c r="C534" s="19">
        <v>47864</v>
      </c>
      <c r="D534" s="24">
        <v>5.546885694729637</v>
      </c>
      <c r="E534" s="28">
        <v>4.2750000000000004</v>
      </c>
      <c r="F534" s="39">
        <v>3.55419878173723</v>
      </c>
    </row>
    <row r="535" spans="2:6" x14ac:dyDescent="0.2">
      <c r="B535" s="9" t="s">
        <v>394</v>
      </c>
      <c r="C535" s="19">
        <v>48229</v>
      </c>
      <c r="D535" s="24">
        <v>6.5462012320328542</v>
      </c>
      <c r="E535" s="28">
        <v>4.2750000000000004</v>
      </c>
      <c r="F535" s="39">
        <v>3.4144523617504809</v>
      </c>
    </row>
    <row r="536" spans="2:6" x14ac:dyDescent="0.2">
      <c r="B536" s="9" t="s">
        <v>394</v>
      </c>
      <c r="C536" s="19">
        <v>48595</v>
      </c>
      <c r="D536" s="24">
        <v>7.5482546201232026</v>
      </c>
      <c r="E536" s="28">
        <v>4.2750000000000004</v>
      </c>
      <c r="F536" s="39">
        <v>3.2729641647162921</v>
      </c>
    </row>
    <row r="537" spans="2:6" x14ac:dyDescent="0.2">
      <c r="B537" s="9" t="s">
        <v>394</v>
      </c>
      <c r="C537" s="19">
        <v>48960</v>
      </c>
      <c r="D537" s="24">
        <v>8.5475701574264207</v>
      </c>
      <c r="E537" s="28">
        <v>4.2750000000000004</v>
      </c>
      <c r="F537" s="39">
        <v>3.1311417364670069</v>
      </c>
    </row>
    <row r="538" spans="2:6" x14ac:dyDescent="0.2">
      <c r="B538" s="9" t="s">
        <v>394</v>
      </c>
      <c r="C538" s="19">
        <v>49325</v>
      </c>
      <c r="D538" s="24">
        <v>9.546885694729637</v>
      </c>
      <c r="E538" s="28">
        <v>104.27500000000001</v>
      </c>
      <c r="F538" s="39">
        <v>72.912265588183075</v>
      </c>
    </row>
    <row r="539" spans="2:6" x14ac:dyDescent="0.2">
      <c r="B539" s="9" t="s">
        <v>396</v>
      </c>
      <c r="C539" s="19">
        <v>46099</v>
      </c>
      <c r="D539" s="24">
        <v>0.71457905544147848</v>
      </c>
      <c r="E539" s="28">
        <v>4.25</v>
      </c>
      <c r="F539" s="39">
        <v>4.1634942667959498</v>
      </c>
    </row>
    <row r="540" spans="2:6" x14ac:dyDescent="0.2">
      <c r="B540" s="9" t="s">
        <v>396</v>
      </c>
      <c r="C540" s="19">
        <v>46464</v>
      </c>
      <c r="D540" s="24">
        <v>1.7138945927446949</v>
      </c>
      <c r="E540" s="28">
        <v>4.25</v>
      </c>
      <c r="F540" s="39">
        <v>4.0454637646475948</v>
      </c>
    </row>
    <row r="541" spans="2:6" x14ac:dyDescent="0.2">
      <c r="B541" s="9" t="s">
        <v>396</v>
      </c>
      <c r="C541" s="19">
        <v>46830</v>
      </c>
      <c r="D541" s="24">
        <v>2.7159479808350451</v>
      </c>
      <c r="E541" s="28">
        <v>4.25</v>
      </c>
      <c r="F541" s="39">
        <v>3.9225531117511281</v>
      </c>
    </row>
    <row r="542" spans="2:6" x14ac:dyDescent="0.2">
      <c r="B542" s="9" t="s">
        <v>396</v>
      </c>
      <c r="C542" s="19">
        <v>47195</v>
      </c>
      <c r="D542" s="24">
        <v>3.7152635181382609</v>
      </c>
      <c r="E542" s="28">
        <v>4.25</v>
      </c>
      <c r="F542" s="39">
        <v>3.7938935700539842</v>
      </c>
    </row>
    <row r="543" spans="2:6" x14ac:dyDescent="0.2">
      <c r="B543" s="9" t="s">
        <v>396</v>
      </c>
      <c r="C543" s="19">
        <v>47560</v>
      </c>
      <c r="D543" s="24">
        <v>4.7145790554414786</v>
      </c>
      <c r="E543" s="28">
        <v>104.25</v>
      </c>
      <c r="F543" s="39">
        <v>89.823341890524944</v>
      </c>
    </row>
    <row r="544" spans="2:6" x14ac:dyDescent="0.2">
      <c r="B544" s="9" t="s">
        <v>399</v>
      </c>
      <c r="C544" s="19">
        <v>46082</v>
      </c>
      <c r="D544" s="24">
        <v>0.66803559206023266</v>
      </c>
      <c r="E544" s="28">
        <v>8</v>
      </c>
      <c r="F544" s="39">
        <v>6.5049362842190268</v>
      </c>
    </row>
    <row r="545" spans="2:6" x14ac:dyDescent="0.2">
      <c r="B545" s="9" t="s">
        <v>399</v>
      </c>
      <c r="C545" s="19">
        <v>46447</v>
      </c>
      <c r="D545" s="24">
        <v>1.66735112936345</v>
      </c>
      <c r="E545" s="28">
        <v>8</v>
      </c>
      <c r="F545" s="39">
        <v>4.7735432545762224</v>
      </c>
    </row>
    <row r="546" spans="2:6" x14ac:dyDescent="0.2">
      <c r="B546" s="9" t="s">
        <v>399</v>
      </c>
      <c r="C546" s="19">
        <v>46813</v>
      </c>
      <c r="D546" s="24">
        <v>2.669404517453799</v>
      </c>
      <c r="E546" s="28">
        <v>108</v>
      </c>
      <c r="F546" s="39">
        <v>47.162798225910642</v>
      </c>
    </row>
    <row r="547" spans="2:6" x14ac:dyDescent="0.2">
      <c r="B547" s="9" t="s">
        <v>402</v>
      </c>
      <c r="C547" s="19">
        <v>46081</v>
      </c>
      <c r="D547" s="24">
        <v>0.6652977412731006</v>
      </c>
      <c r="E547" s="28">
        <v>4.875</v>
      </c>
      <c r="F547" s="39">
        <v>4.7810986039454777</v>
      </c>
    </row>
    <row r="548" spans="2:6" x14ac:dyDescent="0.2">
      <c r="B548" s="9" t="s">
        <v>402</v>
      </c>
      <c r="C548" s="19">
        <v>46446</v>
      </c>
      <c r="D548" s="24">
        <v>1.6646132785763179</v>
      </c>
      <c r="E548" s="28">
        <v>4.875</v>
      </c>
      <c r="F548" s="39">
        <v>4.6434410972071092</v>
      </c>
    </row>
    <row r="549" spans="2:6" x14ac:dyDescent="0.2">
      <c r="B549" s="9" t="s">
        <v>402</v>
      </c>
      <c r="C549" s="19">
        <v>46811</v>
      </c>
      <c r="D549" s="24">
        <v>2.663928815879534</v>
      </c>
      <c r="E549" s="28">
        <v>104.875</v>
      </c>
      <c r="F549" s="39">
        <v>96.839624710612128</v>
      </c>
    </row>
    <row r="550" spans="2:6" x14ac:dyDescent="0.2">
      <c r="B550" s="9" t="s">
        <v>405</v>
      </c>
      <c r="C550" s="19">
        <v>46145</v>
      </c>
      <c r="D550" s="24">
        <v>0.84052019164955505</v>
      </c>
      <c r="E550" s="28">
        <v>4.375</v>
      </c>
      <c r="F550" s="39">
        <v>4.2665436041758058</v>
      </c>
    </row>
    <row r="551" spans="2:6" x14ac:dyDescent="0.2">
      <c r="B551" s="9" t="s">
        <v>405</v>
      </c>
      <c r="C551" s="19">
        <v>46510</v>
      </c>
      <c r="D551" s="24">
        <v>1.839835728952772</v>
      </c>
      <c r="E551" s="28">
        <v>4.375</v>
      </c>
      <c r="F551" s="39">
        <v>4.1410901321215352</v>
      </c>
    </row>
    <row r="552" spans="2:6" x14ac:dyDescent="0.2">
      <c r="B552" s="9" t="s">
        <v>405</v>
      </c>
      <c r="C552" s="19">
        <v>46876</v>
      </c>
      <c r="D552" s="24">
        <v>2.8418891170431211</v>
      </c>
      <c r="E552" s="28">
        <v>4.375</v>
      </c>
      <c r="F552" s="39">
        <v>4.0090390415456536</v>
      </c>
    </row>
    <row r="553" spans="2:6" x14ac:dyDescent="0.2">
      <c r="B553" s="9" t="s">
        <v>405</v>
      </c>
      <c r="C553" s="19">
        <v>47241</v>
      </c>
      <c r="D553" s="24">
        <v>3.8412046543463378</v>
      </c>
      <c r="E553" s="28">
        <v>4.375</v>
      </c>
      <c r="F553" s="39">
        <v>3.8723214341746348</v>
      </c>
    </row>
    <row r="554" spans="2:6" x14ac:dyDescent="0.2">
      <c r="B554" s="9" t="s">
        <v>405</v>
      </c>
      <c r="C554" s="19">
        <v>47606</v>
      </c>
      <c r="D554" s="24">
        <v>4.8405201916495546</v>
      </c>
      <c r="E554" s="28">
        <v>4.375</v>
      </c>
      <c r="F554" s="39">
        <v>3.7325285281460872</v>
      </c>
    </row>
    <row r="555" spans="2:6" x14ac:dyDescent="0.2">
      <c r="B555" s="9" t="s">
        <v>405</v>
      </c>
      <c r="C555" s="19">
        <v>47971</v>
      </c>
      <c r="D555" s="24">
        <v>5.8398357289527718</v>
      </c>
      <c r="E555" s="28">
        <v>4.375</v>
      </c>
      <c r="F555" s="39">
        <v>3.590170574053805</v>
      </c>
    </row>
    <row r="556" spans="2:6" x14ac:dyDescent="0.2">
      <c r="B556" s="9" t="s">
        <v>405</v>
      </c>
      <c r="C556" s="19">
        <v>48337</v>
      </c>
      <c r="D556" s="24">
        <v>6.8418891170431211</v>
      </c>
      <c r="E556" s="28">
        <v>4.375</v>
      </c>
      <c r="F556" s="39">
        <v>3.445609978418692</v>
      </c>
    </row>
    <row r="557" spans="2:6" x14ac:dyDescent="0.2">
      <c r="B557" s="9" t="s">
        <v>405</v>
      </c>
      <c r="C557" s="19">
        <v>48702</v>
      </c>
      <c r="D557" s="24">
        <v>7.8412046543463383</v>
      </c>
      <c r="E557" s="28">
        <v>104.375</v>
      </c>
      <c r="F557" s="39">
        <v>78.736374807363788</v>
      </c>
    </row>
    <row r="558" spans="2:6" x14ac:dyDescent="0.2">
      <c r="B558" s="9" t="s">
        <v>408</v>
      </c>
      <c r="C558" s="19">
        <v>46145</v>
      </c>
      <c r="D558" s="24">
        <v>0.84052019164955505</v>
      </c>
      <c r="E558" s="28">
        <v>4.625</v>
      </c>
      <c r="F558" s="39">
        <v>4.5016165231548264</v>
      </c>
    </row>
    <row r="559" spans="2:6" x14ac:dyDescent="0.2">
      <c r="B559" s="9" t="s">
        <v>408</v>
      </c>
      <c r="C559" s="19">
        <v>46510</v>
      </c>
      <c r="D559" s="24">
        <v>1.839835728952772</v>
      </c>
      <c r="E559" s="28">
        <v>4.625</v>
      </c>
      <c r="F559" s="39">
        <v>4.3591986724780876</v>
      </c>
    </row>
    <row r="560" spans="2:6" x14ac:dyDescent="0.2">
      <c r="B560" s="9" t="s">
        <v>408</v>
      </c>
      <c r="C560" s="19">
        <v>46876</v>
      </c>
      <c r="D560" s="24">
        <v>2.8418891170431211</v>
      </c>
      <c r="E560" s="28">
        <v>4.625</v>
      </c>
      <c r="F560" s="39">
        <v>4.2104566101385554</v>
      </c>
    </row>
    <row r="561" spans="2:6" x14ac:dyDescent="0.2">
      <c r="B561" s="9" t="s">
        <v>408</v>
      </c>
      <c r="C561" s="19">
        <v>47241</v>
      </c>
      <c r="D561" s="24">
        <v>3.8412046543463378</v>
      </c>
      <c r="E561" s="28">
        <v>4.625</v>
      </c>
      <c r="F561" s="39">
        <v>4.0575135839256093</v>
      </c>
    </row>
    <row r="562" spans="2:6" x14ac:dyDescent="0.2">
      <c r="B562" s="9" t="s">
        <v>408</v>
      </c>
      <c r="C562" s="19">
        <v>47606</v>
      </c>
      <c r="D562" s="24">
        <v>4.8405201916495546</v>
      </c>
      <c r="E562" s="28">
        <v>4.625</v>
      </c>
      <c r="F562" s="39">
        <v>3.9020370602476659</v>
      </c>
    </row>
    <row r="563" spans="2:6" x14ac:dyDescent="0.2">
      <c r="B563" s="9" t="s">
        <v>408</v>
      </c>
      <c r="C563" s="19">
        <v>47971</v>
      </c>
      <c r="D563" s="24">
        <v>5.8398357289527718</v>
      </c>
      <c r="E563" s="28">
        <v>104.625</v>
      </c>
      <c r="F563" s="39">
        <v>84.708451502436233</v>
      </c>
    </row>
    <row r="564" spans="2:6" x14ac:dyDescent="0.2">
      <c r="B564" s="9" t="s">
        <v>411</v>
      </c>
      <c r="C564" s="19">
        <v>46154</v>
      </c>
      <c r="D564" s="24">
        <v>0.86516084873374399</v>
      </c>
      <c r="E564" s="28">
        <v>4.125</v>
      </c>
      <c r="F564" s="39">
        <v>4.0245032468484103</v>
      </c>
    </row>
    <row r="565" spans="2:6" x14ac:dyDescent="0.2">
      <c r="B565" s="9" t="s">
        <v>411</v>
      </c>
      <c r="C565" s="19">
        <v>46519</v>
      </c>
      <c r="D565" s="24">
        <v>1.8644763860369611</v>
      </c>
      <c r="E565" s="28">
        <v>4.125</v>
      </c>
      <c r="F565" s="39">
        <v>3.9114665841232381</v>
      </c>
    </row>
    <row r="566" spans="2:6" x14ac:dyDescent="0.2">
      <c r="B566" s="9" t="s">
        <v>411</v>
      </c>
      <c r="C566" s="19">
        <v>46885</v>
      </c>
      <c r="D566" s="24">
        <v>2.8665297741273101</v>
      </c>
      <c r="E566" s="28">
        <v>4.125</v>
      </c>
      <c r="F566" s="39">
        <v>3.7915303764945572</v>
      </c>
    </row>
    <row r="567" spans="2:6" x14ac:dyDescent="0.2">
      <c r="B567" s="9" t="s">
        <v>411</v>
      </c>
      <c r="C567" s="19">
        <v>47250</v>
      </c>
      <c r="D567" s="24">
        <v>3.8658453114305269</v>
      </c>
      <c r="E567" s="28">
        <v>4.125</v>
      </c>
      <c r="F567" s="39">
        <v>3.6670119516541368</v>
      </c>
    </row>
    <row r="568" spans="2:6" x14ac:dyDescent="0.2">
      <c r="B568" s="9" t="s">
        <v>411</v>
      </c>
      <c r="C568" s="19">
        <v>47615</v>
      </c>
      <c r="D568" s="24">
        <v>4.8651608487337441</v>
      </c>
      <c r="E568" s="28">
        <v>4.125</v>
      </c>
      <c r="F568" s="39">
        <v>3.5392458561841109</v>
      </c>
    </row>
    <row r="569" spans="2:6" x14ac:dyDescent="0.2">
      <c r="B569" s="9" t="s">
        <v>411</v>
      </c>
      <c r="C569" s="19">
        <v>47980</v>
      </c>
      <c r="D569" s="24">
        <v>5.8644763860369613</v>
      </c>
      <c r="E569" s="28">
        <v>4.125</v>
      </c>
      <c r="F569" s="39">
        <v>3.4086990783926931</v>
      </c>
    </row>
    <row r="570" spans="2:6" x14ac:dyDescent="0.2">
      <c r="B570" s="9" t="s">
        <v>411</v>
      </c>
      <c r="C570" s="19">
        <v>48346</v>
      </c>
      <c r="D570" s="24">
        <v>6.8665297741273097</v>
      </c>
      <c r="E570" s="28">
        <v>4.125</v>
      </c>
      <c r="F570" s="39">
        <v>3.27572710904079</v>
      </c>
    </row>
    <row r="571" spans="2:6" x14ac:dyDescent="0.2">
      <c r="B571" s="9" t="s">
        <v>411</v>
      </c>
      <c r="C571" s="19">
        <v>48711</v>
      </c>
      <c r="D571" s="24">
        <v>7.8658453114305269</v>
      </c>
      <c r="E571" s="28">
        <v>104.125</v>
      </c>
      <c r="F571" s="39">
        <v>79.304185684902521</v>
      </c>
    </row>
    <row r="572" spans="2:6" x14ac:dyDescent="0.2">
      <c r="B572" s="9" t="s">
        <v>414</v>
      </c>
      <c r="C572" s="19">
        <v>46157</v>
      </c>
      <c r="D572" s="24">
        <v>0.87337440109514031</v>
      </c>
      <c r="E572" s="28">
        <v>103.875</v>
      </c>
      <c r="F572" s="39">
        <v>101.5115890463215</v>
      </c>
    </row>
    <row r="573" spans="2:6" x14ac:dyDescent="0.2">
      <c r="B573" s="9" t="s">
        <v>417</v>
      </c>
      <c r="C573" s="19">
        <v>46174</v>
      </c>
      <c r="D573" s="24">
        <v>0.91991786447638602</v>
      </c>
      <c r="E573" s="28">
        <v>4.75</v>
      </c>
      <c r="F573" s="39">
        <v>4.6225733822451547</v>
      </c>
    </row>
    <row r="574" spans="2:6" x14ac:dyDescent="0.2">
      <c r="B574" s="9" t="s">
        <v>417</v>
      </c>
      <c r="C574" s="19">
        <v>46539</v>
      </c>
      <c r="D574" s="24">
        <v>1.9192334017796031</v>
      </c>
      <c r="E574" s="28">
        <v>4.75</v>
      </c>
      <c r="F574" s="39">
        <v>4.488019352752513</v>
      </c>
    </row>
    <row r="575" spans="2:6" x14ac:dyDescent="0.2">
      <c r="B575" s="9" t="s">
        <v>417</v>
      </c>
      <c r="C575" s="19">
        <v>46905</v>
      </c>
      <c r="D575" s="24">
        <v>2.9212867898699519</v>
      </c>
      <c r="E575" s="28">
        <v>4.75</v>
      </c>
      <c r="F575" s="39">
        <v>4.3448876666144196</v>
      </c>
    </row>
    <row r="576" spans="2:6" x14ac:dyDescent="0.2">
      <c r="B576" s="9" t="s">
        <v>417</v>
      </c>
      <c r="C576" s="19">
        <v>47270</v>
      </c>
      <c r="D576" s="24">
        <v>3.9206023271731691</v>
      </c>
      <c r="E576" s="28">
        <v>4.75</v>
      </c>
      <c r="F576" s="39">
        <v>4.197305899414828</v>
      </c>
    </row>
    <row r="577" spans="2:6" x14ac:dyDescent="0.2">
      <c r="B577" s="9" t="s">
        <v>417</v>
      </c>
      <c r="C577" s="19">
        <v>47635</v>
      </c>
      <c r="D577" s="24">
        <v>4.9199178644763863</v>
      </c>
      <c r="E577" s="28">
        <v>104.75</v>
      </c>
      <c r="F577" s="39">
        <v>89.232638348973069</v>
      </c>
    </row>
    <row r="578" spans="2:6" x14ac:dyDescent="0.2">
      <c r="B578" s="9" t="s">
        <v>420</v>
      </c>
      <c r="C578" s="19">
        <v>46187</v>
      </c>
      <c r="D578" s="24">
        <v>0.95550992470910334</v>
      </c>
      <c r="E578" s="28">
        <v>4.875</v>
      </c>
      <c r="F578" s="39">
        <v>4.7403423298800318</v>
      </c>
    </row>
    <row r="579" spans="2:6" x14ac:dyDescent="0.2">
      <c r="B579" s="9" t="s">
        <v>420</v>
      </c>
      <c r="C579" s="19">
        <v>46552</v>
      </c>
      <c r="D579" s="24">
        <v>1.95482546201232</v>
      </c>
      <c r="E579" s="28">
        <v>4.875</v>
      </c>
      <c r="F579" s="39">
        <v>4.6034887699511264</v>
      </c>
    </row>
    <row r="580" spans="2:6" x14ac:dyDescent="0.2">
      <c r="B580" s="9" t="s">
        <v>420</v>
      </c>
      <c r="C580" s="19">
        <v>46918</v>
      </c>
      <c r="D580" s="24">
        <v>2.9568788501026688</v>
      </c>
      <c r="E580" s="28">
        <v>4.875</v>
      </c>
      <c r="F580" s="39">
        <v>4.4571323498622206</v>
      </c>
    </row>
    <row r="581" spans="2:6" x14ac:dyDescent="0.2">
      <c r="B581" s="9" t="s">
        <v>420</v>
      </c>
      <c r="C581" s="19">
        <v>47283</v>
      </c>
      <c r="D581" s="24">
        <v>3.956194387405886</v>
      </c>
      <c r="E581" s="28">
        <v>104.875</v>
      </c>
      <c r="F581" s="39">
        <v>92.644447521735216</v>
      </c>
    </row>
    <row r="582" spans="2:6" x14ac:dyDescent="0.2">
      <c r="B582" s="9" t="s">
        <v>423</v>
      </c>
      <c r="C582" s="19">
        <v>45864</v>
      </c>
      <c r="D582" s="24">
        <v>7.1184120465434639E-2</v>
      </c>
      <c r="E582" s="28">
        <v>4.5</v>
      </c>
      <c r="F582" s="39">
        <v>4.4919790004928366</v>
      </c>
    </row>
    <row r="583" spans="2:6" x14ac:dyDescent="0.2">
      <c r="B583" s="9" t="s">
        <v>423</v>
      </c>
      <c r="C583" s="19">
        <v>46229</v>
      </c>
      <c r="D583" s="24">
        <v>1.0704996577686521</v>
      </c>
      <c r="E583" s="28">
        <v>104.5</v>
      </c>
      <c r="F583" s="39">
        <v>101.7336306245072</v>
      </c>
    </row>
    <row r="584" spans="2:6" x14ac:dyDescent="0.2">
      <c r="B584" s="9" t="s">
        <v>426</v>
      </c>
      <c r="C584" s="19">
        <v>45877</v>
      </c>
      <c r="D584" s="24">
        <v>0.10677618069815201</v>
      </c>
      <c r="E584" s="28">
        <v>4.9180000000000001</v>
      </c>
      <c r="F584" s="39">
        <v>4.9017467103651819</v>
      </c>
    </row>
    <row r="585" spans="2:6" x14ac:dyDescent="0.2">
      <c r="B585" s="9" t="s">
        <v>426</v>
      </c>
      <c r="C585" s="19">
        <v>46242</v>
      </c>
      <c r="D585" s="24">
        <v>1.106091718001369</v>
      </c>
      <c r="E585" s="28">
        <v>4.9180000000000001</v>
      </c>
      <c r="F585" s="39">
        <v>4.7522125661925347</v>
      </c>
    </row>
    <row r="586" spans="2:6" x14ac:dyDescent="0.2">
      <c r="B586" s="9" t="s">
        <v>426</v>
      </c>
      <c r="C586" s="19">
        <v>46607</v>
      </c>
      <c r="D586" s="24">
        <v>2.1054072553045859</v>
      </c>
      <c r="E586" s="28">
        <v>4.9180000000000001</v>
      </c>
      <c r="F586" s="39">
        <v>4.6061801192007463</v>
      </c>
    </row>
    <row r="587" spans="2:6" x14ac:dyDescent="0.2">
      <c r="B587" s="9" t="s">
        <v>426</v>
      </c>
      <c r="C587" s="19">
        <v>46973</v>
      </c>
      <c r="D587" s="24">
        <v>3.1074606433949352</v>
      </c>
      <c r="E587" s="28">
        <v>4.9180000000000001</v>
      </c>
      <c r="F587" s="39">
        <v>4.4504026186914833</v>
      </c>
    </row>
    <row r="588" spans="2:6" x14ac:dyDescent="0.2">
      <c r="B588" s="9" t="s">
        <v>426</v>
      </c>
      <c r="C588" s="19">
        <v>47338</v>
      </c>
      <c r="D588" s="24">
        <v>4.1067761806981524</v>
      </c>
      <c r="E588" s="28">
        <v>4.9180000000000001</v>
      </c>
      <c r="F588" s="39">
        <v>4.2913891777196929</v>
      </c>
    </row>
    <row r="589" spans="2:6" x14ac:dyDescent="0.2">
      <c r="B589" s="9" t="s">
        <v>426</v>
      </c>
      <c r="C589" s="19">
        <v>47703</v>
      </c>
      <c r="D589" s="24">
        <v>5.1060917180013687</v>
      </c>
      <c r="E589" s="28">
        <v>104.91800000000001</v>
      </c>
      <c r="F589" s="39">
        <v>88.096031807830371</v>
      </c>
    </row>
    <row r="590" spans="2:6" x14ac:dyDescent="0.2">
      <c r="B590" s="9" t="s">
        <v>429</v>
      </c>
      <c r="C590" s="19">
        <v>45929</v>
      </c>
      <c r="D590" s="24">
        <v>0.2491444216290212</v>
      </c>
      <c r="E590" s="28">
        <v>4.5</v>
      </c>
      <c r="F590" s="39">
        <v>4.4652882021780078</v>
      </c>
    </row>
    <row r="591" spans="2:6" x14ac:dyDescent="0.2">
      <c r="B591" s="9" t="s">
        <v>429</v>
      </c>
      <c r="C591" s="19">
        <v>46294</v>
      </c>
      <c r="D591" s="24">
        <v>1.248459958932238</v>
      </c>
      <c r="E591" s="28">
        <v>4.5</v>
      </c>
      <c r="F591" s="39">
        <v>4.3287296431090034</v>
      </c>
    </row>
    <row r="592" spans="2:6" x14ac:dyDescent="0.2">
      <c r="B592" s="9" t="s">
        <v>429</v>
      </c>
      <c r="C592" s="19">
        <v>46659</v>
      </c>
      <c r="D592" s="24">
        <v>2.2477754962354548</v>
      </c>
      <c r="E592" s="28">
        <v>4.5</v>
      </c>
      <c r="F592" s="39">
        <v>4.1939247592856113</v>
      </c>
    </row>
    <row r="593" spans="2:6" x14ac:dyDescent="0.2">
      <c r="B593" s="9" t="s">
        <v>429</v>
      </c>
      <c r="C593" s="19">
        <v>47025</v>
      </c>
      <c r="D593" s="24">
        <v>3.2498288843258041</v>
      </c>
      <c r="E593" s="28">
        <v>104.5</v>
      </c>
      <c r="F593" s="39">
        <v>94.063297115427375</v>
      </c>
    </row>
    <row r="594" spans="2:6" x14ac:dyDescent="0.2">
      <c r="B594" s="9" t="s">
        <v>432</v>
      </c>
      <c r="C594" s="19">
        <v>46047</v>
      </c>
      <c r="D594" s="24">
        <v>0.57221081451060918</v>
      </c>
      <c r="E594" s="28">
        <v>4.75</v>
      </c>
      <c r="F594" s="39">
        <v>4.681647417220355</v>
      </c>
    </row>
    <row r="595" spans="2:6" x14ac:dyDescent="0.2">
      <c r="B595" s="9" t="s">
        <v>432</v>
      </c>
      <c r="C595" s="19">
        <v>46412</v>
      </c>
      <c r="D595" s="24">
        <v>1.5715263518138261</v>
      </c>
      <c r="E595" s="28">
        <v>104.75</v>
      </c>
      <c r="F595" s="39">
        <v>100.6620169827797</v>
      </c>
    </row>
    <row r="596" spans="2:6" x14ac:dyDescent="0.2">
      <c r="B596" s="9" t="s">
        <v>435</v>
      </c>
      <c r="C596" s="19">
        <v>45977</v>
      </c>
      <c r="D596" s="24">
        <v>0.3805612594113621</v>
      </c>
      <c r="E596" s="28">
        <v>6</v>
      </c>
      <c r="F596" s="39">
        <v>5.9356667369508527</v>
      </c>
    </row>
    <row r="597" spans="2:6" x14ac:dyDescent="0.2">
      <c r="B597" s="9" t="s">
        <v>435</v>
      </c>
      <c r="C597" s="19">
        <v>46342</v>
      </c>
      <c r="D597" s="24">
        <v>1.3798767967145791</v>
      </c>
      <c r="E597" s="28">
        <v>6</v>
      </c>
      <c r="F597" s="39">
        <v>5.7699988701542946</v>
      </c>
    </row>
    <row r="598" spans="2:6" x14ac:dyDescent="0.2">
      <c r="B598" s="9" t="s">
        <v>435</v>
      </c>
      <c r="C598" s="19">
        <v>46707</v>
      </c>
      <c r="D598" s="24">
        <v>2.3791923340177958</v>
      </c>
      <c r="E598" s="28">
        <v>6</v>
      </c>
      <c r="F598" s="39">
        <v>5.6037105464861163</v>
      </c>
    </row>
    <row r="599" spans="2:6" x14ac:dyDescent="0.2">
      <c r="B599" s="9" t="s">
        <v>435</v>
      </c>
      <c r="C599" s="19">
        <v>47073</v>
      </c>
      <c r="D599" s="24">
        <v>3.3812457221081451</v>
      </c>
      <c r="E599" s="28">
        <v>106</v>
      </c>
      <c r="F599" s="39">
        <v>95.853069068630973</v>
      </c>
    </row>
    <row r="600" spans="2:6" x14ac:dyDescent="0.2">
      <c r="B600" s="9" t="s">
        <v>438</v>
      </c>
      <c r="C600" s="19">
        <v>46045</v>
      </c>
      <c r="D600" s="24">
        <v>0.56673511293634493</v>
      </c>
      <c r="E600" s="28">
        <v>4.7469999999999999</v>
      </c>
      <c r="F600" s="39">
        <v>4.6736115030557821</v>
      </c>
    </row>
    <row r="601" spans="2:6" x14ac:dyDescent="0.2">
      <c r="B601" s="9" t="s">
        <v>438</v>
      </c>
      <c r="C601" s="19">
        <v>46410</v>
      </c>
      <c r="D601" s="24">
        <v>1.5660506502395619</v>
      </c>
      <c r="E601" s="28">
        <v>4.7469999999999999</v>
      </c>
      <c r="F601" s="39">
        <v>4.5469598906707578</v>
      </c>
    </row>
    <row r="602" spans="2:6" x14ac:dyDescent="0.2">
      <c r="B602" s="9" t="s">
        <v>438</v>
      </c>
      <c r="C602" s="19">
        <v>46775</v>
      </c>
      <c r="D602" s="24">
        <v>2.5653661875427791</v>
      </c>
      <c r="E602" s="28">
        <v>4.7469999999999999</v>
      </c>
      <c r="F602" s="39">
        <v>4.4170928406376646</v>
      </c>
    </row>
    <row r="603" spans="2:6" x14ac:dyDescent="0.2">
      <c r="B603" s="9" t="s">
        <v>438</v>
      </c>
      <c r="C603" s="19">
        <v>47141</v>
      </c>
      <c r="D603" s="24">
        <v>3.5674195756331279</v>
      </c>
      <c r="E603" s="28">
        <v>4.7469999999999999</v>
      </c>
      <c r="F603" s="39">
        <v>4.2786574197280371</v>
      </c>
    </row>
    <row r="604" spans="2:6" x14ac:dyDescent="0.2">
      <c r="B604" s="9" t="s">
        <v>438</v>
      </c>
      <c r="C604" s="19">
        <v>47506</v>
      </c>
      <c r="D604" s="24">
        <v>4.5667351129363452</v>
      </c>
      <c r="E604" s="28">
        <v>104.747</v>
      </c>
      <c r="F604" s="39">
        <v>91.27209889590776</v>
      </c>
    </row>
    <row r="605" spans="2:6" x14ac:dyDescent="0.2">
      <c r="B605" s="9" t="s">
        <v>441</v>
      </c>
      <c r="C605" s="19">
        <v>46045</v>
      </c>
      <c r="D605" s="24">
        <v>0.56673511293634493</v>
      </c>
      <c r="E605" s="28">
        <v>4.125</v>
      </c>
      <c r="F605" s="39">
        <v>4.0590215057240648</v>
      </c>
    </row>
    <row r="606" spans="2:6" x14ac:dyDescent="0.2">
      <c r="B606" s="9" t="s">
        <v>441</v>
      </c>
      <c r="C606" s="19">
        <v>46410</v>
      </c>
      <c r="D606" s="24">
        <v>1.5660506502395619</v>
      </c>
      <c r="E606" s="28">
        <v>4.125</v>
      </c>
      <c r="F606" s="39">
        <v>3.9452431243331398</v>
      </c>
    </row>
    <row r="607" spans="2:6" x14ac:dyDescent="0.2">
      <c r="B607" s="9" t="s">
        <v>441</v>
      </c>
      <c r="C607" s="19">
        <v>46775</v>
      </c>
      <c r="D607" s="24">
        <v>2.5653661875427791</v>
      </c>
      <c r="E607" s="28">
        <v>4.125</v>
      </c>
      <c r="F607" s="39">
        <v>3.8288916825211992</v>
      </c>
    </row>
    <row r="608" spans="2:6" x14ac:dyDescent="0.2">
      <c r="B608" s="9" t="s">
        <v>441</v>
      </c>
      <c r="C608" s="19">
        <v>47141</v>
      </c>
      <c r="D608" s="24">
        <v>3.5674195756331279</v>
      </c>
      <c r="E608" s="28">
        <v>4.125</v>
      </c>
      <c r="F608" s="39">
        <v>3.7053294881591738</v>
      </c>
    </row>
    <row r="609" spans="2:6" x14ac:dyDescent="0.2">
      <c r="B609" s="9" t="s">
        <v>441</v>
      </c>
      <c r="C609" s="19">
        <v>47506</v>
      </c>
      <c r="D609" s="24">
        <v>4.5667351129363452</v>
      </c>
      <c r="E609" s="28">
        <v>104.125</v>
      </c>
      <c r="F609" s="39">
        <v>90.333733430031657</v>
      </c>
    </row>
    <row r="610" spans="2:6" x14ac:dyDescent="0.2">
      <c r="B610" s="9" t="s">
        <v>444</v>
      </c>
      <c r="C610" s="19">
        <v>46046</v>
      </c>
      <c r="D610" s="24">
        <v>0.56947296372347711</v>
      </c>
      <c r="E610" s="28">
        <v>3.875</v>
      </c>
      <c r="F610" s="39">
        <v>3.8103254006990919</v>
      </c>
    </row>
    <row r="611" spans="2:6" x14ac:dyDescent="0.2">
      <c r="B611" s="9" t="s">
        <v>444</v>
      </c>
      <c r="C611" s="19">
        <v>46411</v>
      </c>
      <c r="D611" s="24">
        <v>1.568788501026694</v>
      </c>
      <c r="E611" s="28">
        <v>3.875</v>
      </c>
      <c r="F611" s="39">
        <v>3.6994320240618879</v>
      </c>
    </row>
    <row r="612" spans="2:6" x14ac:dyDescent="0.2">
      <c r="B612" s="9" t="s">
        <v>444</v>
      </c>
      <c r="C612" s="19">
        <v>46776</v>
      </c>
      <c r="D612" s="24">
        <v>2.5681040383299112</v>
      </c>
      <c r="E612" s="28">
        <v>3.875</v>
      </c>
      <c r="F612" s="39">
        <v>3.5863367287822241</v>
      </c>
    </row>
    <row r="613" spans="2:6" x14ac:dyDescent="0.2">
      <c r="B613" s="9" t="s">
        <v>444</v>
      </c>
      <c r="C613" s="19">
        <v>47142</v>
      </c>
      <c r="D613" s="24">
        <v>3.57015742642026</v>
      </c>
      <c r="E613" s="28">
        <v>3.875</v>
      </c>
      <c r="F613" s="39">
        <v>3.4667426090549318</v>
      </c>
    </row>
    <row r="614" spans="2:6" x14ac:dyDescent="0.2">
      <c r="B614" s="9" t="s">
        <v>444</v>
      </c>
      <c r="C614" s="19">
        <v>47507</v>
      </c>
      <c r="D614" s="24">
        <v>4.5694729637234772</v>
      </c>
      <c r="E614" s="28">
        <v>3.875</v>
      </c>
      <c r="F614" s="39">
        <v>3.344504358505437</v>
      </c>
    </row>
    <row r="615" spans="2:6" x14ac:dyDescent="0.2">
      <c r="B615" s="9" t="s">
        <v>444</v>
      </c>
      <c r="C615" s="19">
        <v>47872</v>
      </c>
      <c r="D615" s="24">
        <v>5.5687885010266944</v>
      </c>
      <c r="E615" s="28">
        <v>3.875</v>
      </c>
      <c r="F615" s="39">
        <v>3.2198035454554228</v>
      </c>
    </row>
    <row r="616" spans="2:6" x14ac:dyDescent="0.2">
      <c r="B616" s="9" t="s">
        <v>444</v>
      </c>
      <c r="C616" s="19">
        <v>48237</v>
      </c>
      <c r="D616" s="24">
        <v>6.5681040383299107</v>
      </c>
      <c r="E616" s="28">
        <v>3.875</v>
      </c>
      <c r="F616" s="39">
        <v>3.0932221070132031</v>
      </c>
    </row>
    <row r="617" spans="2:6" x14ac:dyDescent="0.2">
      <c r="B617" s="9" t="s">
        <v>444</v>
      </c>
      <c r="C617" s="19">
        <v>48603</v>
      </c>
      <c r="D617" s="24">
        <v>7.57015742642026</v>
      </c>
      <c r="E617" s="28">
        <v>3.875</v>
      </c>
      <c r="F617" s="39">
        <v>2.9650614016320538</v>
      </c>
    </row>
    <row r="618" spans="2:6" x14ac:dyDescent="0.2">
      <c r="B618" s="9" t="s">
        <v>444</v>
      </c>
      <c r="C618" s="19">
        <v>48968</v>
      </c>
      <c r="D618" s="24">
        <v>8.5694729637234772</v>
      </c>
      <c r="E618" s="28">
        <v>103.875</v>
      </c>
      <c r="F618" s="39">
        <v>76.039085497718006</v>
      </c>
    </row>
    <row r="619" spans="2:6" x14ac:dyDescent="0.2">
      <c r="B619" s="9" t="s">
        <v>447</v>
      </c>
      <c r="C619" s="19">
        <v>45863</v>
      </c>
      <c r="D619" s="24">
        <v>6.8446269678302529E-2</v>
      </c>
      <c r="E619" s="28">
        <v>4.625</v>
      </c>
      <c r="F619" s="39">
        <v>4.6152965166688897</v>
      </c>
    </row>
    <row r="620" spans="2:6" x14ac:dyDescent="0.2">
      <c r="B620" s="9" t="s">
        <v>447</v>
      </c>
      <c r="C620" s="19">
        <v>46228</v>
      </c>
      <c r="D620" s="24">
        <v>1.06776180698152</v>
      </c>
      <c r="E620" s="28">
        <v>4.625</v>
      </c>
      <c r="F620" s="39">
        <v>4.4759221685596344</v>
      </c>
    </row>
    <row r="621" spans="2:6" x14ac:dyDescent="0.2">
      <c r="B621" s="9" t="s">
        <v>447</v>
      </c>
      <c r="C621" s="19">
        <v>46593</v>
      </c>
      <c r="D621" s="24">
        <v>2.067077344284737</v>
      </c>
      <c r="E621" s="28">
        <v>4.625</v>
      </c>
      <c r="F621" s="39">
        <v>4.340132688431912</v>
      </c>
    </row>
    <row r="622" spans="2:6" x14ac:dyDescent="0.2">
      <c r="B622" s="9" t="s">
        <v>447</v>
      </c>
      <c r="C622" s="19">
        <v>46959</v>
      </c>
      <c r="D622" s="24">
        <v>3.0691307323750849</v>
      </c>
      <c r="E622" s="28">
        <v>104.625</v>
      </c>
      <c r="F622" s="39">
        <v>94.898210210498007</v>
      </c>
    </row>
    <row r="623" spans="2:6" x14ac:dyDescent="0.2">
      <c r="B623" s="9" t="s">
        <v>449</v>
      </c>
      <c r="C623" s="19">
        <v>46180</v>
      </c>
      <c r="D623" s="24">
        <v>0.93634496919917864</v>
      </c>
      <c r="E623" s="28">
        <v>4</v>
      </c>
      <c r="F623" s="39">
        <v>3.8889348156182502</v>
      </c>
    </row>
    <row r="624" spans="2:6" x14ac:dyDescent="0.2">
      <c r="B624" s="9" t="s">
        <v>449</v>
      </c>
      <c r="C624" s="19">
        <v>46545</v>
      </c>
      <c r="D624" s="24">
        <v>1.935660506502396</v>
      </c>
      <c r="E624" s="28">
        <v>4</v>
      </c>
      <c r="F624" s="39">
        <v>3.7738001384675539</v>
      </c>
    </row>
    <row r="625" spans="2:6" x14ac:dyDescent="0.2">
      <c r="B625" s="9" t="s">
        <v>449</v>
      </c>
      <c r="C625" s="19">
        <v>46911</v>
      </c>
      <c r="D625" s="24">
        <v>2.9377138945927448</v>
      </c>
      <c r="E625" s="28">
        <v>4</v>
      </c>
      <c r="F625" s="39">
        <v>3.6513284187024948</v>
      </c>
    </row>
    <row r="626" spans="2:6" x14ac:dyDescent="0.2">
      <c r="B626" s="9" t="s">
        <v>449</v>
      </c>
      <c r="C626" s="19">
        <v>47276</v>
      </c>
      <c r="D626" s="24">
        <v>3.937029431895962</v>
      </c>
      <c r="E626" s="28">
        <v>4</v>
      </c>
      <c r="F626" s="39">
        <v>3.5253765199231948</v>
      </c>
    </row>
    <row r="627" spans="2:6" x14ac:dyDescent="0.2">
      <c r="B627" s="9" t="s">
        <v>449</v>
      </c>
      <c r="C627" s="19">
        <v>47641</v>
      </c>
      <c r="D627" s="24">
        <v>4.9363449691991788</v>
      </c>
      <c r="E627" s="28">
        <v>4</v>
      </c>
      <c r="F627" s="39">
        <v>3.3967277489489258</v>
      </c>
    </row>
    <row r="628" spans="2:6" x14ac:dyDescent="0.2">
      <c r="B628" s="9" t="s">
        <v>449</v>
      </c>
      <c r="C628" s="19">
        <v>48006</v>
      </c>
      <c r="D628" s="24">
        <v>5.935660506502396</v>
      </c>
      <c r="E628" s="28">
        <v>4</v>
      </c>
      <c r="F628" s="39">
        <v>3.265829294680779</v>
      </c>
    </row>
    <row r="629" spans="2:6" x14ac:dyDescent="0.2">
      <c r="B629" s="9" t="s">
        <v>449</v>
      </c>
      <c r="C629" s="19">
        <v>48372</v>
      </c>
      <c r="D629" s="24">
        <v>6.9377138945927443</v>
      </c>
      <c r="E629" s="28">
        <v>4</v>
      </c>
      <c r="F629" s="39">
        <v>3.133045679503331</v>
      </c>
    </row>
    <row r="630" spans="2:6" x14ac:dyDescent="0.2">
      <c r="B630" s="9" t="s">
        <v>449</v>
      </c>
      <c r="C630" s="19">
        <v>48737</v>
      </c>
      <c r="D630" s="24">
        <v>7.9370294318959624</v>
      </c>
      <c r="E630" s="28">
        <v>4</v>
      </c>
      <c r="F630" s="39">
        <v>2.9997170611696911</v>
      </c>
    </row>
    <row r="631" spans="2:6" x14ac:dyDescent="0.2">
      <c r="B631" s="9" t="s">
        <v>449</v>
      </c>
      <c r="C631" s="19">
        <v>49102</v>
      </c>
      <c r="D631" s="24">
        <v>8.9363449691991779</v>
      </c>
      <c r="E631" s="28">
        <v>104</v>
      </c>
      <c r="F631" s="39">
        <v>74.517712928619602</v>
      </c>
    </row>
    <row r="632" spans="2:6" x14ac:dyDescent="0.2">
      <c r="B632" s="9" t="s">
        <v>452</v>
      </c>
      <c r="C632" s="19">
        <v>46082</v>
      </c>
      <c r="D632" s="24">
        <v>0.66803559206023266</v>
      </c>
      <c r="E632" s="28">
        <v>3.75</v>
      </c>
      <c r="F632" s="39">
        <v>3.676596519553629</v>
      </c>
    </row>
    <row r="633" spans="2:6" x14ac:dyDescent="0.2">
      <c r="B633" s="9" t="s">
        <v>452</v>
      </c>
      <c r="C633" s="19">
        <v>46447</v>
      </c>
      <c r="D633" s="24">
        <v>1.66735112936345</v>
      </c>
      <c r="E633" s="28">
        <v>3.75</v>
      </c>
      <c r="F633" s="39">
        <v>3.569465702766526</v>
      </c>
    </row>
    <row r="634" spans="2:6" x14ac:dyDescent="0.2">
      <c r="B634" s="9" t="s">
        <v>452</v>
      </c>
      <c r="C634" s="19">
        <v>46813</v>
      </c>
      <c r="D634" s="24">
        <v>2.669404517453799</v>
      </c>
      <c r="E634" s="28">
        <v>3.75</v>
      </c>
      <c r="F634" s="39">
        <v>3.458761475819542</v>
      </c>
    </row>
    <row r="635" spans="2:6" x14ac:dyDescent="0.2">
      <c r="B635" s="9" t="s">
        <v>452</v>
      </c>
      <c r="C635" s="19">
        <v>47178</v>
      </c>
      <c r="D635" s="24">
        <v>3.6687200547570158</v>
      </c>
      <c r="E635" s="28">
        <v>3.75</v>
      </c>
      <c r="F635" s="39">
        <v>3.342917893280851</v>
      </c>
    </row>
    <row r="636" spans="2:6" x14ac:dyDescent="0.2">
      <c r="B636" s="9" t="s">
        <v>452</v>
      </c>
      <c r="C636" s="19">
        <v>47543</v>
      </c>
      <c r="D636" s="24">
        <v>4.6680355920602334</v>
      </c>
      <c r="E636" s="28">
        <v>3.75</v>
      </c>
      <c r="F636" s="39">
        <v>3.2242701880130662</v>
      </c>
    </row>
    <row r="637" spans="2:6" x14ac:dyDescent="0.2">
      <c r="B637" s="9" t="s">
        <v>452</v>
      </c>
      <c r="C637" s="19">
        <v>47908</v>
      </c>
      <c r="D637" s="24">
        <v>5.6673511293634498</v>
      </c>
      <c r="E637" s="28">
        <v>3.75</v>
      </c>
      <c r="F637" s="39">
        <v>3.103287613217208</v>
      </c>
    </row>
    <row r="638" spans="2:6" x14ac:dyDescent="0.2">
      <c r="B638" s="9" t="s">
        <v>452</v>
      </c>
      <c r="C638" s="19">
        <v>48274</v>
      </c>
      <c r="D638" s="24">
        <v>6.669404517453799</v>
      </c>
      <c r="E638" s="28">
        <v>3.75</v>
      </c>
      <c r="F638" s="39">
        <v>2.9802262299622599</v>
      </c>
    </row>
    <row r="639" spans="2:6" x14ac:dyDescent="0.2">
      <c r="B639" s="9" t="s">
        <v>452</v>
      </c>
      <c r="C639" s="19">
        <v>48639</v>
      </c>
      <c r="D639" s="24">
        <v>7.6687200547570153</v>
      </c>
      <c r="E639" s="28">
        <v>3.75</v>
      </c>
      <c r="F639" s="39">
        <v>2.8563769317833869</v>
      </c>
    </row>
    <row r="640" spans="2:6" x14ac:dyDescent="0.2">
      <c r="B640" s="9" t="s">
        <v>452</v>
      </c>
      <c r="C640" s="19">
        <v>49004</v>
      </c>
      <c r="D640" s="24">
        <v>8.6680355920602334</v>
      </c>
      <c r="E640" s="28">
        <v>3.75</v>
      </c>
      <c r="F640" s="39">
        <v>2.7319585828972781</v>
      </c>
    </row>
    <row r="641" spans="2:6" x14ac:dyDescent="0.2">
      <c r="B641" s="9" t="s">
        <v>452</v>
      </c>
      <c r="C641" s="19">
        <v>49369</v>
      </c>
      <c r="D641" s="24">
        <v>9.6673511293634498</v>
      </c>
      <c r="E641" s="28">
        <v>3.75</v>
      </c>
      <c r="F641" s="39">
        <v>2.607504189170379</v>
      </c>
    </row>
    <row r="642" spans="2:6" x14ac:dyDescent="0.2">
      <c r="B642" s="9" t="s">
        <v>452</v>
      </c>
      <c r="C642" s="19">
        <v>49735</v>
      </c>
      <c r="D642" s="24">
        <v>10.669404517453801</v>
      </c>
      <c r="E642" s="28">
        <v>103.75</v>
      </c>
      <c r="F642" s="39">
        <v>69.216833273535869</v>
      </c>
    </row>
    <row r="643" spans="2:6" x14ac:dyDescent="0.2">
      <c r="B643" s="9" t="s">
        <v>454</v>
      </c>
      <c r="C643" s="19">
        <v>46089</v>
      </c>
      <c r="D643" s="24">
        <v>0.68720054757015747</v>
      </c>
      <c r="E643" s="28">
        <v>6.5</v>
      </c>
      <c r="F643" s="39">
        <v>6.3242256160700734</v>
      </c>
    </row>
    <row r="644" spans="2:6" x14ac:dyDescent="0.2">
      <c r="B644" s="9" t="s">
        <v>454</v>
      </c>
      <c r="C644" s="19">
        <v>46454</v>
      </c>
      <c r="D644" s="24">
        <v>1.686516084873374</v>
      </c>
      <c r="E644" s="28">
        <v>6.5</v>
      </c>
      <c r="F644" s="39">
        <v>6.0770645093494959</v>
      </c>
    </row>
    <row r="645" spans="2:6" x14ac:dyDescent="0.2">
      <c r="B645" s="9" t="s">
        <v>454</v>
      </c>
      <c r="C645" s="19">
        <v>46820</v>
      </c>
      <c r="D645" s="24">
        <v>2.6885694729637239</v>
      </c>
      <c r="E645" s="28">
        <v>6.5</v>
      </c>
      <c r="F645" s="39">
        <v>5.8277279235468091</v>
      </c>
    </row>
    <row r="646" spans="2:6" x14ac:dyDescent="0.2">
      <c r="B646" s="9" t="s">
        <v>454</v>
      </c>
      <c r="C646" s="19">
        <v>47185</v>
      </c>
      <c r="D646" s="24">
        <v>3.6878850102669398</v>
      </c>
      <c r="E646" s="28">
        <v>106.5</v>
      </c>
      <c r="F646" s="39">
        <v>91.338235451033611</v>
      </c>
    </row>
    <row r="647" spans="2:6" x14ac:dyDescent="0.2">
      <c r="B647" s="9" t="s">
        <v>456</v>
      </c>
      <c r="C647" s="19">
        <v>46093</v>
      </c>
      <c r="D647" s="24">
        <v>0.69815195071868585</v>
      </c>
      <c r="E647" s="28">
        <v>3.7130000000000001</v>
      </c>
      <c r="F647" s="39">
        <v>3.639393793642129</v>
      </c>
    </row>
    <row r="648" spans="2:6" x14ac:dyDescent="0.2">
      <c r="B648" s="9" t="s">
        <v>456</v>
      </c>
      <c r="C648" s="19">
        <v>46458</v>
      </c>
      <c r="D648" s="24">
        <v>1.6974674880219029</v>
      </c>
      <c r="E648" s="28">
        <v>3.7130000000000001</v>
      </c>
      <c r="F648" s="39">
        <v>3.5365677223624248</v>
      </c>
    </row>
    <row r="649" spans="2:6" x14ac:dyDescent="0.2">
      <c r="B649" s="9" t="s">
        <v>456</v>
      </c>
      <c r="C649" s="19">
        <v>46824</v>
      </c>
      <c r="D649" s="24">
        <v>2.6995208761122522</v>
      </c>
      <c r="E649" s="28">
        <v>3.7130000000000001</v>
      </c>
      <c r="F649" s="39">
        <v>3.4296552106954619</v>
      </c>
    </row>
    <row r="650" spans="2:6" x14ac:dyDescent="0.2">
      <c r="B650" s="9" t="s">
        <v>456</v>
      </c>
      <c r="C650" s="19">
        <v>47189</v>
      </c>
      <c r="D650" s="24">
        <v>3.698836413415469</v>
      </c>
      <c r="E650" s="28">
        <v>3.7130000000000001</v>
      </c>
      <c r="F650" s="39">
        <v>3.3176009072412742</v>
      </c>
    </row>
    <row r="651" spans="2:6" x14ac:dyDescent="0.2">
      <c r="B651" s="9" t="s">
        <v>456</v>
      </c>
      <c r="C651" s="19">
        <v>47554</v>
      </c>
      <c r="D651" s="24">
        <v>4.6981519507186862</v>
      </c>
      <c r="E651" s="28">
        <v>3.7130000000000001</v>
      </c>
      <c r="F651" s="39">
        <v>3.2025686022960769</v>
      </c>
    </row>
    <row r="652" spans="2:6" x14ac:dyDescent="0.2">
      <c r="B652" s="9" t="s">
        <v>456</v>
      </c>
      <c r="C652" s="19">
        <v>47919</v>
      </c>
      <c r="D652" s="24">
        <v>5.6974674880219034</v>
      </c>
      <c r="E652" s="28">
        <v>3.7130000000000001</v>
      </c>
      <c r="F652" s="39">
        <v>3.085011779079915</v>
      </c>
    </row>
    <row r="653" spans="2:6" x14ac:dyDescent="0.2">
      <c r="B653" s="9" t="s">
        <v>456</v>
      </c>
      <c r="C653" s="19">
        <v>48285</v>
      </c>
      <c r="D653" s="24">
        <v>6.6995208761122518</v>
      </c>
      <c r="E653" s="28">
        <v>103.71299999999999</v>
      </c>
      <c r="F653" s="39">
        <v>82.825033496619071</v>
      </c>
    </row>
    <row r="654" spans="2:6" x14ac:dyDescent="0.2">
      <c r="B654" s="9" t="s">
        <v>459</v>
      </c>
      <c r="C654" s="19">
        <v>46127</v>
      </c>
      <c r="D654" s="24">
        <v>0.79123887748117727</v>
      </c>
      <c r="E654" s="28">
        <v>6.375</v>
      </c>
      <c r="F654" s="39">
        <v>6.1216590210325519</v>
      </c>
    </row>
    <row r="655" spans="2:6" x14ac:dyDescent="0.2">
      <c r="B655" s="9" t="s">
        <v>459</v>
      </c>
      <c r="C655" s="19">
        <v>46492</v>
      </c>
      <c r="D655" s="24">
        <v>1.7905544147843939</v>
      </c>
      <c r="E655" s="28">
        <v>6.375</v>
      </c>
      <c r="F655" s="39">
        <v>5.816032189035405</v>
      </c>
    </row>
    <row r="656" spans="2:6" x14ac:dyDescent="0.2">
      <c r="B656" s="9" t="s">
        <v>459</v>
      </c>
      <c r="C656" s="19">
        <v>46858</v>
      </c>
      <c r="D656" s="24">
        <v>2.792607802874743</v>
      </c>
      <c r="E656" s="28">
        <v>6.375</v>
      </c>
      <c r="F656" s="39">
        <v>5.5122233155451337</v>
      </c>
    </row>
    <row r="657" spans="2:6" x14ac:dyDescent="0.2">
      <c r="B657" s="9" t="s">
        <v>459</v>
      </c>
      <c r="C657" s="19">
        <v>47223</v>
      </c>
      <c r="D657" s="24">
        <v>3.7919233401779602</v>
      </c>
      <c r="E657" s="28">
        <v>6.375</v>
      </c>
      <c r="F657" s="39">
        <v>5.2122044470112021</v>
      </c>
    </row>
    <row r="658" spans="2:6" x14ac:dyDescent="0.2">
      <c r="B658" s="9" t="s">
        <v>459</v>
      </c>
      <c r="C658" s="19">
        <v>47588</v>
      </c>
      <c r="D658" s="24">
        <v>4.7912388774811774</v>
      </c>
      <c r="E658" s="28">
        <v>106.375</v>
      </c>
      <c r="F658" s="39">
        <v>82.068422627375696</v>
      </c>
    </row>
    <row r="659" spans="2:6" x14ac:dyDescent="0.2">
      <c r="B659" s="9" t="s">
        <v>462</v>
      </c>
      <c r="C659" s="19">
        <v>46141</v>
      </c>
      <c r="D659" s="24">
        <v>0.82956878850102667</v>
      </c>
      <c r="E659" s="28">
        <v>5</v>
      </c>
      <c r="F659" s="39">
        <v>4.8534851774762409</v>
      </c>
    </row>
    <row r="660" spans="2:6" x14ac:dyDescent="0.2">
      <c r="B660" s="9" t="s">
        <v>462</v>
      </c>
      <c r="C660" s="19">
        <v>46506</v>
      </c>
      <c r="D660" s="24">
        <v>1.828884325804244</v>
      </c>
      <c r="E660" s="28">
        <v>5</v>
      </c>
      <c r="F660" s="39">
        <v>4.6826799124349421</v>
      </c>
    </row>
    <row r="661" spans="2:6" x14ac:dyDescent="0.2">
      <c r="B661" s="9" t="s">
        <v>462</v>
      </c>
      <c r="C661" s="19">
        <v>46872</v>
      </c>
      <c r="D661" s="24">
        <v>2.8309377138945928</v>
      </c>
      <c r="E661" s="28">
        <v>5</v>
      </c>
      <c r="F661" s="39">
        <v>4.5064373753287139</v>
      </c>
    </row>
    <row r="662" spans="2:6" x14ac:dyDescent="0.2">
      <c r="B662" s="9" t="s">
        <v>462</v>
      </c>
      <c r="C662" s="19">
        <v>47237</v>
      </c>
      <c r="D662" s="24">
        <v>3.83025325119781</v>
      </c>
      <c r="E662" s="28">
        <v>105</v>
      </c>
      <c r="F662" s="39">
        <v>90.864841979204542</v>
      </c>
    </row>
    <row r="663" spans="2:6" x14ac:dyDescent="0.2">
      <c r="B663" s="9" t="s">
        <v>465</v>
      </c>
      <c r="C663" s="19">
        <v>45871</v>
      </c>
      <c r="D663" s="24">
        <v>9.034907597535935E-2</v>
      </c>
      <c r="E663" s="28">
        <v>5.1859999999999999</v>
      </c>
      <c r="F663" s="39">
        <v>5.1690230444577736</v>
      </c>
    </row>
    <row r="664" spans="2:6" x14ac:dyDescent="0.2">
      <c r="B664" s="9" t="s">
        <v>465</v>
      </c>
      <c r="C664" s="19">
        <v>46236</v>
      </c>
      <c r="D664" s="24">
        <v>1.0896646132785761</v>
      </c>
      <c r="E664" s="28">
        <v>5.1859999999999999</v>
      </c>
      <c r="F664" s="39">
        <v>4.9849140841599144</v>
      </c>
    </row>
    <row r="665" spans="2:6" x14ac:dyDescent="0.2">
      <c r="B665" s="9" t="s">
        <v>465</v>
      </c>
      <c r="C665" s="19">
        <v>46601</v>
      </c>
      <c r="D665" s="24">
        <v>2.0889801505817931</v>
      </c>
      <c r="E665" s="28">
        <v>5.1859999999999999</v>
      </c>
      <c r="F665" s="39">
        <v>4.8064362341082827</v>
      </c>
    </row>
    <row r="666" spans="2:6" x14ac:dyDescent="0.2">
      <c r="B666" s="9" t="s">
        <v>465</v>
      </c>
      <c r="C666" s="19">
        <v>46967</v>
      </c>
      <c r="D666" s="24">
        <v>3.0910335386721419</v>
      </c>
      <c r="E666" s="28">
        <v>5.1859999999999999</v>
      </c>
      <c r="F666" s="39">
        <v>4.6194931011154692</v>
      </c>
    </row>
    <row r="667" spans="2:6" x14ac:dyDescent="0.2">
      <c r="B667" s="9" t="s">
        <v>465</v>
      </c>
      <c r="C667" s="19">
        <v>47332</v>
      </c>
      <c r="D667" s="24">
        <v>4.0903490759753591</v>
      </c>
      <c r="E667" s="28">
        <v>105.18600000000001</v>
      </c>
      <c r="F667" s="39">
        <v>89.87467872724136</v>
      </c>
    </row>
    <row r="668" spans="2:6" x14ac:dyDescent="0.2">
      <c r="B668" s="9" t="s">
        <v>468</v>
      </c>
      <c r="C668" s="19">
        <v>46149</v>
      </c>
      <c r="D668" s="24">
        <v>0.85147159479808354</v>
      </c>
      <c r="E668" s="28">
        <v>7</v>
      </c>
      <c r="F668" s="39">
        <v>6.7319905193689866</v>
      </c>
    </row>
    <row r="669" spans="2:6" x14ac:dyDescent="0.2">
      <c r="B669" s="9" t="s">
        <v>468</v>
      </c>
      <c r="C669" s="19">
        <v>46514</v>
      </c>
      <c r="D669" s="24">
        <v>1.850787132101301</v>
      </c>
      <c r="E669" s="28">
        <v>7</v>
      </c>
      <c r="F669" s="39">
        <v>6.4305049296884942</v>
      </c>
    </row>
    <row r="670" spans="2:6" x14ac:dyDescent="0.2">
      <c r="B670" s="9" t="s">
        <v>468</v>
      </c>
      <c r="C670" s="19">
        <v>46880</v>
      </c>
      <c r="D670" s="24">
        <v>2.8528405201916489</v>
      </c>
      <c r="E670" s="28">
        <v>7</v>
      </c>
      <c r="F670" s="39">
        <v>6.12627569919115</v>
      </c>
    </row>
    <row r="671" spans="2:6" x14ac:dyDescent="0.2">
      <c r="B671" s="9" t="s">
        <v>468</v>
      </c>
      <c r="C671" s="19">
        <v>47245</v>
      </c>
      <c r="D671" s="24">
        <v>3.852156057494867</v>
      </c>
      <c r="E671" s="28">
        <v>107</v>
      </c>
      <c r="F671" s="39">
        <v>89.015701451751369</v>
      </c>
    </row>
    <row r="672" spans="2:6" x14ac:dyDescent="0.2">
      <c r="B672" s="9" t="s">
        <v>471</v>
      </c>
      <c r="C672" s="19">
        <v>45848</v>
      </c>
      <c r="D672" s="24">
        <v>2.7378507871321012E-2</v>
      </c>
      <c r="E672" s="28">
        <v>4</v>
      </c>
      <c r="F672" s="39">
        <v>3.996632195334513</v>
      </c>
    </row>
    <row r="673" spans="2:6" x14ac:dyDescent="0.2">
      <c r="B673" s="9" t="s">
        <v>471</v>
      </c>
      <c r="C673" s="19">
        <v>46213</v>
      </c>
      <c r="D673" s="24">
        <v>1.0266940451745381</v>
      </c>
      <c r="E673" s="28">
        <v>4</v>
      </c>
      <c r="F673" s="39">
        <v>3.875628694482228</v>
      </c>
    </row>
    <row r="674" spans="2:6" x14ac:dyDescent="0.2">
      <c r="B674" s="9" t="s">
        <v>471</v>
      </c>
      <c r="C674" s="19">
        <v>46578</v>
      </c>
      <c r="D674" s="24">
        <v>2.0260095824777551</v>
      </c>
      <c r="E674" s="28">
        <v>4</v>
      </c>
      <c r="F674" s="39">
        <v>3.7580833986954771</v>
      </c>
    </row>
    <row r="675" spans="2:6" x14ac:dyDescent="0.2">
      <c r="B675" s="9" t="s">
        <v>471</v>
      </c>
      <c r="C675" s="19">
        <v>46944</v>
      </c>
      <c r="D675" s="24">
        <v>3.0280629705681039</v>
      </c>
      <c r="E675" s="28">
        <v>4</v>
      </c>
      <c r="F675" s="39">
        <v>3.6324506507347389</v>
      </c>
    </row>
    <row r="676" spans="2:6" x14ac:dyDescent="0.2">
      <c r="B676" s="9" t="s">
        <v>471</v>
      </c>
      <c r="C676" s="19">
        <v>47309</v>
      </c>
      <c r="D676" s="24">
        <v>4.0273785078713207</v>
      </c>
      <c r="E676" s="28">
        <v>4</v>
      </c>
      <c r="F676" s="39">
        <v>3.5040699507811519</v>
      </c>
    </row>
    <row r="677" spans="2:6" x14ac:dyDescent="0.2">
      <c r="B677" s="9" t="s">
        <v>471</v>
      </c>
      <c r="C677" s="19">
        <v>47674</v>
      </c>
      <c r="D677" s="24">
        <v>5.0266940451745379</v>
      </c>
      <c r="E677" s="28">
        <v>104</v>
      </c>
      <c r="F677" s="39">
        <v>87.703963927176204</v>
      </c>
    </row>
    <row r="678" spans="2:6" x14ac:dyDescent="0.2">
      <c r="B678" s="9" t="s">
        <v>474</v>
      </c>
      <c r="C678" s="19">
        <v>46163</v>
      </c>
      <c r="D678" s="24">
        <v>0.88980150581793294</v>
      </c>
      <c r="E678" s="28">
        <v>3.802</v>
      </c>
      <c r="F678" s="39">
        <v>3.7062642917707889</v>
      </c>
    </row>
    <row r="679" spans="2:6" x14ac:dyDescent="0.2">
      <c r="B679" s="9" t="s">
        <v>474</v>
      </c>
      <c r="C679" s="19">
        <v>46528</v>
      </c>
      <c r="D679" s="24">
        <v>1.8891170431211499</v>
      </c>
      <c r="E679" s="28">
        <v>3.802</v>
      </c>
      <c r="F679" s="39">
        <v>3.6016167037616671</v>
      </c>
    </row>
    <row r="680" spans="2:6" x14ac:dyDescent="0.2">
      <c r="B680" s="9" t="s">
        <v>474</v>
      </c>
      <c r="C680" s="19">
        <v>46894</v>
      </c>
      <c r="D680" s="24">
        <v>2.8911704312114992</v>
      </c>
      <c r="E680" s="28">
        <v>3.802</v>
      </c>
      <c r="F680" s="39">
        <v>3.4903123593863352</v>
      </c>
    </row>
    <row r="681" spans="2:6" x14ac:dyDescent="0.2">
      <c r="B681" s="9" t="s">
        <v>474</v>
      </c>
      <c r="C681" s="19">
        <v>47259</v>
      </c>
      <c r="D681" s="24">
        <v>3.890485968514716</v>
      </c>
      <c r="E681" s="28">
        <v>3.802</v>
      </c>
      <c r="F681" s="39">
        <v>3.374999155436488</v>
      </c>
    </row>
    <row r="682" spans="2:6" x14ac:dyDescent="0.2">
      <c r="B682" s="9" t="s">
        <v>474</v>
      </c>
      <c r="C682" s="19">
        <v>47624</v>
      </c>
      <c r="D682" s="24">
        <v>4.8898015058179327</v>
      </c>
      <c r="E682" s="28">
        <v>3.802</v>
      </c>
      <c r="F682" s="39">
        <v>3.2567443097536359</v>
      </c>
    </row>
    <row r="683" spans="2:6" x14ac:dyDescent="0.2">
      <c r="B683" s="9" t="s">
        <v>474</v>
      </c>
      <c r="C683" s="19">
        <v>47989</v>
      </c>
      <c r="D683" s="24">
        <v>5.8891170431211499</v>
      </c>
      <c r="E683" s="28">
        <v>3.802</v>
      </c>
      <c r="F683" s="39">
        <v>3.1359742584637722</v>
      </c>
    </row>
    <row r="684" spans="2:6" x14ac:dyDescent="0.2">
      <c r="B684" s="9" t="s">
        <v>474</v>
      </c>
      <c r="C684" s="19">
        <v>48355</v>
      </c>
      <c r="D684" s="24">
        <v>6.8911704312114992</v>
      </c>
      <c r="E684" s="28">
        <v>3.802</v>
      </c>
      <c r="F684" s="39">
        <v>3.0130246224470301</v>
      </c>
    </row>
    <row r="685" spans="2:6" x14ac:dyDescent="0.2">
      <c r="B685" s="9" t="s">
        <v>474</v>
      </c>
      <c r="C685" s="19">
        <v>48720</v>
      </c>
      <c r="D685" s="24">
        <v>7.8904859685147164</v>
      </c>
      <c r="E685" s="28">
        <v>3.802</v>
      </c>
      <c r="F685" s="39">
        <v>2.8891586940898049</v>
      </c>
    </row>
    <row r="686" spans="2:6" x14ac:dyDescent="0.2">
      <c r="B686" s="9" t="s">
        <v>474</v>
      </c>
      <c r="C686" s="19">
        <v>49085</v>
      </c>
      <c r="D686" s="24">
        <v>8.8898015058179336</v>
      </c>
      <c r="E686" s="28">
        <v>3.802</v>
      </c>
      <c r="F686" s="39">
        <v>2.764600761904298</v>
      </c>
    </row>
    <row r="687" spans="2:6" x14ac:dyDescent="0.2">
      <c r="B687" s="9" t="s">
        <v>474</v>
      </c>
      <c r="C687" s="19">
        <v>49450</v>
      </c>
      <c r="D687" s="24">
        <v>9.8891170431211499</v>
      </c>
      <c r="E687" s="28">
        <v>3.802</v>
      </c>
      <c r="F687" s="39">
        <v>2.639889564913215</v>
      </c>
    </row>
    <row r="688" spans="2:6" x14ac:dyDescent="0.2">
      <c r="B688" s="9" t="s">
        <v>474</v>
      </c>
      <c r="C688" s="19">
        <v>49816</v>
      </c>
      <c r="D688" s="24">
        <v>10.891170431211499</v>
      </c>
      <c r="E688" s="28">
        <v>103.80200000000001</v>
      </c>
      <c r="F688" s="39">
        <v>69.370905678072958</v>
      </c>
    </row>
    <row r="689" spans="2:6" x14ac:dyDescent="0.2">
      <c r="B689" s="9" t="s">
        <v>477</v>
      </c>
      <c r="C689" s="19">
        <v>46171</v>
      </c>
      <c r="D689" s="24">
        <v>0.9117043121149897</v>
      </c>
      <c r="E689" s="28">
        <v>3.5</v>
      </c>
      <c r="F689" s="39">
        <v>3.4131965023823478</v>
      </c>
    </row>
    <row r="690" spans="2:6" x14ac:dyDescent="0.2">
      <c r="B690" s="9" t="s">
        <v>477</v>
      </c>
      <c r="C690" s="19">
        <v>46536</v>
      </c>
      <c r="D690" s="24">
        <v>1.9110198494182069</v>
      </c>
      <c r="E690" s="28">
        <v>3.5</v>
      </c>
      <c r="F690" s="39">
        <v>3.3205226207060909</v>
      </c>
    </row>
    <row r="691" spans="2:6" x14ac:dyDescent="0.2">
      <c r="B691" s="9" t="s">
        <v>477</v>
      </c>
      <c r="C691" s="19">
        <v>46902</v>
      </c>
      <c r="D691" s="24">
        <v>2.9130732375085562</v>
      </c>
      <c r="E691" s="28">
        <v>3.5</v>
      </c>
      <c r="F691" s="39">
        <v>3.2212252616943822</v>
      </c>
    </row>
    <row r="692" spans="2:6" x14ac:dyDescent="0.2">
      <c r="B692" s="9" t="s">
        <v>477</v>
      </c>
      <c r="C692" s="19">
        <v>47267</v>
      </c>
      <c r="D692" s="24">
        <v>3.9123887748117729</v>
      </c>
      <c r="E692" s="28">
        <v>3.5</v>
      </c>
      <c r="F692" s="39">
        <v>3.1181341954506041</v>
      </c>
    </row>
    <row r="693" spans="2:6" x14ac:dyDescent="0.2">
      <c r="B693" s="9" t="s">
        <v>477</v>
      </c>
      <c r="C693" s="19">
        <v>47632</v>
      </c>
      <c r="D693" s="24">
        <v>4.9117043121149901</v>
      </c>
      <c r="E693" s="28">
        <v>3.5</v>
      </c>
      <c r="F693" s="39">
        <v>3.0120982163811889</v>
      </c>
    </row>
    <row r="694" spans="2:6" x14ac:dyDescent="0.2">
      <c r="B694" s="9" t="s">
        <v>477</v>
      </c>
      <c r="C694" s="19">
        <v>47997</v>
      </c>
      <c r="D694" s="24">
        <v>5.9110198494182056</v>
      </c>
      <c r="E694" s="28">
        <v>3.5</v>
      </c>
      <c r="F694" s="39">
        <v>2.9034989119639918</v>
      </c>
    </row>
    <row r="695" spans="2:6" x14ac:dyDescent="0.2">
      <c r="B695" s="9" t="s">
        <v>477</v>
      </c>
      <c r="C695" s="19">
        <v>48363</v>
      </c>
      <c r="D695" s="24">
        <v>6.9130732375085557</v>
      </c>
      <c r="E695" s="28">
        <v>3.5</v>
      </c>
      <c r="F695" s="39">
        <v>2.7926549620461989</v>
      </c>
    </row>
    <row r="696" spans="2:6" x14ac:dyDescent="0.2">
      <c r="B696" s="9" t="s">
        <v>477</v>
      </c>
      <c r="C696" s="19">
        <v>48728</v>
      </c>
      <c r="D696" s="24">
        <v>7.9123887748117729</v>
      </c>
      <c r="E696" s="28">
        <v>3.5</v>
      </c>
      <c r="F696" s="39">
        <v>2.6807119339768848</v>
      </c>
    </row>
    <row r="697" spans="2:6" x14ac:dyDescent="0.2">
      <c r="B697" s="9" t="s">
        <v>477</v>
      </c>
      <c r="C697" s="19">
        <v>49093</v>
      </c>
      <c r="D697" s="24">
        <v>8.9117043121149901</v>
      </c>
      <c r="E697" s="28">
        <v>103.5</v>
      </c>
      <c r="F697" s="39">
        <v>75.935984795398326</v>
      </c>
    </row>
    <row r="698" spans="2:6" x14ac:dyDescent="0.2">
      <c r="B698" s="9" t="s">
        <v>480</v>
      </c>
      <c r="C698" s="19">
        <v>45844</v>
      </c>
      <c r="D698" s="24">
        <v>1.6427104722792608E-2</v>
      </c>
      <c r="E698" s="28">
        <v>5.75</v>
      </c>
      <c r="F698" s="39">
        <v>5.7461594742520878</v>
      </c>
    </row>
    <row r="699" spans="2:6" x14ac:dyDescent="0.2">
      <c r="B699" s="9" t="s">
        <v>480</v>
      </c>
      <c r="C699" s="19">
        <v>46209</v>
      </c>
      <c r="D699" s="24">
        <v>1.0157426420260101</v>
      </c>
      <c r="E699" s="28">
        <v>5.75</v>
      </c>
      <c r="F699" s="39">
        <v>5.5172882999338952</v>
      </c>
    </row>
    <row r="700" spans="2:6" x14ac:dyDescent="0.2">
      <c r="B700" s="9" t="s">
        <v>480</v>
      </c>
      <c r="C700" s="19">
        <v>46574</v>
      </c>
      <c r="D700" s="24">
        <v>2.0150581793292259</v>
      </c>
      <c r="E700" s="28">
        <v>5.75</v>
      </c>
      <c r="F700" s="39">
        <v>5.2973664627673269</v>
      </c>
    </row>
    <row r="701" spans="2:6" x14ac:dyDescent="0.2">
      <c r="B701" s="9" t="s">
        <v>480</v>
      </c>
      <c r="C701" s="19">
        <v>46940</v>
      </c>
      <c r="D701" s="24">
        <v>3.0171115674195761</v>
      </c>
      <c r="E701" s="28">
        <v>5.75</v>
      </c>
      <c r="F701" s="39">
        <v>5.0698073009982867</v>
      </c>
    </row>
    <row r="702" spans="2:6" x14ac:dyDescent="0.2">
      <c r="B702" s="9" t="s">
        <v>480</v>
      </c>
      <c r="C702" s="19">
        <v>47305</v>
      </c>
      <c r="D702" s="24">
        <v>4.0164271047227924</v>
      </c>
      <c r="E702" s="28">
        <v>105.75</v>
      </c>
      <c r="F702" s="39">
        <v>89.060864745573326</v>
      </c>
    </row>
    <row r="703" spans="2:6" x14ac:dyDescent="0.2">
      <c r="B703" s="9" t="s">
        <v>483</v>
      </c>
      <c r="C703" s="19">
        <v>46005</v>
      </c>
      <c r="D703" s="24">
        <v>0.45722108145106088</v>
      </c>
      <c r="E703" s="28">
        <v>10.75</v>
      </c>
      <c r="F703" s="39">
        <v>10.338020434449939</v>
      </c>
    </row>
    <row r="704" spans="2:6" x14ac:dyDescent="0.2">
      <c r="B704" s="9" t="s">
        <v>483</v>
      </c>
      <c r="C704" s="19">
        <v>46370</v>
      </c>
      <c r="D704" s="24">
        <v>1.4565366187542781</v>
      </c>
      <c r="E704" s="28">
        <v>10.75</v>
      </c>
      <c r="F704" s="39">
        <v>9.4917198282117585</v>
      </c>
    </row>
    <row r="705" spans="2:6" x14ac:dyDescent="0.2">
      <c r="B705" s="9" t="s">
        <v>483</v>
      </c>
      <c r="C705" s="19">
        <v>46735</v>
      </c>
      <c r="D705" s="24">
        <v>2.4558521560574951</v>
      </c>
      <c r="E705" s="28">
        <v>10.75</v>
      </c>
      <c r="F705" s="39">
        <v>8.7045898998329641</v>
      </c>
    </row>
    <row r="706" spans="2:6" x14ac:dyDescent="0.2">
      <c r="B706" s="9" t="s">
        <v>483</v>
      </c>
      <c r="C706" s="19">
        <v>47101</v>
      </c>
      <c r="D706" s="24">
        <v>3.4579055441478439</v>
      </c>
      <c r="E706" s="28">
        <v>10.75</v>
      </c>
      <c r="F706" s="39">
        <v>7.9577118619751301</v>
      </c>
    </row>
    <row r="707" spans="2:6" x14ac:dyDescent="0.2">
      <c r="B707" s="9" t="s">
        <v>483</v>
      </c>
      <c r="C707" s="19">
        <v>47466</v>
      </c>
      <c r="D707" s="24">
        <v>4.4572210814510607</v>
      </c>
      <c r="E707" s="28">
        <v>110.75</v>
      </c>
      <c r="F707" s="39">
        <v>74.81164647553021</v>
      </c>
    </row>
    <row r="708" spans="2:6" x14ac:dyDescent="0.2">
      <c r="B708" s="9" t="s">
        <v>486</v>
      </c>
      <c r="C708" s="19">
        <v>46192</v>
      </c>
      <c r="D708" s="24">
        <v>0.9691991786447639</v>
      </c>
      <c r="E708" s="28">
        <v>4.25</v>
      </c>
      <c r="F708" s="39">
        <v>4.1321075389160411</v>
      </c>
    </row>
    <row r="709" spans="2:6" x14ac:dyDescent="0.2">
      <c r="B709" s="9" t="s">
        <v>486</v>
      </c>
      <c r="C709" s="19">
        <v>46557</v>
      </c>
      <c r="D709" s="24">
        <v>1.968514715947981</v>
      </c>
      <c r="E709" s="28">
        <v>4.25</v>
      </c>
      <c r="F709" s="39">
        <v>4.0139750351585697</v>
      </c>
    </row>
    <row r="710" spans="2:6" x14ac:dyDescent="0.2">
      <c r="B710" s="9" t="s">
        <v>486</v>
      </c>
      <c r="C710" s="19">
        <v>46923</v>
      </c>
      <c r="D710" s="24">
        <v>2.97056810403833</v>
      </c>
      <c r="E710" s="28">
        <v>4.25</v>
      </c>
      <c r="F710" s="39">
        <v>3.8872718444670271</v>
      </c>
    </row>
    <row r="711" spans="2:6" x14ac:dyDescent="0.2">
      <c r="B711" s="9" t="s">
        <v>486</v>
      </c>
      <c r="C711" s="19">
        <v>47288</v>
      </c>
      <c r="D711" s="24">
        <v>3.9698836413415468</v>
      </c>
      <c r="E711" s="28">
        <v>104.25</v>
      </c>
      <c r="F711" s="39">
        <v>92.153515451588248</v>
      </c>
    </row>
    <row r="712" spans="2:6" x14ac:dyDescent="0.2">
      <c r="B712" s="9" t="s">
        <v>489</v>
      </c>
      <c r="C712" s="19">
        <v>45840</v>
      </c>
      <c r="D712" s="24">
        <v>5.4757015742642034E-3</v>
      </c>
      <c r="E712" s="28">
        <v>3.625</v>
      </c>
      <c r="F712" s="39">
        <v>3.6243671076670818</v>
      </c>
    </row>
    <row r="713" spans="2:6" x14ac:dyDescent="0.2">
      <c r="B713" s="9" t="s">
        <v>489</v>
      </c>
      <c r="C713" s="19">
        <v>46205</v>
      </c>
      <c r="D713" s="24">
        <v>1.0047912388774809</v>
      </c>
      <c r="E713" s="28">
        <v>3.625</v>
      </c>
      <c r="F713" s="39">
        <v>3.5106950748176589</v>
      </c>
    </row>
    <row r="714" spans="2:6" x14ac:dyDescent="0.2">
      <c r="B714" s="9" t="s">
        <v>489</v>
      </c>
      <c r="C714" s="19">
        <v>46570</v>
      </c>
      <c r="D714" s="24">
        <v>2.0041067761806981</v>
      </c>
      <c r="E714" s="28">
        <v>3.625</v>
      </c>
      <c r="F714" s="39">
        <v>3.4005591495418508</v>
      </c>
    </row>
    <row r="715" spans="2:6" x14ac:dyDescent="0.2">
      <c r="B715" s="9" t="s">
        <v>489</v>
      </c>
      <c r="C715" s="19">
        <v>46936</v>
      </c>
      <c r="D715" s="24">
        <v>3.0061601642710469</v>
      </c>
      <c r="E715" s="28">
        <v>3.625</v>
      </c>
      <c r="F715" s="39">
        <v>3.283333698560944</v>
      </c>
    </row>
    <row r="716" spans="2:6" x14ac:dyDescent="0.2">
      <c r="B716" s="9" t="s">
        <v>489</v>
      </c>
      <c r="C716" s="19">
        <v>47301</v>
      </c>
      <c r="D716" s="24">
        <v>4.0054757015742641</v>
      </c>
      <c r="E716" s="28">
        <v>3.625</v>
      </c>
      <c r="F716" s="39">
        <v>3.1638852982444319</v>
      </c>
    </row>
    <row r="717" spans="2:6" x14ac:dyDescent="0.2">
      <c r="B717" s="9" t="s">
        <v>489</v>
      </c>
      <c r="C717" s="19">
        <v>47666</v>
      </c>
      <c r="D717" s="24">
        <v>5.0047912388774813</v>
      </c>
      <c r="E717" s="28">
        <v>3.625</v>
      </c>
      <c r="F717" s="39">
        <v>3.0424745785085761</v>
      </c>
    </row>
    <row r="718" spans="2:6" x14ac:dyDescent="0.2">
      <c r="B718" s="9" t="s">
        <v>489</v>
      </c>
      <c r="C718" s="19">
        <v>48031</v>
      </c>
      <c r="D718" s="24">
        <v>6.0041067761806994</v>
      </c>
      <c r="E718" s="28">
        <v>3.625</v>
      </c>
      <c r="F718" s="39">
        <v>2.91950295068902</v>
      </c>
    </row>
    <row r="719" spans="2:6" x14ac:dyDescent="0.2">
      <c r="B719" s="9" t="s">
        <v>489</v>
      </c>
      <c r="C719" s="19">
        <v>48397</v>
      </c>
      <c r="D719" s="24">
        <v>7.0061601642710469</v>
      </c>
      <c r="E719" s="28">
        <v>3.625</v>
      </c>
      <c r="F719" s="39">
        <v>2.7953124864355079</v>
      </c>
    </row>
    <row r="720" spans="2:6" x14ac:dyDescent="0.2">
      <c r="B720" s="9" t="s">
        <v>489</v>
      </c>
      <c r="C720" s="19">
        <v>48762</v>
      </c>
      <c r="D720" s="24">
        <v>8.0054757015742641</v>
      </c>
      <c r="E720" s="28">
        <v>3.625</v>
      </c>
      <c r="F720" s="39">
        <v>2.6711265096146901</v>
      </c>
    </row>
    <row r="721" spans="2:6" x14ac:dyDescent="0.2">
      <c r="B721" s="9" t="s">
        <v>489</v>
      </c>
      <c r="C721" s="19">
        <v>49127</v>
      </c>
      <c r="D721" s="24">
        <v>9.0047912388774805</v>
      </c>
      <c r="E721" s="28">
        <v>103.625</v>
      </c>
      <c r="F721" s="39">
        <v>72.812743145920237</v>
      </c>
    </row>
    <row r="722" spans="2:6" x14ac:dyDescent="0.2">
      <c r="B722" s="9" t="s">
        <v>492</v>
      </c>
      <c r="C722" s="19">
        <v>46031</v>
      </c>
      <c r="D722" s="24">
        <v>0.52840520191649554</v>
      </c>
      <c r="E722" s="28">
        <v>4.375</v>
      </c>
      <c r="F722" s="39">
        <v>4.3026014947804816</v>
      </c>
    </row>
    <row r="723" spans="2:6" x14ac:dyDescent="0.2">
      <c r="B723" s="9" t="s">
        <v>492</v>
      </c>
      <c r="C723" s="19">
        <v>46396</v>
      </c>
      <c r="D723" s="24">
        <v>1.527720739219713</v>
      </c>
      <c r="E723" s="28">
        <v>4.375</v>
      </c>
      <c r="F723" s="39">
        <v>4.1689413274983078</v>
      </c>
    </row>
    <row r="724" spans="2:6" x14ac:dyDescent="0.2">
      <c r="B724" s="9" t="s">
        <v>492</v>
      </c>
      <c r="C724" s="19">
        <v>46761</v>
      </c>
      <c r="D724" s="24">
        <v>2.5270362765229288</v>
      </c>
      <c r="E724" s="28">
        <v>4.375</v>
      </c>
      <c r="F724" s="39">
        <v>4.0338589401883471</v>
      </c>
    </row>
    <row r="725" spans="2:6" x14ac:dyDescent="0.2">
      <c r="B725" s="9" t="s">
        <v>492</v>
      </c>
      <c r="C725" s="19">
        <v>47127</v>
      </c>
      <c r="D725" s="24">
        <v>3.529089664613279</v>
      </c>
      <c r="E725" s="28">
        <v>4.375</v>
      </c>
      <c r="F725" s="39">
        <v>3.891773627770462</v>
      </c>
    </row>
    <row r="726" spans="2:6" x14ac:dyDescent="0.2">
      <c r="B726" s="9" t="s">
        <v>492</v>
      </c>
      <c r="C726" s="19">
        <v>47492</v>
      </c>
      <c r="D726" s="24">
        <v>4.5284052019164953</v>
      </c>
      <c r="E726" s="28">
        <v>104.375</v>
      </c>
      <c r="F726" s="39">
        <v>89.399441172262399</v>
      </c>
    </row>
    <row r="727" spans="2:6" x14ac:dyDescent="0.2">
      <c r="B727" s="9" t="s">
        <v>495</v>
      </c>
      <c r="C727" s="19">
        <v>45854</v>
      </c>
      <c r="D727" s="24">
        <v>4.380561259411362E-2</v>
      </c>
      <c r="E727" s="28">
        <v>4.8</v>
      </c>
      <c r="F727" s="39">
        <v>4.792878149472477</v>
      </c>
    </row>
    <row r="728" spans="2:6" x14ac:dyDescent="0.2">
      <c r="B728" s="9" t="s">
        <v>495</v>
      </c>
      <c r="C728" s="19">
        <v>46219</v>
      </c>
      <c r="D728" s="24">
        <v>1.043121149897331</v>
      </c>
      <c r="E728" s="28">
        <v>4.8</v>
      </c>
      <c r="F728" s="39">
        <v>4.6332502790862744</v>
      </c>
    </row>
    <row r="729" spans="2:6" x14ac:dyDescent="0.2">
      <c r="B729" s="9" t="s">
        <v>495</v>
      </c>
      <c r="C729" s="19">
        <v>46584</v>
      </c>
      <c r="D729" s="24">
        <v>2.0424366872005471</v>
      </c>
      <c r="E729" s="28">
        <v>4.8</v>
      </c>
      <c r="F729" s="39">
        <v>4.4785363476672986</v>
      </c>
    </row>
    <row r="730" spans="2:6" x14ac:dyDescent="0.2">
      <c r="B730" s="9" t="s">
        <v>495</v>
      </c>
      <c r="C730" s="19">
        <v>46950</v>
      </c>
      <c r="D730" s="24">
        <v>3.0444900752908972</v>
      </c>
      <c r="E730" s="28">
        <v>4.8</v>
      </c>
      <c r="F730" s="39">
        <v>4.3151138430045206</v>
      </c>
    </row>
    <row r="731" spans="2:6" x14ac:dyDescent="0.2">
      <c r="B731" s="9" t="s">
        <v>495</v>
      </c>
      <c r="C731" s="19">
        <v>47315</v>
      </c>
      <c r="D731" s="24">
        <v>4.043805612594114</v>
      </c>
      <c r="E731" s="28">
        <v>104.8</v>
      </c>
      <c r="F731" s="39">
        <v>90.596611784809838</v>
      </c>
    </row>
    <row r="732" spans="2:6" x14ac:dyDescent="0.2">
      <c r="B732" s="9" t="s">
        <v>498</v>
      </c>
      <c r="C732" s="19">
        <v>46006</v>
      </c>
      <c r="D732" s="24">
        <v>0.45995893223819301</v>
      </c>
      <c r="E732" s="28">
        <v>3.5179999999999998</v>
      </c>
      <c r="F732" s="39">
        <v>3.47029222741596</v>
      </c>
    </row>
    <row r="733" spans="2:6" x14ac:dyDescent="0.2">
      <c r="B733" s="9" t="s">
        <v>498</v>
      </c>
      <c r="C733" s="19">
        <v>46371</v>
      </c>
      <c r="D733" s="24">
        <v>1.4592744695414099</v>
      </c>
      <c r="E733" s="28">
        <v>3.5179999999999998</v>
      </c>
      <c r="F733" s="39">
        <v>3.368859338492356</v>
      </c>
    </row>
    <row r="734" spans="2:6" x14ac:dyDescent="0.2">
      <c r="B734" s="9" t="s">
        <v>498</v>
      </c>
      <c r="C734" s="19">
        <v>46736</v>
      </c>
      <c r="D734" s="24">
        <v>2.4585900068446271</v>
      </c>
      <c r="E734" s="28">
        <v>3.5179999999999998</v>
      </c>
      <c r="F734" s="39">
        <v>3.2665702001707499</v>
      </c>
    </row>
    <row r="735" spans="2:6" x14ac:dyDescent="0.2">
      <c r="B735" s="9" t="s">
        <v>498</v>
      </c>
      <c r="C735" s="19">
        <v>47102</v>
      </c>
      <c r="D735" s="24">
        <v>3.460643394934976</v>
      </c>
      <c r="E735" s="28">
        <v>3.5179999999999998</v>
      </c>
      <c r="F735" s="39">
        <v>3.1579485720797789</v>
      </c>
    </row>
    <row r="736" spans="2:6" x14ac:dyDescent="0.2">
      <c r="B736" s="9" t="s">
        <v>498</v>
      </c>
      <c r="C736" s="19">
        <v>47467</v>
      </c>
      <c r="D736" s="24">
        <v>4.4599589322381927</v>
      </c>
      <c r="E736" s="28">
        <v>3.5179999999999998</v>
      </c>
      <c r="F736" s="39">
        <v>3.0468959802985278</v>
      </c>
    </row>
    <row r="737" spans="2:6" x14ac:dyDescent="0.2">
      <c r="B737" s="9" t="s">
        <v>498</v>
      </c>
      <c r="C737" s="19">
        <v>47832</v>
      </c>
      <c r="D737" s="24">
        <v>5.4592744695414099</v>
      </c>
      <c r="E737" s="28">
        <v>3.5179999999999998</v>
      </c>
      <c r="F737" s="39">
        <v>2.9335965743910881</v>
      </c>
    </row>
    <row r="738" spans="2:6" x14ac:dyDescent="0.2">
      <c r="B738" s="9" t="s">
        <v>498</v>
      </c>
      <c r="C738" s="19">
        <v>48197</v>
      </c>
      <c r="D738" s="24">
        <v>6.4585900068446271</v>
      </c>
      <c r="E738" s="28">
        <v>3.5179999999999998</v>
      </c>
      <c r="F738" s="39">
        <v>2.8185480213301508</v>
      </c>
    </row>
    <row r="739" spans="2:6" x14ac:dyDescent="0.2">
      <c r="B739" s="9" t="s">
        <v>498</v>
      </c>
      <c r="C739" s="19">
        <v>48563</v>
      </c>
      <c r="D739" s="24">
        <v>7.4606433949349764</v>
      </c>
      <c r="E739" s="28">
        <v>103.518</v>
      </c>
      <c r="F739" s="39">
        <v>79.508122538202343</v>
      </c>
    </row>
    <row r="740" spans="2:6" x14ac:dyDescent="0.2">
      <c r="B740" s="9" t="s">
        <v>501</v>
      </c>
      <c r="C740" s="19">
        <v>45918</v>
      </c>
      <c r="D740" s="24">
        <v>0.21902806297056809</v>
      </c>
      <c r="E740" s="28">
        <v>3.875</v>
      </c>
      <c r="F740" s="39">
        <v>3.8510741764974901</v>
      </c>
    </row>
    <row r="741" spans="2:6" x14ac:dyDescent="0.2">
      <c r="B741" s="9" t="s">
        <v>501</v>
      </c>
      <c r="C741" s="19">
        <v>46283</v>
      </c>
      <c r="D741" s="24">
        <v>1.2183436002737851</v>
      </c>
      <c r="E741" s="28">
        <v>3.875</v>
      </c>
      <c r="F741" s="39">
        <v>3.7437735007313648</v>
      </c>
    </row>
    <row r="742" spans="2:6" x14ac:dyDescent="0.2">
      <c r="B742" s="9" t="s">
        <v>501</v>
      </c>
      <c r="C742" s="19">
        <v>46648</v>
      </c>
      <c r="D742" s="24">
        <v>2.2176591375770021</v>
      </c>
      <c r="E742" s="28">
        <v>3.875</v>
      </c>
      <c r="F742" s="39">
        <v>3.6376414372136212</v>
      </c>
    </row>
    <row r="743" spans="2:6" x14ac:dyDescent="0.2">
      <c r="B743" s="9" t="s">
        <v>501</v>
      </c>
      <c r="C743" s="19">
        <v>47014</v>
      </c>
      <c r="D743" s="24">
        <v>3.2197125256673509</v>
      </c>
      <c r="E743" s="28">
        <v>3.875</v>
      </c>
      <c r="F743" s="39">
        <v>3.5234077195758982</v>
      </c>
    </row>
    <row r="744" spans="2:6" x14ac:dyDescent="0.2">
      <c r="B744" s="9" t="s">
        <v>501</v>
      </c>
      <c r="C744" s="19">
        <v>47379</v>
      </c>
      <c r="D744" s="24">
        <v>4.2190280629705681</v>
      </c>
      <c r="E744" s="28">
        <v>3.875</v>
      </c>
      <c r="F744" s="39">
        <v>3.4059883990948179</v>
      </c>
    </row>
    <row r="745" spans="2:6" x14ac:dyDescent="0.2">
      <c r="B745" s="9" t="s">
        <v>501</v>
      </c>
      <c r="C745" s="19">
        <v>47744</v>
      </c>
      <c r="D745" s="24">
        <v>5.2183436002737853</v>
      </c>
      <c r="E745" s="28">
        <v>3.875</v>
      </c>
      <c r="F745" s="39">
        <v>3.2856349306224799</v>
      </c>
    </row>
    <row r="746" spans="2:6" x14ac:dyDescent="0.2">
      <c r="B746" s="9" t="s">
        <v>501</v>
      </c>
      <c r="C746" s="19">
        <v>48109</v>
      </c>
      <c r="D746" s="24">
        <v>6.2176591375770016</v>
      </c>
      <c r="E746" s="28">
        <v>103.875</v>
      </c>
      <c r="F746" s="39">
        <v>84.783897614042118</v>
      </c>
    </row>
    <row r="747" spans="2:6" x14ac:dyDescent="0.2">
      <c r="B747" s="9" t="s">
        <v>504</v>
      </c>
      <c r="C747" s="19">
        <v>46096</v>
      </c>
      <c r="D747" s="24">
        <v>0.70636550308008217</v>
      </c>
      <c r="E747" s="28">
        <v>4.25</v>
      </c>
      <c r="F747" s="39">
        <v>4.1482680163325636</v>
      </c>
    </row>
    <row r="748" spans="2:6" x14ac:dyDescent="0.2">
      <c r="B748" s="9" t="s">
        <v>504</v>
      </c>
      <c r="C748" s="19">
        <v>46461</v>
      </c>
      <c r="D748" s="24">
        <v>1.7056810403832989</v>
      </c>
      <c r="E748" s="28">
        <v>4.25</v>
      </c>
      <c r="F748" s="39">
        <v>4.0084905146262901</v>
      </c>
    </row>
    <row r="749" spans="2:6" x14ac:dyDescent="0.2">
      <c r="B749" s="9" t="s">
        <v>504</v>
      </c>
      <c r="C749" s="19">
        <v>46827</v>
      </c>
      <c r="D749" s="24">
        <v>2.707734428473648</v>
      </c>
      <c r="E749" s="28">
        <v>4.25</v>
      </c>
      <c r="F749" s="39">
        <v>3.865370988338912</v>
      </c>
    </row>
    <row r="750" spans="2:6" x14ac:dyDescent="0.2">
      <c r="B750" s="9" t="s">
        <v>504</v>
      </c>
      <c r="C750" s="19">
        <v>47192</v>
      </c>
      <c r="D750" s="24">
        <v>3.7070499657768652</v>
      </c>
      <c r="E750" s="28">
        <v>4.25</v>
      </c>
      <c r="F750" s="39">
        <v>3.718078829442431</v>
      </c>
    </row>
    <row r="751" spans="2:6" x14ac:dyDescent="0.2">
      <c r="B751" s="9" t="s">
        <v>504</v>
      </c>
      <c r="C751" s="19">
        <v>47557</v>
      </c>
      <c r="D751" s="24">
        <v>4.7063655030800824</v>
      </c>
      <c r="E751" s="28">
        <v>104.25</v>
      </c>
      <c r="F751" s="39">
        <v>87.545486124944006</v>
      </c>
    </row>
    <row r="752" spans="2:6" x14ac:dyDescent="0.2">
      <c r="B752" s="9" t="s">
        <v>507</v>
      </c>
      <c r="C752" s="19">
        <v>45903</v>
      </c>
      <c r="D752" s="24">
        <v>0.1779603011635866</v>
      </c>
      <c r="E752" s="28">
        <v>3.6309999999999998</v>
      </c>
      <c r="F752" s="39">
        <v>3.6127315243406501</v>
      </c>
    </row>
    <row r="753" spans="2:6" x14ac:dyDescent="0.2">
      <c r="B753" s="9" t="s">
        <v>507</v>
      </c>
      <c r="C753" s="19">
        <v>46268</v>
      </c>
      <c r="D753" s="24">
        <v>1.1772758384668041</v>
      </c>
      <c r="E753" s="28">
        <v>3.6309999999999998</v>
      </c>
      <c r="F753" s="39">
        <v>3.5118410471894732</v>
      </c>
    </row>
    <row r="754" spans="2:6" x14ac:dyDescent="0.2">
      <c r="B754" s="9" t="s">
        <v>507</v>
      </c>
      <c r="C754" s="19">
        <v>46633</v>
      </c>
      <c r="D754" s="24">
        <v>2.176591375770021</v>
      </c>
      <c r="E754" s="28">
        <v>3.6309999999999998</v>
      </c>
      <c r="F754" s="39">
        <v>3.4124078304197951</v>
      </c>
    </row>
    <row r="755" spans="2:6" x14ac:dyDescent="0.2">
      <c r="B755" s="9" t="s">
        <v>507</v>
      </c>
      <c r="C755" s="19">
        <v>46999</v>
      </c>
      <c r="D755" s="24">
        <v>3.178644763860369</v>
      </c>
      <c r="E755" s="28">
        <v>3.6309999999999998</v>
      </c>
      <c r="F755" s="39">
        <v>3.3053115915668738</v>
      </c>
    </row>
    <row r="756" spans="2:6" x14ac:dyDescent="0.2">
      <c r="B756" s="9" t="s">
        <v>507</v>
      </c>
      <c r="C756" s="19">
        <v>47364</v>
      </c>
      <c r="D756" s="24">
        <v>4.1779603011635862</v>
      </c>
      <c r="E756" s="28">
        <v>3.6309999999999998</v>
      </c>
      <c r="F756" s="39">
        <v>3.195222532181623</v>
      </c>
    </row>
    <row r="757" spans="2:6" x14ac:dyDescent="0.2">
      <c r="B757" s="9" t="s">
        <v>507</v>
      </c>
      <c r="C757" s="19">
        <v>47729</v>
      </c>
      <c r="D757" s="24">
        <v>5.1772758384668034</v>
      </c>
      <c r="E757" s="28">
        <v>3.6309999999999998</v>
      </c>
      <c r="F757" s="39">
        <v>3.0823831033668392</v>
      </c>
    </row>
    <row r="758" spans="2:6" x14ac:dyDescent="0.2">
      <c r="B758" s="9" t="s">
        <v>507</v>
      </c>
      <c r="C758" s="19">
        <v>48094</v>
      </c>
      <c r="D758" s="24">
        <v>6.1765913757700206</v>
      </c>
      <c r="E758" s="28">
        <v>103.631</v>
      </c>
      <c r="F758" s="39">
        <v>84.686381820934756</v>
      </c>
    </row>
    <row r="759" spans="2:6" x14ac:dyDescent="0.2">
      <c r="B759" s="9" t="s">
        <v>509</v>
      </c>
      <c r="C759" s="19">
        <v>45938</v>
      </c>
      <c r="D759" s="24">
        <v>0.27378507871321012</v>
      </c>
      <c r="E759" s="28">
        <v>3.7149999999999999</v>
      </c>
      <c r="F759" s="39">
        <v>3.683281318238357</v>
      </c>
    </row>
    <row r="760" spans="2:6" x14ac:dyDescent="0.2">
      <c r="B760" s="9" t="s">
        <v>509</v>
      </c>
      <c r="C760" s="19">
        <v>46303</v>
      </c>
      <c r="D760" s="24">
        <v>1.2731006160164271</v>
      </c>
      <c r="E760" s="28">
        <v>3.7149999999999999</v>
      </c>
      <c r="F760" s="39">
        <v>3.569789055056324</v>
      </c>
    </row>
    <row r="761" spans="2:6" x14ac:dyDescent="0.2">
      <c r="B761" s="9" t="s">
        <v>509</v>
      </c>
      <c r="C761" s="19">
        <v>46668</v>
      </c>
      <c r="D761" s="24">
        <v>2.2724161533196439</v>
      </c>
      <c r="E761" s="28">
        <v>3.7149999999999999</v>
      </c>
      <c r="F761" s="39">
        <v>3.4575737993323798</v>
      </c>
    </row>
    <row r="762" spans="2:6" x14ac:dyDescent="0.2">
      <c r="B762" s="9" t="s">
        <v>509</v>
      </c>
      <c r="C762" s="19">
        <v>47034</v>
      </c>
      <c r="D762" s="24">
        <v>3.2744695414099931</v>
      </c>
      <c r="E762" s="28">
        <v>3.7149999999999999</v>
      </c>
      <c r="F762" s="39">
        <v>3.3384234353006348</v>
      </c>
    </row>
    <row r="763" spans="2:6" x14ac:dyDescent="0.2">
      <c r="B763" s="9" t="s">
        <v>509</v>
      </c>
      <c r="C763" s="19">
        <v>47399</v>
      </c>
      <c r="D763" s="24">
        <v>4.2737850787132103</v>
      </c>
      <c r="E763" s="28">
        <v>3.7149999999999999</v>
      </c>
      <c r="F763" s="39">
        <v>3.2170097970023188</v>
      </c>
    </row>
    <row r="764" spans="2:6" x14ac:dyDescent="0.2">
      <c r="B764" s="9" t="s">
        <v>509</v>
      </c>
      <c r="C764" s="19">
        <v>47764</v>
      </c>
      <c r="D764" s="24">
        <v>5.2731006160164284</v>
      </c>
      <c r="E764" s="28">
        <v>3.7149999999999999</v>
      </c>
      <c r="F764" s="39">
        <v>3.0935559492380049</v>
      </c>
    </row>
    <row r="765" spans="2:6" x14ac:dyDescent="0.2">
      <c r="B765" s="9" t="s">
        <v>509</v>
      </c>
      <c r="C765" s="19">
        <v>48129</v>
      </c>
      <c r="D765" s="24">
        <v>6.2724161533196439</v>
      </c>
      <c r="E765" s="28">
        <v>103.715</v>
      </c>
      <c r="F765" s="39">
        <v>82.875414607462673</v>
      </c>
    </row>
    <row r="766" spans="2:6" x14ac:dyDescent="0.2">
      <c r="B766" s="9" t="s">
        <v>512</v>
      </c>
      <c r="C766" s="19">
        <v>45976</v>
      </c>
      <c r="D766" s="24">
        <v>0.37782340862422997</v>
      </c>
      <c r="E766" s="28">
        <v>10</v>
      </c>
      <c r="F766" s="39">
        <v>9.6142791833191978</v>
      </c>
    </row>
    <row r="767" spans="2:6" x14ac:dyDescent="0.2">
      <c r="B767" s="9" t="s">
        <v>512</v>
      </c>
      <c r="C767" s="19">
        <v>46341</v>
      </c>
      <c r="D767" s="24">
        <v>1.377138945927447</v>
      </c>
      <c r="E767" s="28">
        <v>10</v>
      </c>
      <c r="F767" s="39">
        <v>8.6642847295936232</v>
      </c>
    </row>
    <row r="768" spans="2:6" x14ac:dyDescent="0.2">
      <c r="B768" s="9" t="s">
        <v>512</v>
      </c>
      <c r="C768" s="19">
        <v>46706</v>
      </c>
      <c r="D768" s="24">
        <v>2.3764544832306642</v>
      </c>
      <c r="E768" s="28">
        <v>10</v>
      </c>
      <c r="F768" s="39">
        <v>7.8009204087473671</v>
      </c>
    </row>
    <row r="769" spans="2:6" x14ac:dyDescent="0.2">
      <c r="B769" s="9" t="s">
        <v>512</v>
      </c>
      <c r="C769" s="19">
        <v>47072</v>
      </c>
      <c r="D769" s="24">
        <v>3.378507871321013</v>
      </c>
      <c r="E769" s="28">
        <v>10</v>
      </c>
      <c r="F769" s="39">
        <v>7.000735812367501</v>
      </c>
    </row>
    <row r="770" spans="2:6" x14ac:dyDescent="0.2">
      <c r="B770" s="9" t="s">
        <v>512</v>
      </c>
      <c r="C770" s="19">
        <v>47437</v>
      </c>
      <c r="D770" s="24">
        <v>4.3778234086242298</v>
      </c>
      <c r="E770" s="28">
        <v>110</v>
      </c>
      <c r="F770" s="39">
        <v>68.986168754861197</v>
      </c>
    </row>
    <row r="771" spans="2:6" x14ac:dyDescent="0.2">
      <c r="B771" s="9" t="s">
        <v>515</v>
      </c>
      <c r="C771" s="19">
        <v>45946</v>
      </c>
      <c r="D771" s="24">
        <v>0.29568788501026688</v>
      </c>
      <c r="E771" s="28">
        <v>3.625</v>
      </c>
      <c r="F771" s="39">
        <v>3.5926640642354961</v>
      </c>
    </row>
    <row r="772" spans="2:6" x14ac:dyDescent="0.2">
      <c r="B772" s="9" t="s">
        <v>515</v>
      </c>
      <c r="C772" s="19">
        <v>46311</v>
      </c>
      <c r="D772" s="24">
        <v>1.2950034223134841</v>
      </c>
      <c r="E772" s="28">
        <v>3.625</v>
      </c>
      <c r="F772" s="39">
        <v>3.4855002319248989</v>
      </c>
    </row>
    <row r="773" spans="2:6" x14ac:dyDescent="0.2">
      <c r="B773" s="9" t="s">
        <v>515</v>
      </c>
      <c r="C773" s="19">
        <v>46676</v>
      </c>
      <c r="D773" s="24">
        <v>2.2943189596167008</v>
      </c>
      <c r="E773" s="28">
        <v>3.625</v>
      </c>
      <c r="F773" s="39">
        <v>3.3791661639850021</v>
      </c>
    </row>
    <row r="774" spans="2:6" x14ac:dyDescent="0.2">
      <c r="B774" s="9" t="s">
        <v>515</v>
      </c>
      <c r="C774" s="19">
        <v>47042</v>
      </c>
      <c r="D774" s="24">
        <v>3.2963723477070501</v>
      </c>
      <c r="E774" s="28">
        <v>3.625</v>
      </c>
      <c r="F774" s="39">
        <v>3.2658918104095038</v>
      </c>
    </row>
    <row r="775" spans="2:6" x14ac:dyDescent="0.2">
      <c r="B775" s="9" t="s">
        <v>515</v>
      </c>
      <c r="C775" s="19">
        <v>47407</v>
      </c>
      <c r="D775" s="24">
        <v>4.2956878850102669</v>
      </c>
      <c r="E775" s="28">
        <v>3.625</v>
      </c>
      <c r="F775" s="39">
        <v>3.150169243701999</v>
      </c>
    </row>
    <row r="776" spans="2:6" x14ac:dyDescent="0.2">
      <c r="B776" s="9" t="s">
        <v>515</v>
      </c>
      <c r="C776" s="19">
        <v>47772</v>
      </c>
      <c r="D776" s="24">
        <v>5.2950034223134841</v>
      </c>
      <c r="E776" s="28">
        <v>3.625</v>
      </c>
      <c r="F776" s="39">
        <v>3.0322157634829501</v>
      </c>
    </row>
    <row r="777" spans="2:6" x14ac:dyDescent="0.2">
      <c r="B777" s="9" t="s">
        <v>515</v>
      </c>
      <c r="C777" s="19">
        <v>48137</v>
      </c>
      <c r="D777" s="24">
        <v>6.2943189596167013</v>
      </c>
      <c r="E777" s="28">
        <v>3.625</v>
      </c>
      <c r="F777" s="39">
        <v>2.9125006754370948</v>
      </c>
    </row>
    <row r="778" spans="2:6" x14ac:dyDescent="0.2">
      <c r="B778" s="9" t="s">
        <v>515</v>
      </c>
      <c r="C778" s="19">
        <v>48503</v>
      </c>
      <c r="D778" s="24">
        <v>7.2963723477070497</v>
      </c>
      <c r="E778" s="28">
        <v>3.625</v>
      </c>
      <c r="F778" s="39">
        <v>2.791339205690595</v>
      </c>
    </row>
    <row r="779" spans="2:6" x14ac:dyDescent="0.2">
      <c r="B779" s="9" t="s">
        <v>515</v>
      </c>
      <c r="C779" s="19">
        <v>48868</v>
      </c>
      <c r="D779" s="24">
        <v>8.2956878850102669</v>
      </c>
      <c r="E779" s="28">
        <v>103.625</v>
      </c>
      <c r="F779" s="39">
        <v>76.323313121132458</v>
      </c>
    </row>
    <row r="780" spans="2:6" x14ac:dyDescent="0.2">
      <c r="B780" s="9" t="s">
        <v>518</v>
      </c>
      <c r="C780" s="19">
        <v>45952</v>
      </c>
      <c r="D780" s="24">
        <v>0.31211498973305962</v>
      </c>
      <c r="E780" s="28">
        <v>3.5</v>
      </c>
      <c r="F780" s="39">
        <v>3.4655189732222369</v>
      </c>
    </row>
    <row r="781" spans="2:6" x14ac:dyDescent="0.2">
      <c r="B781" s="9" t="s">
        <v>518</v>
      </c>
      <c r="C781" s="19">
        <v>46317</v>
      </c>
      <c r="D781" s="24">
        <v>1.3114305270362761</v>
      </c>
      <c r="E781" s="28">
        <v>3.5</v>
      </c>
      <c r="F781" s="39">
        <v>3.35738769491073</v>
      </c>
    </row>
    <row r="782" spans="2:6" x14ac:dyDescent="0.2">
      <c r="B782" s="9" t="s">
        <v>518</v>
      </c>
      <c r="C782" s="19">
        <v>46682</v>
      </c>
      <c r="D782" s="24">
        <v>2.3107460643394941</v>
      </c>
      <c r="E782" s="28">
        <v>3.5</v>
      </c>
      <c r="F782" s="39">
        <v>3.250209561040081</v>
      </c>
    </row>
    <row r="783" spans="2:6" x14ac:dyDescent="0.2">
      <c r="B783" s="9" t="s">
        <v>518</v>
      </c>
      <c r="C783" s="19">
        <v>47048</v>
      </c>
      <c r="D783" s="24">
        <v>3.312799452429843</v>
      </c>
      <c r="E783" s="28">
        <v>3.5</v>
      </c>
      <c r="F783" s="39">
        <v>3.1366914942557109</v>
      </c>
    </row>
    <row r="784" spans="2:6" x14ac:dyDescent="0.2">
      <c r="B784" s="9" t="s">
        <v>518</v>
      </c>
      <c r="C784" s="19">
        <v>47413</v>
      </c>
      <c r="D784" s="24">
        <v>4.3121149897330593</v>
      </c>
      <c r="E784" s="28">
        <v>3.5</v>
      </c>
      <c r="F784" s="39">
        <v>3.0211606724980382</v>
      </c>
    </row>
    <row r="785" spans="2:6" x14ac:dyDescent="0.2">
      <c r="B785" s="9" t="s">
        <v>518</v>
      </c>
      <c r="C785" s="19">
        <v>47778</v>
      </c>
      <c r="D785" s="24">
        <v>5.3114305270362756</v>
      </c>
      <c r="E785" s="28">
        <v>3.5</v>
      </c>
      <c r="F785" s="39">
        <v>2.9038192286904931</v>
      </c>
    </row>
    <row r="786" spans="2:6" x14ac:dyDescent="0.2">
      <c r="B786" s="9" t="s">
        <v>518</v>
      </c>
      <c r="C786" s="19">
        <v>48143</v>
      </c>
      <c r="D786" s="24">
        <v>6.3107460643394937</v>
      </c>
      <c r="E786" s="28">
        <v>103.5</v>
      </c>
      <c r="F786" s="39">
        <v>82.360239775382709</v>
      </c>
    </row>
    <row r="787" spans="2:6" x14ac:dyDescent="0.2">
      <c r="B787" s="9" t="s">
        <v>521</v>
      </c>
      <c r="C787" s="19">
        <v>46047</v>
      </c>
      <c r="D787" s="24">
        <v>0.57221081451060918</v>
      </c>
      <c r="E787" s="28">
        <v>3.375</v>
      </c>
      <c r="F787" s="39">
        <v>3.3230827776381959</v>
      </c>
    </row>
    <row r="788" spans="2:6" x14ac:dyDescent="0.2">
      <c r="B788" s="9" t="s">
        <v>521</v>
      </c>
      <c r="C788" s="19">
        <v>46412</v>
      </c>
      <c r="D788" s="24">
        <v>1.5715263518138261</v>
      </c>
      <c r="E788" s="28">
        <v>3.375</v>
      </c>
      <c r="F788" s="39">
        <v>3.2343218825282332</v>
      </c>
    </row>
    <row r="789" spans="2:6" x14ac:dyDescent="0.2">
      <c r="B789" s="9" t="s">
        <v>521</v>
      </c>
      <c r="C789" s="19">
        <v>46777</v>
      </c>
      <c r="D789" s="24">
        <v>2.5708418891170428</v>
      </c>
      <c r="E789" s="28">
        <v>3.375</v>
      </c>
      <c r="F789" s="39">
        <v>3.1431454245297039</v>
      </c>
    </row>
    <row r="790" spans="2:6" x14ac:dyDescent="0.2">
      <c r="B790" s="9" t="s">
        <v>521</v>
      </c>
      <c r="C790" s="19">
        <v>47143</v>
      </c>
      <c r="D790" s="24">
        <v>3.5728952772073921</v>
      </c>
      <c r="E790" s="28">
        <v>103.375</v>
      </c>
      <c r="F790" s="39">
        <v>93.292408801922875</v>
      </c>
    </row>
    <row r="791" spans="2:6" x14ac:dyDescent="0.2">
      <c r="B791" s="9" t="s">
        <v>523</v>
      </c>
      <c r="C791" s="19">
        <v>45981</v>
      </c>
      <c r="D791" s="24">
        <v>0.39151266255989048</v>
      </c>
      <c r="E791" s="28">
        <v>4</v>
      </c>
      <c r="F791" s="39">
        <v>3.9473895145160141</v>
      </c>
    </row>
    <row r="792" spans="2:6" x14ac:dyDescent="0.2">
      <c r="B792" s="9" t="s">
        <v>523</v>
      </c>
      <c r="C792" s="19">
        <v>46346</v>
      </c>
      <c r="D792" s="24">
        <v>1.3908281998631069</v>
      </c>
      <c r="E792" s="28">
        <v>4</v>
      </c>
      <c r="F792" s="39">
        <v>3.8162198738253559</v>
      </c>
    </row>
    <row r="793" spans="2:6" x14ac:dyDescent="0.2">
      <c r="B793" s="9" t="s">
        <v>523</v>
      </c>
      <c r="C793" s="19">
        <v>46711</v>
      </c>
      <c r="D793" s="24">
        <v>2.390143737166325</v>
      </c>
      <c r="E793" s="28">
        <v>4</v>
      </c>
      <c r="F793" s="39">
        <v>3.6858434452217899</v>
      </c>
    </row>
    <row r="794" spans="2:6" x14ac:dyDescent="0.2">
      <c r="B794" s="9" t="s">
        <v>523</v>
      </c>
      <c r="C794" s="19">
        <v>47077</v>
      </c>
      <c r="D794" s="24">
        <v>3.3921971252566729</v>
      </c>
      <c r="E794" s="28">
        <v>4</v>
      </c>
      <c r="F794" s="39">
        <v>3.5490602641820792</v>
      </c>
    </row>
    <row r="795" spans="2:6" x14ac:dyDescent="0.2">
      <c r="B795" s="9" t="s">
        <v>523</v>
      </c>
      <c r="C795" s="19">
        <v>47442</v>
      </c>
      <c r="D795" s="24">
        <v>4.3915126625598901</v>
      </c>
      <c r="E795" s="28">
        <v>104</v>
      </c>
      <c r="F795" s="39">
        <v>88.676281431666538</v>
      </c>
    </row>
    <row r="796" spans="2:6" x14ac:dyDescent="0.2">
      <c r="B796" s="9" t="s">
        <v>526</v>
      </c>
      <c r="C796" s="19">
        <v>46072</v>
      </c>
      <c r="D796" s="24">
        <v>0.64065708418891165</v>
      </c>
      <c r="E796" s="28">
        <v>4</v>
      </c>
      <c r="F796" s="39">
        <v>3.9112408351713031</v>
      </c>
    </row>
    <row r="797" spans="2:6" x14ac:dyDescent="0.2">
      <c r="B797" s="9" t="s">
        <v>526</v>
      </c>
      <c r="C797" s="19">
        <v>46437</v>
      </c>
      <c r="D797" s="24">
        <v>1.6399726214921291</v>
      </c>
      <c r="E797" s="28">
        <v>4</v>
      </c>
      <c r="F797" s="39">
        <v>3.7767074869768171</v>
      </c>
    </row>
    <row r="798" spans="2:6" x14ac:dyDescent="0.2">
      <c r="B798" s="9" t="s">
        <v>526</v>
      </c>
      <c r="C798" s="19">
        <v>46802</v>
      </c>
      <c r="D798" s="24">
        <v>2.6392881587953458</v>
      </c>
      <c r="E798" s="28">
        <v>4</v>
      </c>
      <c r="F798" s="39">
        <v>3.6404272339592332</v>
      </c>
    </row>
    <row r="799" spans="2:6" x14ac:dyDescent="0.2">
      <c r="B799" s="9" t="s">
        <v>526</v>
      </c>
      <c r="C799" s="19">
        <v>47168</v>
      </c>
      <c r="D799" s="24">
        <v>3.6413415468856951</v>
      </c>
      <c r="E799" s="28">
        <v>4</v>
      </c>
      <c r="F799" s="39">
        <v>3.499273987604679</v>
      </c>
    </row>
    <row r="800" spans="2:6" x14ac:dyDescent="0.2">
      <c r="B800" s="9" t="s">
        <v>526</v>
      </c>
      <c r="C800" s="19">
        <v>47533</v>
      </c>
      <c r="D800" s="24">
        <v>4.6406570841889119</v>
      </c>
      <c r="E800" s="28">
        <v>4</v>
      </c>
      <c r="F800" s="39">
        <v>3.3569885182038122</v>
      </c>
    </row>
    <row r="801" spans="2:6" x14ac:dyDescent="0.2">
      <c r="B801" s="9" t="s">
        <v>526</v>
      </c>
      <c r="C801" s="19">
        <v>47898</v>
      </c>
      <c r="D801" s="24">
        <v>5.6399726214921291</v>
      </c>
      <c r="E801" s="28">
        <v>4</v>
      </c>
      <c r="F801" s="39">
        <v>3.2137150321949242</v>
      </c>
    </row>
    <row r="802" spans="2:6" x14ac:dyDescent="0.2">
      <c r="B802" s="9" t="s">
        <v>526</v>
      </c>
      <c r="C802" s="19">
        <v>48263</v>
      </c>
      <c r="D802" s="24">
        <v>6.6392881587953454</v>
      </c>
      <c r="E802" s="28">
        <v>104</v>
      </c>
      <c r="F802" s="39">
        <v>79.82218115588924</v>
      </c>
    </row>
    <row r="803" spans="2:6" x14ac:dyDescent="0.2">
      <c r="B803" s="9" t="s">
        <v>529</v>
      </c>
      <c r="C803" s="19">
        <v>46070</v>
      </c>
      <c r="D803" s="24">
        <v>0.63518138261464752</v>
      </c>
      <c r="E803" s="28">
        <v>3.375</v>
      </c>
      <c r="F803" s="39">
        <v>3.313735900965602</v>
      </c>
    </row>
    <row r="804" spans="2:6" x14ac:dyDescent="0.2">
      <c r="B804" s="9" t="s">
        <v>529</v>
      </c>
      <c r="C804" s="19">
        <v>46435</v>
      </c>
      <c r="D804" s="24">
        <v>1.6344969199178641</v>
      </c>
      <c r="E804" s="28">
        <v>3.375</v>
      </c>
      <c r="F804" s="39">
        <v>3.2195938736337228</v>
      </c>
    </row>
    <row r="805" spans="2:6" x14ac:dyDescent="0.2">
      <c r="B805" s="9" t="s">
        <v>529</v>
      </c>
      <c r="C805" s="19">
        <v>46800</v>
      </c>
      <c r="D805" s="24">
        <v>2.6338124572210808</v>
      </c>
      <c r="E805" s="28">
        <v>3.375</v>
      </c>
      <c r="F805" s="39">
        <v>3.1227166370232662</v>
      </c>
    </row>
    <row r="806" spans="2:6" x14ac:dyDescent="0.2">
      <c r="B806" s="9" t="s">
        <v>529</v>
      </c>
      <c r="C806" s="19">
        <v>47166</v>
      </c>
      <c r="D806" s="24">
        <v>3.635865845311431</v>
      </c>
      <c r="E806" s="28">
        <v>3.375</v>
      </c>
      <c r="F806" s="39">
        <v>3.0203333329890811</v>
      </c>
    </row>
    <row r="807" spans="2:6" x14ac:dyDescent="0.2">
      <c r="B807" s="9" t="s">
        <v>529</v>
      </c>
      <c r="C807" s="19">
        <v>47531</v>
      </c>
      <c r="D807" s="24">
        <v>4.6351813826146477</v>
      </c>
      <c r="E807" s="28">
        <v>3.375</v>
      </c>
      <c r="F807" s="39">
        <v>2.9155206373084139</v>
      </c>
    </row>
    <row r="808" spans="2:6" x14ac:dyDescent="0.2">
      <c r="B808" s="9" t="s">
        <v>529</v>
      </c>
      <c r="C808" s="19">
        <v>47896</v>
      </c>
      <c r="D808" s="24">
        <v>5.6344969199178641</v>
      </c>
      <c r="E808" s="28">
        <v>3.375</v>
      </c>
      <c r="F808" s="39">
        <v>2.808426795364845</v>
      </c>
    </row>
    <row r="809" spans="2:6" x14ac:dyDescent="0.2">
      <c r="B809" s="9" t="s">
        <v>529</v>
      </c>
      <c r="C809" s="19">
        <v>48261</v>
      </c>
      <c r="D809" s="24">
        <v>6.6338124572210813</v>
      </c>
      <c r="E809" s="28">
        <v>3.375</v>
      </c>
      <c r="F809" s="39">
        <v>2.699574821900907</v>
      </c>
    </row>
    <row r="810" spans="2:6" x14ac:dyDescent="0.2">
      <c r="B810" s="9" t="s">
        <v>529</v>
      </c>
      <c r="C810" s="19">
        <v>48627</v>
      </c>
      <c r="D810" s="24">
        <v>7.6358658453114314</v>
      </c>
      <c r="E810" s="28">
        <v>3.375</v>
      </c>
      <c r="F810" s="39">
        <v>2.5892213003972961</v>
      </c>
    </row>
    <row r="811" spans="2:6" x14ac:dyDescent="0.2">
      <c r="B811" s="9" t="s">
        <v>529</v>
      </c>
      <c r="C811" s="19">
        <v>48992</v>
      </c>
      <c r="D811" s="24">
        <v>8.6351813826146469</v>
      </c>
      <c r="E811" s="28">
        <v>3.375</v>
      </c>
      <c r="F811" s="39">
        <v>2.4784694194301018</v>
      </c>
    </row>
    <row r="812" spans="2:6" x14ac:dyDescent="0.2">
      <c r="B812" s="9" t="s">
        <v>529</v>
      </c>
      <c r="C812" s="19">
        <v>49357</v>
      </c>
      <c r="D812" s="24">
        <v>9.6344969199178649</v>
      </c>
      <c r="E812" s="28">
        <v>103.375</v>
      </c>
      <c r="F812" s="39">
        <v>72.515694973294472</v>
      </c>
    </row>
    <row r="813" spans="2:6" x14ac:dyDescent="0.2">
      <c r="B813" s="9" t="s">
        <v>532</v>
      </c>
      <c r="C813" s="19">
        <v>46156</v>
      </c>
      <c r="D813" s="24">
        <v>0.87063655030800824</v>
      </c>
      <c r="E813" s="28">
        <v>2.95</v>
      </c>
      <c r="F813" s="39">
        <v>2.880401360107153</v>
      </c>
    </row>
    <row r="814" spans="2:6" x14ac:dyDescent="0.2">
      <c r="B814" s="9" t="s">
        <v>532</v>
      </c>
      <c r="C814" s="19">
        <v>46521</v>
      </c>
      <c r="D814" s="24">
        <v>1.869952087611225</v>
      </c>
      <c r="E814" s="28">
        <v>2.95</v>
      </c>
      <c r="F814" s="39">
        <v>2.8025377564549219</v>
      </c>
    </row>
    <row r="815" spans="2:6" x14ac:dyDescent="0.2">
      <c r="B815" s="9" t="s">
        <v>532</v>
      </c>
      <c r="C815" s="19">
        <v>46887</v>
      </c>
      <c r="D815" s="24">
        <v>2.8720054757015738</v>
      </c>
      <c r="E815" s="28">
        <v>2.95</v>
      </c>
      <c r="F815" s="39">
        <v>2.7195032533293308</v>
      </c>
    </row>
    <row r="816" spans="2:6" x14ac:dyDescent="0.2">
      <c r="B816" s="9" t="s">
        <v>532</v>
      </c>
      <c r="C816" s="19">
        <v>47252</v>
      </c>
      <c r="D816" s="24">
        <v>3.871321013004791</v>
      </c>
      <c r="E816" s="28">
        <v>2.95</v>
      </c>
      <c r="F816" s="39">
        <v>2.6330163922078942</v>
      </c>
    </row>
    <row r="817" spans="2:6" x14ac:dyDescent="0.2">
      <c r="B817" s="9" t="s">
        <v>532</v>
      </c>
      <c r="C817" s="19">
        <v>47617</v>
      </c>
      <c r="D817" s="24">
        <v>4.8706365503080082</v>
      </c>
      <c r="E817" s="28">
        <v>2.95</v>
      </c>
      <c r="F817" s="39">
        <v>2.5440061930348481</v>
      </c>
    </row>
    <row r="818" spans="2:6" x14ac:dyDescent="0.2">
      <c r="B818" s="9" t="s">
        <v>532</v>
      </c>
      <c r="C818" s="19">
        <v>47982</v>
      </c>
      <c r="D818" s="24">
        <v>5.8699520876112246</v>
      </c>
      <c r="E818" s="28">
        <v>102.95</v>
      </c>
      <c r="F818" s="39">
        <v>85.598562453956774</v>
      </c>
    </row>
    <row r="819" spans="2:6" x14ac:dyDescent="0.2">
      <c r="B819" s="9" t="s">
        <v>535</v>
      </c>
      <c r="C819" s="19">
        <v>46093</v>
      </c>
      <c r="D819" s="24">
        <v>0.69815195071868585</v>
      </c>
      <c r="E819" s="28">
        <v>3.875</v>
      </c>
      <c r="F819" s="39">
        <v>3.7853176383624279</v>
      </c>
    </row>
    <row r="820" spans="2:6" x14ac:dyDescent="0.2">
      <c r="B820" s="9" t="s">
        <v>535</v>
      </c>
      <c r="C820" s="19">
        <v>46458</v>
      </c>
      <c r="D820" s="24">
        <v>1.6974674880219029</v>
      </c>
      <c r="E820" s="28">
        <v>3.875</v>
      </c>
      <c r="F820" s="39">
        <v>3.660548449236666</v>
      </c>
    </row>
    <row r="821" spans="2:6" x14ac:dyDescent="0.2">
      <c r="B821" s="9" t="s">
        <v>535</v>
      </c>
      <c r="C821" s="19">
        <v>46824</v>
      </c>
      <c r="D821" s="24">
        <v>2.6995208761122522</v>
      </c>
      <c r="E821" s="28">
        <v>3.875</v>
      </c>
      <c r="F821" s="39">
        <v>3.5326431233351512</v>
      </c>
    </row>
    <row r="822" spans="2:6" x14ac:dyDescent="0.2">
      <c r="B822" s="9" t="s">
        <v>535</v>
      </c>
      <c r="C822" s="19">
        <v>47189</v>
      </c>
      <c r="D822" s="24">
        <v>3.698836413415469</v>
      </c>
      <c r="E822" s="28">
        <v>3.875</v>
      </c>
      <c r="F822" s="39">
        <v>3.400668883155475</v>
      </c>
    </row>
    <row r="823" spans="2:6" x14ac:dyDescent="0.2">
      <c r="B823" s="9" t="s">
        <v>535</v>
      </c>
      <c r="C823" s="19">
        <v>47554</v>
      </c>
      <c r="D823" s="24">
        <v>4.6981519507186862</v>
      </c>
      <c r="E823" s="28">
        <v>3.875</v>
      </c>
      <c r="F823" s="39">
        <v>3.2668526791609209</v>
      </c>
    </row>
    <row r="824" spans="2:6" x14ac:dyDescent="0.2">
      <c r="B824" s="9" t="s">
        <v>535</v>
      </c>
      <c r="C824" s="19">
        <v>47919</v>
      </c>
      <c r="D824" s="24">
        <v>5.6974674880219034</v>
      </c>
      <c r="E824" s="28">
        <v>103.875</v>
      </c>
      <c r="F824" s="39">
        <v>83.949510326749348</v>
      </c>
    </row>
    <row r="825" spans="2:6" x14ac:dyDescent="0.2">
      <c r="B825" s="9" t="s">
        <v>538</v>
      </c>
      <c r="C825" s="19">
        <v>46100</v>
      </c>
      <c r="D825" s="24">
        <v>0.71731690622861055</v>
      </c>
      <c r="E825" s="28">
        <v>4</v>
      </c>
      <c r="F825" s="39">
        <v>3.9144614567330822</v>
      </c>
    </row>
    <row r="826" spans="2:6" x14ac:dyDescent="0.2">
      <c r="B826" s="9" t="s">
        <v>538</v>
      </c>
      <c r="C826" s="19">
        <v>46465</v>
      </c>
      <c r="D826" s="24">
        <v>1.716632443531827</v>
      </c>
      <c r="E826" s="28">
        <v>4</v>
      </c>
      <c r="F826" s="39">
        <v>3.7983358321925</v>
      </c>
    </row>
    <row r="827" spans="2:6" x14ac:dyDescent="0.2">
      <c r="B827" s="9" t="s">
        <v>538</v>
      </c>
      <c r="C827" s="19">
        <v>46831</v>
      </c>
      <c r="D827" s="24">
        <v>2.7186858316221771</v>
      </c>
      <c r="E827" s="28">
        <v>4</v>
      </c>
      <c r="F827" s="39">
        <v>3.6778924408365872</v>
      </c>
    </row>
    <row r="828" spans="2:6" x14ac:dyDescent="0.2">
      <c r="B828" s="9" t="s">
        <v>538</v>
      </c>
      <c r="C828" s="19">
        <v>47196</v>
      </c>
      <c r="D828" s="24">
        <v>3.718001368925393</v>
      </c>
      <c r="E828" s="28">
        <v>4</v>
      </c>
      <c r="F828" s="39">
        <v>3.5524163948931662</v>
      </c>
    </row>
    <row r="829" spans="2:6" x14ac:dyDescent="0.2">
      <c r="B829" s="9" t="s">
        <v>538</v>
      </c>
      <c r="C829" s="19">
        <v>47561</v>
      </c>
      <c r="D829" s="24">
        <v>4.7173169062286107</v>
      </c>
      <c r="E829" s="28">
        <v>4</v>
      </c>
      <c r="F829" s="39">
        <v>3.424122775447902</v>
      </c>
    </row>
    <row r="830" spans="2:6" x14ac:dyDescent="0.2">
      <c r="B830" s="9" t="s">
        <v>538</v>
      </c>
      <c r="C830" s="19">
        <v>47926</v>
      </c>
      <c r="D830" s="24">
        <v>5.7166324435318279</v>
      </c>
      <c r="E830" s="28">
        <v>4</v>
      </c>
      <c r="F830" s="39">
        <v>3.293505280276265</v>
      </c>
    </row>
    <row r="831" spans="2:6" x14ac:dyDescent="0.2">
      <c r="B831" s="9" t="s">
        <v>538</v>
      </c>
      <c r="C831" s="19">
        <v>48292</v>
      </c>
      <c r="D831" s="24">
        <v>6.7186858316221763</v>
      </c>
      <c r="E831" s="28">
        <v>4</v>
      </c>
      <c r="F831" s="39">
        <v>3.1608518062037372</v>
      </c>
    </row>
    <row r="832" spans="2:6" x14ac:dyDescent="0.2">
      <c r="B832" s="9" t="s">
        <v>538</v>
      </c>
      <c r="C832" s="19">
        <v>48657</v>
      </c>
      <c r="D832" s="24">
        <v>7.7180013689253926</v>
      </c>
      <c r="E832" s="28">
        <v>4</v>
      </c>
      <c r="F832" s="39">
        <v>3.0275390529752242</v>
      </c>
    </row>
    <row r="833" spans="2:6" x14ac:dyDescent="0.2">
      <c r="B833" s="9" t="s">
        <v>538</v>
      </c>
      <c r="C833" s="19">
        <v>49022</v>
      </c>
      <c r="D833" s="24">
        <v>8.7173169062286107</v>
      </c>
      <c r="E833" s="28">
        <v>4</v>
      </c>
      <c r="F833" s="39">
        <v>2.893794472824704</v>
      </c>
    </row>
    <row r="834" spans="2:6" x14ac:dyDescent="0.2">
      <c r="B834" s="9" t="s">
        <v>538</v>
      </c>
      <c r="C834" s="19">
        <v>49387</v>
      </c>
      <c r="D834" s="24">
        <v>9.716632443531827</v>
      </c>
      <c r="E834" s="28">
        <v>104</v>
      </c>
      <c r="F834" s="39">
        <v>71.764765386945697</v>
      </c>
    </row>
    <row r="835" spans="2:6" x14ac:dyDescent="0.2">
      <c r="B835" s="9" t="s">
        <v>541</v>
      </c>
      <c r="C835" s="19">
        <v>46099</v>
      </c>
      <c r="D835" s="24">
        <v>0.71457905544147848</v>
      </c>
      <c r="E835" s="28">
        <v>3.5</v>
      </c>
      <c r="F835" s="39">
        <v>3.4310106819483539</v>
      </c>
    </row>
    <row r="836" spans="2:6" x14ac:dyDescent="0.2">
      <c r="B836" s="9" t="s">
        <v>541</v>
      </c>
      <c r="C836" s="19">
        <v>46464</v>
      </c>
      <c r="D836" s="24">
        <v>1.7138945927446949</v>
      </c>
      <c r="E836" s="28">
        <v>3.5</v>
      </c>
      <c r="F836" s="39">
        <v>3.3368059930757901</v>
      </c>
    </row>
    <row r="837" spans="2:6" x14ac:dyDescent="0.2">
      <c r="B837" s="9" t="s">
        <v>541</v>
      </c>
      <c r="C837" s="19">
        <v>46830</v>
      </c>
      <c r="D837" s="24">
        <v>2.7159479808350451</v>
      </c>
      <c r="E837" s="28">
        <v>3.5</v>
      </c>
      <c r="F837" s="39">
        <v>3.2384046021964519</v>
      </c>
    </row>
    <row r="838" spans="2:6" x14ac:dyDescent="0.2">
      <c r="B838" s="9" t="s">
        <v>541</v>
      </c>
      <c r="C838" s="19">
        <v>47195</v>
      </c>
      <c r="D838" s="24">
        <v>3.7152635181382609</v>
      </c>
      <c r="E838" s="28">
        <v>3.5</v>
      </c>
      <c r="F838" s="39">
        <v>3.135060750535426</v>
      </c>
    </row>
    <row r="839" spans="2:6" x14ac:dyDescent="0.2">
      <c r="B839" s="9" t="s">
        <v>541</v>
      </c>
      <c r="C839" s="19">
        <v>47560</v>
      </c>
      <c r="D839" s="24">
        <v>4.7145790554414786</v>
      </c>
      <c r="E839" s="28">
        <v>3.5</v>
      </c>
      <c r="F839" s="39">
        <v>3.028736106678565</v>
      </c>
    </row>
    <row r="840" spans="2:6" x14ac:dyDescent="0.2">
      <c r="B840" s="9" t="s">
        <v>541</v>
      </c>
      <c r="C840" s="19">
        <v>47925</v>
      </c>
      <c r="D840" s="24">
        <v>5.7138945927446958</v>
      </c>
      <c r="E840" s="28">
        <v>3.5</v>
      </c>
      <c r="F840" s="39">
        <v>2.919850094926415</v>
      </c>
    </row>
    <row r="841" spans="2:6" x14ac:dyDescent="0.2">
      <c r="B841" s="9" t="s">
        <v>541</v>
      </c>
      <c r="C841" s="19">
        <v>48291</v>
      </c>
      <c r="D841" s="24">
        <v>6.7159479808350442</v>
      </c>
      <c r="E841" s="28">
        <v>103.5</v>
      </c>
      <c r="F841" s="39">
        <v>83.056070111064528</v>
      </c>
    </row>
    <row r="842" spans="2:6" x14ac:dyDescent="0.2">
      <c r="B842" s="9" t="s">
        <v>544</v>
      </c>
      <c r="C842" s="19">
        <v>46112</v>
      </c>
      <c r="D842" s="24">
        <v>0.75017111567419581</v>
      </c>
      <c r="E842" s="28">
        <v>3.5</v>
      </c>
      <c r="F842" s="39">
        <v>3.4315401801159719</v>
      </c>
    </row>
    <row r="843" spans="2:6" x14ac:dyDescent="0.2">
      <c r="B843" s="9" t="s">
        <v>544</v>
      </c>
      <c r="C843" s="19">
        <v>46477</v>
      </c>
      <c r="D843" s="24">
        <v>1.7494866529774129</v>
      </c>
      <c r="E843" s="28">
        <v>3.5</v>
      </c>
      <c r="F843" s="39">
        <v>3.3424191989224181</v>
      </c>
    </row>
    <row r="844" spans="2:6" x14ac:dyDescent="0.2">
      <c r="B844" s="9" t="s">
        <v>544</v>
      </c>
      <c r="C844" s="19">
        <v>46843</v>
      </c>
      <c r="D844" s="24">
        <v>2.751540041067762</v>
      </c>
      <c r="E844" s="28">
        <v>3.5</v>
      </c>
      <c r="F844" s="39">
        <v>3.2484056134510069</v>
      </c>
    </row>
    <row r="845" spans="2:6" x14ac:dyDescent="0.2">
      <c r="B845" s="9" t="s">
        <v>544</v>
      </c>
      <c r="C845" s="19">
        <v>47208</v>
      </c>
      <c r="D845" s="24">
        <v>3.7508555783709792</v>
      </c>
      <c r="E845" s="28">
        <v>3.5</v>
      </c>
      <c r="F845" s="39">
        <v>3.1493143687626421</v>
      </c>
    </row>
    <row r="846" spans="2:6" x14ac:dyDescent="0.2">
      <c r="B846" s="9" t="s">
        <v>544</v>
      </c>
      <c r="C846" s="19">
        <v>47573</v>
      </c>
      <c r="D846" s="24">
        <v>4.7501711156741946</v>
      </c>
      <c r="E846" s="28">
        <v>3.5</v>
      </c>
      <c r="F846" s="39">
        <v>3.046929447696292</v>
      </c>
    </row>
    <row r="847" spans="2:6" x14ac:dyDescent="0.2">
      <c r="B847" s="9" t="s">
        <v>544</v>
      </c>
      <c r="C847" s="19">
        <v>47938</v>
      </c>
      <c r="D847" s="24">
        <v>5.7494866529774127</v>
      </c>
      <c r="E847" s="28">
        <v>3.5</v>
      </c>
      <c r="F847" s="39">
        <v>2.9416531965933812</v>
      </c>
    </row>
    <row r="848" spans="2:6" x14ac:dyDescent="0.2">
      <c r="B848" s="9" t="s">
        <v>544</v>
      </c>
      <c r="C848" s="19">
        <v>48304</v>
      </c>
      <c r="D848" s="24">
        <v>6.751540041067762</v>
      </c>
      <c r="E848" s="28">
        <v>3.5</v>
      </c>
      <c r="F848" s="39">
        <v>2.833755194024973</v>
      </c>
    </row>
    <row r="849" spans="2:6" x14ac:dyDescent="0.2">
      <c r="B849" s="9" t="s">
        <v>544</v>
      </c>
      <c r="C849" s="19">
        <v>48669</v>
      </c>
      <c r="D849" s="24">
        <v>7.7508555783709792</v>
      </c>
      <c r="E849" s="28">
        <v>3.5</v>
      </c>
      <c r="F849" s="39">
        <v>2.7243857241284841</v>
      </c>
    </row>
    <row r="850" spans="2:6" x14ac:dyDescent="0.2">
      <c r="B850" s="9" t="s">
        <v>544</v>
      </c>
      <c r="C850" s="19">
        <v>49034</v>
      </c>
      <c r="D850" s="24">
        <v>8.7501711156741955</v>
      </c>
      <c r="E850" s="28">
        <v>103.5</v>
      </c>
      <c r="F850" s="39">
        <v>77.292877871759401</v>
      </c>
    </row>
    <row r="851" spans="2:6" x14ac:dyDescent="0.2">
      <c r="B851" s="9" t="s">
        <v>547</v>
      </c>
      <c r="C851" s="19">
        <v>46113</v>
      </c>
      <c r="D851" s="24">
        <v>0.75290896646132788</v>
      </c>
      <c r="E851" s="28">
        <v>3.75</v>
      </c>
      <c r="F851" s="39">
        <v>3.662101225558283</v>
      </c>
    </row>
    <row r="852" spans="2:6" x14ac:dyDescent="0.2">
      <c r="B852" s="9" t="s">
        <v>547</v>
      </c>
      <c r="C852" s="19">
        <v>46478</v>
      </c>
      <c r="D852" s="24">
        <v>1.752224503764545</v>
      </c>
      <c r="E852" s="28">
        <v>3.75</v>
      </c>
      <c r="F852" s="39">
        <v>3.5486094957538432</v>
      </c>
    </row>
    <row r="853" spans="2:6" x14ac:dyDescent="0.2">
      <c r="B853" s="9" t="s">
        <v>547</v>
      </c>
      <c r="C853" s="19">
        <v>46844</v>
      </c>
      <c r="D853" s="24">
        <v>2.754277891854894</v>
      </c>
      <c r="E853" s="28">
        <v>3.75</v>
      </c>
      <c r="F853" s="39">
        <v>3.4309399134567329</v>
      </c>
    </row>
    <row r="854" spans="2:6" x14ac:dyDescent="0.2">
      <c r="B854" s="9" t="s">
        <v>547</v>
      </c>
      <c r="C854" s="19">
        <v>47209</v>
      </c>
      <c r="D854" s="24">
        <v>3.7535934291581108</v>
      </c>
      <c r="E854" s="28">
        <v>3.75</v>
      </c>
      <c r="F854" s="39">
        <v>3.3091194743983272</v>
      </c>
    </row>
    <row r="855" spans="2:6" x14ac:dyDescent="0.2">
      <c r="B855" s="9" t="s">
        <v>547</v>
      </c>
      <c r="C855" s="19">
        <v>47574</v>
      </c>
      <c r="D855" s="24">
        <v>4.7529089664613284</v>
      </c>
      <c r="E855" s="28">
        <v>103.75</v>
      </c>
      <c r="F855" s="39">
        <v>88.118935371058825</v>
      </c>
    </row>
    <row r="856" spans="2:6" x14ac:dyDescent="0.2">
      <c r="B856" s="9" t="s">
        <v>549</v>
      </c>
      <c r="C856" s="19">
        <v>46114</v>
      </c>
      <c r="D856" s="24">
        <v>0.75564681724845995</v>
      </c>
      <c r="E856" s="28">
        <v>4.125</v>
      </c>
      <c r="F856" s="39">
        <v>4.0232963318376154</v>
      </c>
    </row>
    <row r="857" spans="2:6" x14ac:dyDescent="0.2">
      <c r="B857" s="9" t="s">
        <v>549</v>
      </c>
      <c r="C857" s="19">
        <v>46479</v>
      </c>
      <c r="D857" s="24">
        <v>1.754962354551677</v>
      </c>
      <c r="E857" s="28">
        <v>4.125</v>
      </c>
      <c r="F857" s="39">
        <v>3.892637476694556</v>
      </c>
    </row>
    <row r="858" spans="2:6" x14ac:dyDescent="0.2">
      <c r="B858" s="9" t="s">
        <v>549</v>
      </c>
      <c r="C858" s="19">
        <v>46845</v>
      </c>
      <c r="D858" s="24">
        <v>2.7570157426420261</v>
      </c>
      <c r="E858" s="28">
        <v>4.125</v>
      </c>
      <c r="F858" s="39">
        <v>3.7577404571736408</v>
      </c>
    </row>
    <row r="859" spans="2:6" x14ac:dyDescent="0.2">
      <c r="B859" s="9" t="s">
        <v>549</v>
      </c>
      <c r="C859" s="19">
        <v>47210</v>
      </c>
      <c r="D859" s="24">
        <v>3.7563312799452429</v>
      </c>
      <c r="E859" s="28">
        <v>4.125</v>
      </c>
      <c r="F859" s="39">
        <v>3.6187428608479268</v>
      </c>
    </row>
    <row r="860" spans="2:6" x14ac:dyDescent="0.2">
      <c r="B860" s="9" t="s">
        <v>549</v>
      </c>
      <c r="C860" s="19">
        <v>47575</v>
      </c>
      <c r="D860" s="24">
        <v>4.7556468172484596</v>
      </c>
      <c r="E860" s="28">
        <v>104.125</v>
      </c>
      <c r="F860" s="39">
        <v>87.785007519910891</v>
      </c>
    </row>
    <row r="861" spans="2:6" x14ac:dyDescent="0.2">
      <c r="B861" s="9" t="s">
        <v>552</v>
      </c>
      <c r="C861" s="19">
        <v>46053</v>
      </c>
      <c r="D861" s="24">
        <v>0.58863791923340181</v>
      </c>
      <c r="E861" s="28">
        <v>4.875</v>
      </c>
      <c r="F861" s="39">
        <v>4.7575764269679857</v>
      </c>
    </row>
    <row r="862" spans="2:6" x14ac:dyDescent="0.2">
      <c r="B862" s="9" t="s">
        <v>552</v>
      </c>
      <c r="C862" s="19">
        <v>46418</v>
      </c>
      <c r="D862" s="24">
        <v>1.5879534565366189</v>
      </c>
      <c r="E862" s="28">
        <v>4.875</v>
      </c>
      <c r="F862" s="39">
        <v>4.5646697270499601</v>
      </c>
    </row>
    <row r="863" spans="2:6" x14ac:dyDescent="0.2">
      <c r="B863" s="9" t="s">
        <v>552</v>
      </c>
      <c r="C863" s="19">
        <v>46783</v>
      </c>
      <c r="D863" s="24">
        <v>2.5872689938398361</v>
      </c>
      <c r="E863" s="28">
        <v>4.875</v>
      </c>
      <c r="F863" s="39">
        <v>4.3726905268431731</v>
      </c>
    </row>
    <row r="864" spans="2:6" x14ac:dyDescent="0.2">
      <c r="B864" s="9" t="s">
        <v>552</v>
      </c>
      <c r="C864" s="19">
        <v>47149</v>
      </c>
      <c r="D864" s="24">
        <v>3.5893223819301849</v>
      </c>
      <c r="E864" s="28">
        <v>4.875</v>
      </c>
      <c r="F864" s="39">
        <v>4.1767499200062081</v>
      </c>
    </row>
    <row r="865" spans="2:6" x14ac:dyDescent="0.2">
      <c r="B865" s="9" t="s">
        <v>552</v>
      </c>
      <c r="C865" s="19">
        <v>47514</v>
      </c>
      <c r="D865" s="24">
        <v>4.5886379192334017</v>
      </c>
      <c r="E865" s="28">
        <v>4.875</v>
      </c>
      <c r="F865" s="39">
        <v>3.9818233868761048</v>
      </c>
    </row>
    <row r="866" spans="2:6" x14ac:dyDescent="0.2">
      <c r="B866" s="9" t="s">
        <v>552</v>
      </c>
      <c r="C866" s="19">
        <v>47879</v>
      </c>
      <c r="D866" s="24">
        <v>5.5879534565366189</v>
      </c>
      <c r="E866" s="28">
        <v>104.875</v>
      </c>
      <c r="F866" s="39">
        <v>81.491031678923235</v>
      </c>
    </row>
    <row r="867" spans="2:6" x14ac:dyDescent="0.2">
      <c r="B867" s="9" t="s">
        <v>555</v>
      </c>
      <c r="C867" s="19">
        <v>46188</v>
      </c>
      <c r="D867" s="24">
        <v>0.95824777549623541</v>
      </c>
      <c r="E867" s="28">
        <v>3.5</v>
      </c>
      <c r="F867" s="39">
        <v>3.4011483231660931</v>
      </c>
    </row>
    <row r="868" spans="2:6" x14ac:dyDescent="0.2">
      <c r="B868" s="9" t="s">
        <v>555</v>
      </c>
      <c r="C868" s="19">
        <v>46553</v>
      </c>
      <c r="D868" s="24">
        <v>1.9575633127994529</v>
      </c>
      <c r="E868" s="28">
        <v>3.5</v>
      </c>
      <c r="F868" s="39">
        <v>3.301032882277108</v>
      </c>
    </row>
    <row r="869" spans="2:6" x14ac:dyDescent="0.2">
      <c r="B869" s="9" t="s">
        <v>555</v>
      </c>
      <c r="C869" s="19">
        <v>46919</v>
      </c>
      <c r="D869" s="24">
        <v>2.9596167008898009</v>
      </c>
      <c r="E869" s="28">
        <v>3.5</v>
      </c>
      <c r="F869" s="39">
        <v>3.1941820674960262</v>
      </c>
    </row>
    <row r="870" spans="2:6" x14ac:dyDescent="0.2">
      <c r="B870" s="9" t="s">
        <v>555</v>
      </c>
      <c r="C870" s="19">
        <v>47284</v>
      </c>
      <c r="D870" s="24">
        <v>3.958932238193019</v>
      </c>
      <c r="E870" s="28">
        <v>3.5</v>
      </c>
      <c r="F870" s="39">
        <v>3.084399410388861</v>
      </c>
    </row>
    <row r="871" spans="2:6" x14ac:dyDescent="0.2">
      <c r="B871" s="9" t="s">
        <v>555</v>
      </c>
      <c r="C871" s="19">
        <v>47649</v>
      </c>
      <c r="D871" s="24">
        <v>4.9582477754962353</v>
      </c>
      <c r="E871" s="28">
        <v>3.5</v>
      </c>
      <c r="F871" s="39">
        <v>2.9722283811638639</v>
      </c>
    </row>
    <row r="872" spans="2:6" x14ac:dyDescent="0.2">
      <c r="B872" s="9" t="s">
        <v>555</v>
      </c>
      <c r="C872" s="19">
        <v>48014</v>
      </c>
      <c r="D872" s="24">
        <v>5.9575633127994534</v>
      </c>
      <c r="E872" s="28">
        <v>3.5</v>
      </c>
      <c r="F872" s="39">
        <v>2.8580552742677909</v>
      </c>
    </row>
    <row r="873" spans="2:6" x14ac:dyDescent="0.2">
      <c r="B873" s="9" t="s">
        <v>555</v>
      </c>
      <c r="C873" s="19">
        <v>48380</v>
      </c>
      <c r="D873" s="24">
        <v>6.9596167008898018</v>
      </c>
      <c r="E873" s="28">
        <v>103.5</v>
      </c>
      <c r="F873" s="39">
        <v>81.090967360662248</v>
      </c>
    </row>
    <row r="874" spans="2:6" x14ac:dyDescent="0.2">
      <c r="B874" s="9" t="s">
        <v>558</v>
      </c>
      <c r="C874" s="19">
        <v>46148</v>
      </c>
      <c r="D874" s="24">
        <v>0.84873374401095136</v>
      </c>
      <c r="E874" s="28">
        <v>3</v>
      </c>
      <c r="F874" s="39">
        <v>2.9373172132637109</v>
      </c>
    </row>
    <row r="875" spans="2:6" x14ac:dyDescent="0.2">
      <c r="B875" s="9" t="s">
        <v>558</v>
      </c>
      <c r="C875" s="19">
        <v>46513</v>
      </c>
      <c r="D875" s="24">
        <v>1.848049281314168</v>
      </c>
      <c r="E875" s="28">
        <v>3</v>
      </c>
      <c r="F875" s="39">
        <v>2.8651900792912639</v>
      </c>
    </row>
    <row r="876" spans="2:6" x14ac:dyDescent="0.2">
      <c r="B876" s="9" t="s">
        <v>558</v>
      </c>
      <c r="C876" s="19">
        <v>46879</v>
      </c>
      <c r="D876" s="24">
        <v>2.8501026694045168</v>
      </c>
      <c r="E876" s="28">
        <v>3</v>
      </c>
      <c r="F876" s="39">
        <v>2.7876317909970729</v>
      </c>
    </row>
    <row r="877" spans="2:6" x14ac:dyDescent="0.2">
      <c r="B877" s="9" t="s">
        <v>558</v>
      </c>
      <c r="C877" s="19">
        <v>47244</v>
      </c>
      <c r="D877" s="24">
        <v>3.849418206707734</v>
      </c>
      <c r="E877" s="28">
        <v>3</v>
      </c>
      <c r="F877" s="39">
        <v>2.705971541159808</v>
      </c>
    </row>
    <row r="878" spans="2:6" x14ac:dyDescent="0.2">
      <c r="B878" s="9" t="s">
        <v>558</v>
      </c>
      <c r="C878" s="19">
        <v>47609</v>
      </c>
      <c r="D878" s="24">
        <v>4.8487337440109517</v>
      </c>
      <c r="E878" s="28">
        <v>3</v>
      </c>
      <c r="F878" s="39">
        <v>2.6212694261537659</v>
      </c>
    </row>
    <row r="879" spans="2:6" x14ac:dyDescent="0.2">
      <c r="B879" s="9" t="s">
        <v>558</v>
      </c>
      <c r="C879" s="19">
        <v>47974</v>
      </c>
      <c r="D879" s="24">
        <v>5.848049281314168</v>
      </c>
      <c r="E879" s="28">
        <v>3</v>
      </c>
      <c r="F879" s="39">
        <v>2.533845218736857</v>
      </c>
    </row>
    <row r="880" spans="2:6" x14ac:dyDescent="0.2">
      <c r="B880" s="9" t="s">
        <v>558</v>
      </c>
      <c r="C880" s="19">
        <v>48340</v>
      </c>
      <c r="D880" s="24">
        <v>6.8501026694045173</v>
      </c>
      <c r="E880" s="28">
        <v>3</v>
      </c>
      <c r="F880" s="39">
        <v>2.443957546273726</v>
      </c>
    </row>
    <row r="881" spans="2:6" x14ac:dyDescent="0.2">
      <c r="B881" s="9" t="s">
        <v>558</v>
      </c>
      <c r="C881" s="19">
        <v>48705</v>
      </c>
      <c r="D881" s="24">
        <v>7.8494182067077336</v>
      </c>
      <c r="E881" s="28">
        <v>103</v>
      </c>
      <c r="F881" s="39">
        <v>80.771310309123791</v>
      </c>
    </row>
    <row r="882" spans="2:6" x14ac:dyDescent="0.2">
      <c r="B882" s="9" t="s">
        <v>561</v>
      </c>
      <c r="C882" s="19">
        <v>46171</v>
      </c>
      <c r="D882" s="24">
        <v>0.9117043121149897</v>
      </c>
      <c r="E882" s="28">
        <v>4.75</v>
      </c>
      <c r="F882" s="39">
        <v>4.5760864090846054</v>
      </c>
    </row>
    <row r="883" spans="2:6" x14ac:dyDescent="0.2">
      <c r="B883" s="9" t="s">
        <v>561</v>
      </c>
      <c r="C883" s="19">
        <v>46536</v>
      </c>
      <c r="D883" s="24">
        <v>1.9110198494182069</v>
      </c>
      <c r="E883" s="28">
        <v>4.75</v>
      </c>
      <c r="F883" s="39">
        <v>4.3927665637453721</v>
      </c>
    </row>
    <row r="884" spans="2:6" x14ac:dyDescent="0.2">
      <c r="B884" s="9" t="s">
        <v>561</v>
      </c>
      <c r="C884" s="19">
        <v>46902</v>
      </c>
      <c r="D884" s="24">
        <v>2.9130732375085562</v>
      </c>
      <c r="E884" s="28">
        <v>4.75</v>
      </c>
      <c r="F884" s="39">
        <v>4.2047060671350511</v>
      </c>
    </row>
    <row r="885" spans="2:6" x14ac:dyDescent="0.2">
      <c r="B885" s="9" t="s">
        <v>561</v>
      </c>
      <c r="C885" s="19">
        <v>47267</v>
      </c>
      <c r="D885" s="24">
        <v>3.9123887748117729</v>
      </c>
      <c r="E885" s="28">
        <v>4.75</v>
      </c>
      <c r="F885" s="39">
        <v>4.0161331651306913</v>
      </c>
    </row>
    <row r="886" spans="2:6" x14ac:dyDescent="0.2">
      <c r="B886" s="9" t="s">
        <v>561</v>
      </c>
      <c r="C886" s="19">
        <v>47632</v>
      </c>
      <c r="D886" s="24">
        <v>4.9117043121149901</v>
      </c>
      <c r="E886" s="28">
        <v>104.75</v>
      </c>
      <c r="F886" s="39">
        <v>84.419273558263058</v>
      </c>
    </row>
    <row r="887" spans="2:6" x14ac:dyDescent="0.2">
      <c r="B887" s="9" t="s">
        <v>564</v>
      </c>
      <c r="C887" s="19">
        <v>46182</v>
      </c>
      <c r="D887" s="24">
        <v>0.94182067077344289</v>
      </c>
      <c r="E887" s="28">
        <v>3.375</v>
      </c>
      <c r="F887" s="39">
        <v>3.280236345589493</v>
      </c>
    </row>
    <row r="888" spans="2:6" x14ac:dyDescent="0.2">
      <c r="B888" s="9" t="s">
        <v>564</v>
      </c>
      <c r="C888" s="19">
        <v>46547</v>
      </c>
      <c r="D888" s="24">
        <v>1.9411362080766601</v>
      </c>
      <c r="E888" s="28">
        <v>3.375</v>
      </c>
      <c r="F888" s="39">
        <v>3.1825954179425402</v>
      </c>
    </row>
    <row r="889" spans="2:6" x14ac:dyDescent="0.2">
      <c r="B889" s="9" t="s">
        <v>564</v>
      </c>
      <c r="C889" s="19">
        <v>46913</v>
      </c>
      <c r="D889" s="24">
        <v>2.9431895961670089</v>
      </c>
      <c r="E889" s="28">
        <v>3.375</v>
      </c>
      <c r="F889" s="39">
        <v>3.07873091422463</v>
      </c>
    </row>
    <row r="890" spans="2:6" x14ac:dyDescent="0.2">
      <c r="B890" s="9" t="s">
        <v>564</v>
      </c>
      <c r="C890" s="19">
        <v>47278</v>
      </c>
      <c r="D890" s="24">
        <v>3.9425051334702261</v>
      </c>
      <c r="E890" s="28">
        <v>3.375</v>
      </c>
      <c r="F890" s="39">
        <v>2.9720046139056451</v>
      </c>
    </row>
    <row r="891" spans="2:6" x14ac:dyDescent="0.2">
      <c r="B891" s="9" t="s">
        <v>564</v>
      </c>
      <c r="C891" s="19">
        <v>47643</v>
      </c>
      <c r="D891" s="24">
        <v>4.9418206707734429</v>
      </c>
      <c r="E891" s="28">
        <v>3.375</v>
      </c>
      <c r="F891" s="39">
        <v>2.8630428449693239</v>
      </c>
    </row>
    <row r="892" spans="2:6" x14ac:dyDescent="0.2">
      <c r="B892" s="9" t="s">
        <v>564</v>
      </c>
      <c r="C892" s="19">
        <v>48008</v>
      </c>
      <c r="D892" s="24">
        <v>5.9411362080766601</v>
      </c>
      <c r="E892" s="28">
        <v>103.375</v>
      </c>
      <c r="F892" s="39">
        <v>84.299561110052736</v>
      </c>
    </row>
    <row r="893" spans="2:6" x14ac:dyDescent="0.2">
      <c r="B893" s="9" t="s">
        <v>567</v>
      </c>
      <c r="C893" s="19">
        <v>46163</v>
      </c>
      <c r="D893" s="24">
        <v>0.88980150581793294</v>
      </c>
      <c r="E893" s="28">
        <v>3.875</v>
      </c>
      <c r="F893" s="39">
        <v>3.7637857212359771</v>
      </c>
    </row>
    <row r="894" spans="2:6" x14ac:dyDescent="0.2">
      <c r="B894" s="9" t="s">
        <v>567</v>
      </c>
      <c r="C894" s="19">
        <v>46528</v>
      </c>
      <c r="D894" s="24">
        <v>1.8891170431211499</v>
      </c>
      <c r="E894" s="28">
        <v>3.875</v>
      </c>
      <c r="F894" s="39">
        <v>3.6426843723106961</v>
      </c>
    </row>
    <row r="895" spans="2:6" x14ac:dyDescent="0.2">
      <c r="B895" s="9" t="s">
        <v>567</v>
      </c>
      <c r="C895" s="19">
        <v>46894</v>
      </c>
      <c r="D895" s="24">
        <v>2.8911704312114992</v>
      </c>
      <c r="E895" s="28">
        <v>3.875</v>
      </c>
      <c r="F895" s="39">
        <v>3.515758678502789</v>
      </c>
    </row>
    <row r="896" spans="2:6" x14ac:dyDescent="0.2">
      <c r="B896" s="9" t="s">
        <v>567</v>
      </c>
      <c r="C896" s="19">
        <v>47259</v>
      </c>
      <c r="D896" s="24">
        <v>3.890485968514716</v>
      </c>
      <c r="E896" s="28">
        <v>3.875</v>
      </c>
      <c r="F896" s="39">
        <v>3.3858208620793491</v>
      </c>
    </row>
    <row r="897" spans="2:6" x14ac:dyDescent="0.2">
      <c r="B897" s="9" t="s">
        <v>567</v>
      </c>
      <c r="C897" s="19">
        <v>47624</v>
      </c>
      <c r="D897" s="24">
        <v>4.8898015058179327</v>
      </c>
      <c r="E897" s="28">
        <v>3.875</v>
      </c>
      <c r="F897" s="39">
        <v>3.2539398221680429</v>
      </c>
    </row>
    <row r="898" spans="2:6" x14ac:dyDescent="0.2">
      <c r="B898" s="9" t="s">
        <v>567</v>
      </c>
      <c r="C898" s="19">
        <v>47989</v>
      </c>
      <c r="D898" s="24">
        <v>5.8891170431211499</v>
      </c>
      <c r="E898" s="28">
        <v>103.875</v>
      </c>
      <c r="F898" s="39">
        <v>83.651400960369813</v>
      </c>
    </row>
    <row r="899" spans="2:6" x14ac:dyDescent="0.2">
      <c r="B899" s="9" t="s">
        <v>570</v>
      </c>
      <c r="C899" s="19">
        <v>45866</v>
      </c>
      <c r="D899" s="24">
        <v>7.665982203969883E-2</v>
      </c>
      <c r="E899" s="28">
        <v>3.75</v>
      </c>
      <c r="F899" s="39">
        <v>3.739383584421526</v>
      </c>
    </row>
    <row r="900" spans="2:6" x14ac:dyDescent="0.2">
      <c r="B900" s="9" t="s">
        <v>570</v>
      </c>
      <c r="C900" s="19">
        <v>46231</v>
      </c>
      <c r="D900" s="24">
        <v>1.075975359342916</v>
      </c>
      <c r="E900" s="28">
        <v>3.75</v>
      </c>
      <c r="F900" s="39">
        <v>3.603709602007799</v>
      </c>
    </row>
    <row r="901" spans="2:6" x14ac:dyDescent="0.2">
      <c r="B901" s="9" t="s">
        <v>570</v>
      </c>
      <c r="C901" s="19">
        <v>46596</v>
      </c>
      <c r="D901" s="24">
        <v>2.0752908966461332</v>
      </c>
      <c r="E901" s="28">
        <v>3.75</v>
      </c>
      <c r="F901" s="39">
        <v>3.472395591620816</v>
      </c>
    </row>
    <row r="902" spans="2:6" x14ac:dyDescent="0.2">
      <c r="B902" s="9" t="s">
        <v>570</v>
      </c>
      <c r="C902" s="19">
        <v>46962</v>
      </c>
      <c r="D902" s="24">
        <v>3.077344284736482</v>
      </c>
      <c r="E902" s="28">
        <v>3.75</v>
      </c>
      <c r="F902" s="39">
        <v>3.3351273985568231</v>
      </c>
    </row>
    <row r="903" spans="2:6" x14ac:dyDescent="0.2">
      <c r="B903" s="9" t="s">
        <v>570</v>
      </c>
      <c r="C903" s="19">
        <v>47327</v>
      </c>
      <c r="D903" s="24">
        <v>4.0766598220396988</v>
      </c>
      <c r="E903" s="28">
        <v>3.75</v>
      </c>
      <c r="F903" s="39">
        <v>3.1970020101179268</v>
      </c>
    </row>
    <row r="904" spans="2:6" x14ac:dyDescent="0.2">
      <c r="B904" s="9" t="s">
        <v>570</v>
      </c>
      <c r="C904" s="19">
        <v>47692</v>
      </c>
      <c r="D904" s="24">
        <v>5.075975359342916</v>
      </c>
      <c r="E904" s="28">
        <v>103.75</v>
      </c>
      <c r="F904" s="39">
        <v>84.611470800616914</v>
      </c>
    </row>
    <row r="905" spans="2:6" x14ac:dyDescent="0.2">
      <c r="B905" s="9" t="s">
        <v>573</v>
      </c>
      <c r="C905" s="19">
        <v>46192</v>
      </c>
      <c r="D905" s="24">
        <v>0.9691991786447639</v>
      </c>
      <c r="E905" s="28">
        <v>3.375</v>
      </c>
      <c r="F905" s="39">
        <v>3.275124863654153</v>
      </c>
    </row>
    <row r="906" spans="2:6" x14ac:dyDescent="0.2">
      <c r="B906" s="9" t="s">
        <v>573</v>
      </c>
      <c r="C906" s="19">
        <v>46557</v>
      </c>
      <c r="D906" s="24">
        <v>1.968514715947981</v>
      </c>
      <c r="E906" s="28">
        <v>3.375</v>
      </c>
      <c r="F906" s="39">
        <v>3.1752400618306149</v>
      </c>
    </row>
    <row r="907" spans="2:6" x14ac:dyDescent="0.2">
      <c r="B907" s="9" t="s">
        <v>573</v>
      </c>
      <c r="C907" s="19">
        <v>46923</v>
      </c>
      <c r="D907" s="24">
        <v>2.97056810403833</v>
      </c>
      <c r="E907" s="28">
        <v>3.375</v>
      </c>
      <c r="F907" s="39">
        <v>3.0689521863657512</v>
      </c>
    </row>
    <row r="908" spans="2:6" x14ac:dyDescent="0.2">
      <c r="B908" s="9" t="s">
        <v>573</v>
      </c>
      <c r="C908" s="19">
        <v>47288</v>
      </c>
      <c r="D908" s="24">
        <v>3.9698836413415468</v>
      </c>
      <c r="E908" s="28">
        <v>3.375</v>
      </c>
      <c r="F908" s="39">
        <v>2.9601630619433021</v>
      </c>
    </row>
    <row r="909" spans="2:6" x14ac:dyDescent="0.2">
      <c r="B909" s="9" t="s">
        <v>573</v>
      </c>
      <c r="C909" s="19">
        <v>47653</v>
      </c>
      <c r="D909" s="24">
        <v>4.9691991786447636</v>
      </c>
      <c r="E909" s="28">
        <v>103.375</v>
      </c>
      <c r="F909" s="39">
        <v>87.273725302396656</v>
      </c>
    </row>
    <row r="910" spans="2:6" x14ac:dyDescent="0.2">
      <c r="B910" s="9" t="s">
        <v>576</v>
      </c>
      <c r="C910" s="19">
        <v>46178</v>
      </c>
      <c r="D910" s="24">
        <v>0.9308692676249144</v>
      </c>
      <c r="E910" s="28">
        <v>3.5</v>
      </c>
      <c r="F910" s="39">
        <v>3.399124086238031</v>
      </c>
    </row>
    <row r="911" spans="2:6" x14ac:dyDescent="0.2">
      <c r="B911" s="9" t="s">
        <v>576</v>
      </c>
      <c r="C911" s="19">
        <v>46543</v>
      </c>
      <c r="D911" s="24">
        <v>1.9301848049281309</v>
      </c>
      <c r="E911" s="28">
        <v>3.5</v>
      </c>
      <c r="F911" s="39">
        <v>3.294064469075332</v>
      </c>
    </row>
    <row r="912" spans="2:6" x14ac:dyDescent="0.2">
      <c r="B912" s="9" t="s">
        <v>576</v>
      </c>
      <c r="C912" s="19">
        <v>46909</v>
      </c>
      <c r="D912" s="24">
        <v>2.9322381930184811</v>
      </c>
      <c r="E912" s="28">
        <v>3.5</v>
      </c>
      <c r="F912" s="39">
        <v>3.1829431647021438</v>
      </c>
    </row>
    <row r="913" spans="2:6" x14ac:dyDescent="0.2">
      <c r="B913" s="9" t="s">
        <v>576</v>
      </c>
      <c r="C913" s="19">
        <v>47274</v>
      </c>
      <c r="D913" s="24">
        <v>3.931553730321697</v>
      </c>
      <c r="E913" s="28">
        <v>3.5</v>
      </c>
      <c r="F913" s="39">
        <v>3.0690591992737262</v>
      </c>
    </row>
    <row r="914" spans="2:6" x14ac:dyDescent="0.2">
      <c r="B914" s="9" t="s">
        <v>576</v>
      </c>
      <c r="C914" s="19">
        <v>47639</v>
      </c>
      <c r="D914" s="24">
        <v>4.9308692676249146</v>
      </c>
      <c r="E914" s="28">
        <v>103.5</v>
      </c>
      <c r="F914" s="39">
        <v>87.32821315763384</v>
      </c>
    </row>
    <row r="915" spans="2:6" x14ac:dyDescent="0.2">
      <c r="B915" s="9" t="s">
        <v>578</v>
      </c>
      <c r="C915" s="19">
        <v>46065</v>
      </c>
      <c r="D915" s="24">
        <v>0.62149212867898695</v>
      </c>
      <c r="E915" s="28">
        <v>3.625</v>
      </c>
      <c r="F915" s="39">
        <v>3.550548489353325</v>
      </c>
    </row>
    <row r="916" spans="2:6" x14ac:dyDescent="0.2">
      <c r="B916" s="9" t="s">
        <v>578</v>
      </c>
      <c r="C916" s="19">
        <v>46430</v>
      </c>
      <c r="D916" s="24">
        <v>1.6208076659822039</v>
      </c>
      <c r="E916" s="28">
        <v>3.625</v>
      </c>
      <c r="F916" s="39">
        <v>3.434028399131269</v>
      </c>
    </row>
    <row r="917" spans="2:6" x14ac:dyDescent="0.2">
      <c r="B917" s="9" t="s">
        <v>578</v>
      </c>
      <c r="C917" s="19">
        <v>46795</v>
      </c>
      <c r="D917" s="24">
        <v>2.6201232032854209</v>
      </c>
      <c r="E917" s="28">
        <v>3.625</v>
      </c>
      <c r="F917" s="39">
        <v>3.3157414655593489</v>
      </c>
    </row>
    <row r="918" spans="2:6" x14ac:dyDescent="0.2">
      <c r="B918" s="9" t="s">
        <v>578</v>
      </c>
      <c r="C918" s="19">
        <v>47161</v>
      </c>
      <c r="D918" s="24">
        <v>3.6221765913757702</v>
      </c>
      <c r="E918" s="28">
        <v>3.625</v>
      </c>
      <c r="F918" s="39">
        <v>3.1925311073580809</v>
      </c>
    </row>
    <row r="919" spans="2:6" x14ac:dyDescent="0.2">
      <c r="B919" s="9" t="s">
        <v>578</v>
      </c>
      <c r="C919" s="19">
        <v>47526</v>
      </c>
      <c r="D919" s="24">
        <v>4.6214921286789874</v>
      </c>
      <c r="E919" s="28">
        <v>3.625</v>
      </c>
      <c r="F919" s="39">
        <v>3.067848698297059</v>
      </c>
    </row>
    <row r="920" spans="2:6" x14ac:dyDescent="0.2">
      <c r="B920" s="9" t="s">
        <v>578</v>
      </c>
      <c r="C920" s="19">
        <v>47891</v>
      </c>
      <c r="D920" s="24">
        <v>5.6208076659822037</v>
      </c>
      <c r="E920" s="28">
        <v>3.625</v>
      </c>
      <c r="F920" s="39">
        <v>2.9418385635215918</v>
      </c>
    </row>
    <row r="921" spans="2:6" x14ac:dyDescent="0.2">
      <c r="B921" s="9" t="s">
        <v>578</v>
      </c>
      <c r="C921" s="19">
        <v>48256</v>
      </c>
      <c r="D921" s="24">
        <v>6.6201232032854209</v>
      </c>
      <c r="E921" s="28">
        <v>103.625</v>
      </c>
      <c r="F921" s="39">
        <v>80.472093417228763</v>
      </c>
    </row>
    <row r="922" spans="2:6" x14ac:dyDescent="0.2">
      <c r="B922" s="9" t="s">
        <v>581</v>
      </c>
      <c r="C922" s="19">
        <v>46197</v>
      </c>
      <c r="D922" s="24">
        <v>0.98288843258042435</v>
      </c>
      <c r="E922" s="28">
        <v>4.125</v>
      </c>
      <c r="F922" s="39">
        <v>3.9837383873673402</v>
      </c>
    </row>
    <row r="923" spans="2:6" x14ac:dyDescent="0.2">
      <c r="B923" s="9" t="s">
        <v>581</v>
      </c>
      <c r="C923" s="19">
        <v>46562</v>
      </c>
      <c r="D923" s="24">
        <v>1.9822039698836409</v>
      </c>
      <c r="E923" s="28">
        <v>4.125</v>
      </c>
      <c r="F923" s="39">
        <v>3.845074390859287</v>
      </c>
    </row>
    <row r="924" spans="2:6" x14ac:dyDescent="0.2">
      <c r="B924" s="9" t="s">
        <v>581</v>
      </c>
      <c r="C924" s="19">
        <v>46928</v>
      </c>
      <c r="D924" s="24">
        <v>2.9842573579739899</v>
      </c>
      <c r="E924" s="28">
        <v>4.125</v>
      </c>
      <c r="F924" s="39">
        <v>3.6995922110014252</v>
      </c>
    </row>
    <row r="925" spans="2:6" x14ac:dyDescent="0.2">
      <c r="B925" s="9" t="s">
        <v>581</v>
      </c>
      <c r="C925" s="19">
        <v>47293</v>
      </c>
      <c r="D925" s="24">
        <v>3.983572895277208</v>
      </c>
      <c r="E925" s="28">
        <v>4.125</v>
      </c>
      <c r="F925" s="39">
        <v>3.552485235326678</v>
      </c>
    </row>
    <row r="926" spans="2:6" x14ac:dyDescent="0.2">
      <c r="B926" s="9" t="s">
        <v>581</v>
      </c>
      <c r="C926" s="19">
        <v>47658</v>
      </c>
      <c r="D926" s="24">
        <v>4.9828884325804248</v>
      </c>
      <c r="E926" s="28">
        <v>104.125</v>
      </c>
      <c r="F926" s="39">
        <v>85.929520718841502</v>
      </c>
    </row>
  </sheetData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H256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2" customWidth="1"/>
    <col min="3" max="4" width="15" customWidth="1"/>
    <col min="5" max="5" width="10" customWidth="1"/>
    <col min="7" max="7" width="34" customWidth="1"/>
    <col min="8" max="8" width="14" customWidth="1"/>
  </cols>
  <sheetData>
    <row r="2" spans="2:8" ht="18" x14ac:dyDescent="0.2">
      <c r="B2" s="1" t="s">
        <v>624</v>
      </c>
    </row>
    <row r="3" spans="2:8" x14ac:dyDescent="0.2">
      <c r="B3" s="2" t="s">
        <v>625</v>
      </c>
    </row>
    <row r="6" spans="2:8" ht="30" customHeight="1" x14ac:dyDescent="0.2">
      <c r="B6" s="3" t="s">
        <v>589</v>
      </c>
      <c r="C6" s="3" t="s">
        <v>626</v>
      </c>
      <c r="D6" s="3" t="s">
        <v>627</v>
      </c>
      <c r="E6" s="3" t="s">
        <v>628</v>
      </c>
      <c r="G6" s="3" t="s">
        <v>629</v>
      </c>
      <c r="H6" s="3" t="s">
        <v>20</v>
      </c>
    </row>
    <row r="7" spans="2:8" x14ac:dyDescent="0.2">
      <c r="B7" s="19">
        <f>Calculs!B757</f>
        <v>45477</v>
      </c>
      <c r="C7" s="13">
        <f>Calculs!C757</f>
        <v>-1824504.523305082</v>
      </c>
      <c r="D7" s="13">
        <f>LARGE(Calculs!C507:C756,250-ROUNDUP(ROUND(RL_Confiance*250,9),0)+1)</f>
        <v>13902950.949699854</v>
      </c>
      <c r="E7" s="34">
        <f t="shared" ref="E7:E70" si="0">IF(C7&gt;D7,1,0)</f>
        <v>0</v>
      </c>
      <c r="G7" s="9" t="s">
        <v>630</v>
      </c>
      <c r="H7" s="34">
        <f>COUNT(D7:D256)</f>
        <v>250</v>
      </c>
    </row>
    <row r="8" spans="2:8" x14ac:dyDescent="0.2">
      <c r="B8" s="19">
        <f>Calculs!B758</f>
        <v>45478</v>
      </c>
      <c r="C8" s="13">
        <f>Calculs!C758</f>
        <v>-4612013.4125917507</v>
      </c>
      <c r="D8" s="13">
        <f>LARGE(Calculs!C508:C757,250-ROUNDUP(ROUND(RL_Confiance*250,9),0)+1)</f>
        <v>13902950.949699854</v>
      </c>
      <c r="E8" s="34">
        <f t="shared" si="0"/>
        <v>0</v>
      </c>
      <c r="G8" s="9" t="s">
        <v>631</v>
      </c>
      <c r="H8" s="34">
        <f>SUM(E7:E256)</f>
        <v>4</v>
      </c>
    </row>
    <row r="9" spans="2:8" x14ac:dyDescent="0.2">
      <c r="B9" s="19">
        <f>Calculs!B759</f>
        <v>45481</v>
      </c>
      <c r="C9" s="13">
        <f>Calculs!C759</f>
        <v>-5651271.8429357996</v>
      </c>
      <c r="D9" s="13">
        <f>LARGE(Calculs!C509:C758,250-ROUNDUP(ROUND(RL_Confiance*250,9),0)+1)</f>
        <v>13902950.949699854</v>
      </c>
      <c r="E9" s="34">
        <f t="shared" si="0"/>
        <v>0</v>
      </c>
      <c r="G9" s="9" t="s">
        <v>632</v>
      </c>
      <c r="H9" s="40">
        <f>H7*(1-RL_Confiance)</f>
        <v>2.5000000000000022</v>
      </c>
    </row>
    <row r="10" spans="2:8" x14ac:dyDescent="0.2">
      <c r="B10" s="19">
        <f>Calculs!B760</f>
        <v>45482</v>
      </c>
      <c r="C10" s="13">
        <f>Calculs!C760</f>
        <v>1287665.7631920946</v>
      </c>
      <c r="D10" s="13">
        <f>LARGE(Calculs!C510:C759,250-ROUNDUP(ROUND(RL_Confiance*250,9),0)+1)</f>
        <v>13902950.949699854</v>
      </c>
      <c r="E10" s="34">
        <f t="shared" si="0"/>
        <v>0</v>
      </c>
      <c r="G10" s="9" t="s">
        <v>633</v>
      </c>
      <c r="H10" s="20">
        <f>-2*((H7-H8)*LN(RL_Confiance)+H8*LN(1-RL_Confiance)-IF(H8=0,0,(H7-H8)*LN(1-H8/H7)+H8*LN(H8/H7)))</f>
        <v>0.76913836438584582</v>
      </c>
    </row>
    <row r="11" spans="2:8" x14ac:dyDescent="0.2">
      <c r="B11" s="19">
        <f>Calculs!B761</f>
        <v>45483</v>
      </c>
      <c r="C11" s="13">
        <f>Calculs!C761</f>
        <v>-1762033.5866845432</v>
      </c>
      <c r="D11" s="13">
        <f>LARGE(Calculs!C511:C760,250-ROUNDUP(ROUND(RL_Confiance*250,9),0)+1)</f>
        <v>13902950.949699854</v>
      </c>
      <c r="E11" s="34">
        <f t="shared" si="0"/>
        <v>0</v>
      </c>
      <c r="G11" s="9" t="s">
        <v>634</v>
      </c>
      <c r="H11" s="20">
        <f>CHIDIST(H10,1)</f>
        <v>0.38048373823895398</v>
      </c>
    </row>
    <row r="12" spans="2:8" x14ac:dyDescent="0.2">
      <c r="B12" s="19">
        <f>Calculs!B762</f>
        <v>45484</v>
      </c>
      <c r="C12" s="13">
        <f>Calculs!C762</f>
        <v>-10095479.774846267</v>
      </c>
      <c r="D12" s="13">
        <f>LARGE(Calculs!C512:C761,250-ROUNDUP(ROUND(RL_Confiance*250,9),0)+1)</f>
        <v>13902950.949699854</v>
      </c>
      <c r="E12" s="34">
        <f t="shared" si="0"/>
        <v>0</v>
      </c>
      <c r="G12" s="9" t="s">
        <v>635</v>
      </c>
      <c r="H12" s="9" t="str">
        <f>IF(H11&lt;0.05,"Calibration rejetée","Calibration non rejetée")</f>
        <v>Calibration non rejetée</v>
      </c>
    </row>
    <row r="13" spans="2:8" x14ac:dyDescent="0.2">
      <c r="B13" s="19">
        <f>Calculs!B763</f>
        <v>45485</v>
      </c>
      <c r="C13" s="13">
        <f>Calculs!C763</f>
        <v>3271100.1079252632</v>
      </c>
      <c r="D13" s="13">
        <f>LARGE(Calculs!C513:C762,250-ROUNDUP(ROUND(RL_Confiance*250,9),0)+1)</f>
        <v>13902950.949699854</v>
      </c>
      <c r="E13" s="34">
        <f t="shared" si="0"/>
        <v>0</v>
      </c>
    </row>
    <row r="14" spans="2:8" x14ac:dyDescent="0.2">
      <c r="B14" s="19">
        <f>Calculs!B764</f>
        <v>45488</v>
      </c>
      <c r="C14" s="13">
        <f>Calculs!C764</f>
        <v>3045386.1733953226</v>
      </c>
      <c r="D14" s="13">
        <f>LARGE(Calculs!C514:C763,250-ROUNDUP(ROUND(RL_Confiance*250,9),0)+1)</f>
        <v>13902950.949699854</v>
      </c>
      <c r="E14" s="34">
        <f t="shared" si="0"/>
        <v>0</v>
      </c>
    </row>
    <row r="15" spans="2:8" x14ac:dyDescent="0.2">
      <c r="B15" s="19">
        <f>Calculs!B765</f>
        <v>45489</v>
      </c>
      <c r="C15" s="13">
        <f>Calculs!C765</f>
        <v>-7915225.2410315145</v>
      </c>
      <c r="D15" s="13">
        <f>LARGE(Calculs!C515:C764,250-ROUNDUP(ROUND(RL_Confiance*250,9),0)+1)</f>
        <v>13902950.949699854</v>
      </c>
      <c r="E15" s="34">
        <f t="shared" si="0"/>
        <v>0</v>
      </c>
    </row>
    <row r="16" spans="2:8" x14ac:dyDescent="0.2">
      <c r="B16" s="19">
        <f>Calculs!B766</f>
        <v>45490</v>
      </c>
      <c r="C16" s="13">
        <f>Calculs!C766</f>
        <v>4373895.6639455771</v>
      </c>
      <c r="D16" s="13">
        <f>LARGE(Calculs!C516:C765,250-ROUNDUP(ROUND(RL_Confiance*250,9),0)+1)</f>
        <v>13902950.949699854</v>
      </c>
      <c r="E16" s="34">
        <f t="shared" si="0"/>
        <v>0</v>
      </c>
    </row>
    <row r="17" spans="2:5" x14ac:dyDescent="0.2">
      <c r="B17" s="19">
        <f>Calculs!B767</f>
        <v>45491</v>
      </c>
      <c r="C17" s="13">
        <f>Calculs!C767</f>
        <v>-6226613.2456856268</v>
      </c>
      <c r="D17" s="13">
        <f>LARGE(Calculs!C517:C766,250-ROUNDUP(ROUND(RL_Confiance*250,9),0)+1)</f>
        <v>13902950.949699854</v>
      </c>
      <c r="E17" s="34">
        <f t="shared" si="0"/>
        <v>0</v>
      </c>
    </row>
    <row r="18" spans="2:5" x14ac:dyDescent="0.2">
      <c r="B18" s="19">
        <f>Calculs!B768</f>
        <v>45492</v>
      </c>
      <c r="C18" s="13">
        <f>Calculs!C768</f>
        <v>7438876.3724595485</v>
      </c>
      <c r="D18" s="13">
        <f>LARGE(Calculs!C518:C767,250-ROUNDUP(ROUND(RL_Confiance*250,9),0)+1)</f>
        <v>13902950.949699854</v>
      </c>
      <c r="E18" s="34">
        <f t="shared" si="0"/>
        <v>0</v>
      </c>
    </row>
    <row r="19" spans="2:5" x14ac:dyDescent="0.2">
      <c r="B19" s="19">
        <f>Calculs!B769</f>
        <v>45495</v>
      </c>
      <c r="C19" s="13">
        <f>Calculs!C769</f>
        <v>-5006214.5421756376</v>
      </c>
      <c r="D19" s="13">
        <f>LARGE(Calculs!C519:C768,250-ROUNDUP(ROUND(RL_Confiance*250,9),0)+1)</f>
        <v>13902950.949699854</v>
      </c>
      <c r="E19" s="34">
        <f t="shared" si="0"/>
        <v>0</v>
      </c>
    </row>
    <row r="20" spans="2:5" x14ac:dyDescent="0.2">
      <c r="B20" s="19">
        <f>Calculs!B770</f>
        <v>45496</v>
      </c>
      <c r="C20" s="13">
        <f>Calculs!C770</f>
        <v>-843191.07655323285</v>
      </c>
      <c r="D20" s="13">
        <f>LARGE(Calculs!C520:C769,250-ROUNDUP(ROUND(RL_Confiance*250,9),0)+1)</f>
        <v>13902950.949699854</v>
      </c>
      <c r="E20" s="34">
        <f t="shared" si="0"/>
        <v>0</v>
      </c>
    </row>
    <row r="21" spans="2:5" x14ac:dyDescent="0.2">
      <c r="B21" s="19">
        <f>Calculs!B771</f>
        <v>45497</v>
      </c>
      <c r="C21" s="13">
        <f>Calculs!C771</f>
        <v>-1302835.571959787</v>
      </c>
      <c r="D21" s="13">
        <f>LARGE(Calculs!C521:C770,250-ROUNDUP(ROUND(RL_Confiance*250,9),0)+1)</f>
        <v>13902950.949699854</v>
      </c>
      <c r="E21" s="34">
        <f t="shared" si="0"/>
        <v>0</v>
      </c>
    </row>
    <row r="22" spans="2:5" x14ac:dyDescent="0.2">
      <c r="B22" s="19">
        <f>Calculs!B772</f>
        <v>45498</v>
      </c>
      <c r="C22" s="13">
        <f>Calculs!C772</f>
        <v>-2771627.1605148781</v>
      </c>
      <c r="D22" s="13">
        <f>LARGE(Calculs!C522:C771,250-ROUNDUP(ROUND(RL_Confiance*250,9),0)+1)</f>
        <v>13902950.949699854</v>
      </c>
      <c r="E22" s="34">
        <f t="shared" si="0"/>
        <v>0</v>
      </c>
    </row>
    <row r="23" spans="2:5" x14ac:dyDescent="0.2">
      <c r="B23" s="19">
        <f>Calculs!B773</f>
        <v>45499</v>
      </c>
      <c r="C23" s="13">
        <f>Calculs!C773</f>
        <v>-2307170.3503196156</v>
      </c>
      <c r="D23" s="13">
        <f>LARGE(Calculs!C523:C772,250-ROUNDUP(ROUND(RL_Confiance*250,9),0)+1)</f>
        <v>13902950.949699854</v>
      </c>
      <c r="E23" s="34">
        <f t="shared" si="0"/>
        <v>0</v>
      </c>
    </row>
    <row r="24" spans="2:5" x14ac:dyDescent="0.2">
      <c r="B24" s="19">
        <f>Calculs!B774</f>
        <v>45502</v>
      </c>
      <c r="C24" s="13">
        <f>Calculs!C774</f>
        <v>1893827.0355650582</v>
      </c>
      <c r="D24" s="13">
        <f>LARGE(Calculs!C524:C773,250-ROUNDUP(ROUND(RL_Confiance*250,9),0)+1)</f>
        <v>13902950.949699854</v>
      </c>
      <c r="E24" s="34">
        <f t="shared" si="0"/>
        <v>0</v>
      </c>
    </row>
    <row r="25" spans="2:5" x14ac:dyDescent="0.2">
      <c r="B25" s="19">
        <f>Calculs!B775</f>
        <v>45503</v>
      </c>
      <c r="C25" s="13">
        <f>Calculs!C775</f>
        <v>-9850624.9392755162</v>
      </c>
      <c r="D25" s="13">
        <f>LARGE(Calculs!C525:C774,250-ROUNDUP(ROUND(RL_Confiance*250,9),0)+1)</f>
        <v>13902950.949699854</v>
      </c>
      <c r="E25" s="34">
        <f t="shared" si="0"/>
        <v>0</v>
      </c>
    </row>
    <row r="26" spans="2:5" x14ac:dyDescent="0.2">
      <c r="B26" s="19">
        <f>Calculs!B776</f>
        <v>45504</v>
      </c>
      <c r="C26" s="13">
        <f>Calculs!C776</f>
        <v>-3592957.0868160143</v>
      </c>
      <c r="D26" s="13">
        <f>LARGE(Calculs!C526:C775,250-ROUNDUP(ROUND(RL_Confiance*250,9),0)+1)</f>
        <v>13902950.949699854</v>
      </c>
      <c r="E26" s="34">
        <f t="shared" si="0"/>
        <v>0</v>
      </c>
    </row>
    <row r="27" spans="2:5" x14ac:dyDescent="0.2">
      <c r="B27" s="19">
        <f>Calculs!B777</f>
        <v>45505</v>
      </c>
      <c r="C27" s="13">
        <f>Calculs!C777</f>
        <v>-3845385.9697757224</v>
      </c>
      <c r="D27" s="13">
        <f>LARGE(Calculs!C527:C776,250-ROUNDUP(ROUND(RL_Confiance*250,9),0)+1)</f>
        <v>13902950.949699854</v>
      </c>
      <c r="E27" s="34">
        <f t="shared" si="0"/>
        <v>0</v>
      </c>
    </row>
    <row r="28" spans="2:5" x14ac:dyDescent="0.2">
      <c r="B28" s="19">
        <f>Calculs!B778</f>
        <v>45506</v>
      </c>
      <c r="C28" s="13">
        <f>Calculs!C778</f>
        <v>-3454401.6269777603</v>
      </c>
      <c r="D28" s="13">
        <f>LARGE(Calculs!C528:C777,250-ROUNDUP(ROUND(RL_Confiance*250,9),0)+1)</f>
        <v>13902950.949699854</v>
      </c>
      <c r="E28" s="34">
        <f t="shared" si="0"/>
        <v>0</v>
      </c>
    </row>
    <row r="29" spans="2:5" x14ac:dyDescent="0.2">
      <c r="B29" s="19">
        <f>Calculs!B779</f>
        <v>45509</v>
      </c>
      <c r="C29" s="13">
        <f>Calculs!C779</f>
        <v>15502459.234624526</v>
      </c>
      <c r="D29" s="13">
        <f>LARGE(Calculs!C529:C778,250-ROUNDUP(ROUND(RL_Confiance*250,9),0)+1)</f>
        <v>13902950.949699854</v>
      </c>
      <c r="E29" s="34">
        <f t="shared" si="0"/>
        <v>1</v>
      </c>
    </row>
    <row r="30" spans="2:5" x14ac:dyDescent="0.2">
      <c r="B30" s="19">
        <f>Calculs!B780</f>
        <v>45510</v>
      </c>
      <c r="C30" s="13">
        <f>Calculs!C780</f>
        <v>10423069.737685379</v>
      </c>
      <c r="D30" s="13">
        <f>LARGE(Calculs!C530:C779,250-ROUNDUP(ROUND(RL_Confiance*250,9),0)+1)</f>
        <v>15502459.234624526</v>
      </c>
      <c r="E30" s="34">
        <f t="shared" si="0"/>
        <v>0</v>
      </c>
    </row>
    <row r="31" spans="2:5" x14ac:dyDescent="0.2">
      <c r="B31" s="19">
        <f>Calculs!B781</f>
        <v>45511</v>
      </c>
      <c r="C31" s="13">
        <f>Calculs!C781</f>
        <v>-1542150.2164997044</v>
      </c>
      <c r="D31" s="13">
        <f>LARGE(Calculs!C531:C780,250-ROUNDUP(ROUND(RL_Confiance*250,9),0)+1)</f>
        <v>15502459.234624526</v>
      </c>
      <c r="E31" s="34">
        <f t="shared" si="0"/>
        <v>0</v>
      </c>
    </row>
    <row r="32" spans="2:5" x14ac:dyDescent="0.2">
      <c r="B32" s="19">
        <f>Calculs!B782</f>
        <v>45512</v>
      </c>
      <c r="C32" s="13">
        <f>Calculs!C782</f>
        <v>2374290.7980844392</v>
      </c>
      <c r="D32" s="13">
        <f>LARGE(Calculs!C532:C781,250-ROUNDUP(ROUND(RL_Confiance*250,9),0)+1)</f>
        <v>15502459.234624526</v>
      </c>
      <c r="E32" s="34">
        <f t="shared" si="0"/>
        <v>0</v>
      </c>
    </row>
    <row r="33" spans="2:5" x14ac:dyDescent="0.2">
      <c r="B33" s="19">
        <f>Calculs!B783</f>
        <v>45513</v>
      </c>
      <c r="C33" s="13">
        <f>Calculs!C783</f>
        <v>-9682424.4812603164</v>
      </c>
      <c r="D33" s="13">
        <f>LARGE(Calculs!C533:C782,250-ROUNDUP(ROUND(RL_Confiance*250,9),0)+1)</f>
        <v>15502459.234624526</v>
      </c>
      <c r="E33" s="34">
        <f t="shared" si="0"/>
        <v>0</v>
      </c>
    </row>
    <row r="34" spans="2:5" x14ac:dyDescent="0.2">
      <c r="B34" s="19">
        <f>Calculs!B784</f>
        <v>45516</v>
      </c>
      <c r="C34" s="13">
        <f>Calculs!C784</f>
        <v>2351227.8681533141</v>
      </c>
      <c r="D34" s="13">
        <f>LARGE(Calculs!C534:C783,250-ROUNDUP(ROUND(RL_Confiance*250,9),0)+1)</f>
        <v>15502459.234624526</v>
      </c>
      <c r="E34" s="34">
        <f t="shared" si="0"/>
        <v>0</v>
      </c>
    </row>
    <row r="35" spans="2:5" x14ac:dyDescent="0.2">
      <c r="B35" s="19">
        <f>Calculs!B785</f>
        <v>45517</v>
      </c>
      <c r="C35" s="13">
        <f>Calculs!C785</f>
        <v>-6105582.2994537279</v>
      </c>
      <c r="D35" s="13">
        <f>LARGE(Calculs!C535:C784,250-ROUNDUP(ROUND(RL_Confiance*250,9),0)+1)</f>
        <v>15502459.234624526</v>
      </c>
      <c r="E35" s="34">
        <f t="shared" si="0"/>
        <v>0</v>
      </c>
    </row>
    <row r="36" spans="2:5" x14ac:dyDescent="0.2">
      <c r="B36" s="19">
        <f>Calculs!B786</f>
        <v>45518</v>
      </c>
      <c r="C36" s="13">
        <f>Calculs!C786</f>
        <v>-522393.52286108013</v>
      </c>
      <c r="D36" s="13">
        <f>LARGE(Calculs!C536:C785,250-ROUNDUP(ROUND(RL_Confiance*250,9),0)+1)</f>
        <v>15502459.234624526</v>
      </c>
      <c r="E36" s="34">
        <f t="shared" si="0"/>
        <v>0</v>
      </c>
    </row>
    <row r="37" spans="2:5" x14ac:dyDescent="0.2">
      <c r="B37" s="19">
        <f>Calculs!B787</f>
        <v>45519</v>
      </c>
      <c r="C37" s="13">
        <f>Calculs!C787</f>
        <v>8015555.8489077538</v>
      </c>
      <c r="D37" s="13">
        <f>LARGE(Calculs!C537:C786,250-ROUNDUP(ROUND(RL_Confiance*250,9),0)+1)</f>
        <v>15502459.234624526</v>
      </c>
      <c r="E37" s="34">
        <f t="shared" si="0"/>
        <v>0</v>
      </c>
    </row>
    <row r="38" spans="2:5" x14ac:dyDescent="0.2">
      <c r="B38" s="19">
        <f>Calculs!B788</f>
        <v>45520</v>
      </c>
      <c r="C38" s="13">
        <f>Calculs!C788</f>
        <v>-5806374.1082979133</v>
      </c>
      <c r="D38" s="13">
        <f>LARGE(Calculs!C538:C787,250-ROUNDUP(ROUND(RL_Confiance*250,9),0)+1)</f>
        <v>15502459.234624526</v>
      </c>
      <c r="E38" s="34">
        <f t="shared" si="0"/>
        <v>0</v>
      </c>
    </row>
    <row r="39" spans="2:5" x14ac:dyDescent="0.2">
      <c r="B39" s="19">
        <f>Calculs!B789</f>
        <v>45523</v>
      </c>
      <c r="C39" s="13">
        <f>Calculs!C789</f>
        <v>2893016.2700664825</v>
      </c>
      <c r="D39" s="13">
        <f>LARGE(Calculs!C539:C788,250-ROUNDUP(ROUND(RL_Confiance*250,9),0)+1)</f>
        <v>15502459.234624526</v>
      </c>
      <c r="E39" s="34">
        <f t="shared" si="0"/>
        <v>0</v>
      </c>
    </row>
    <row r="40" spans="2:5" x14ac:dyDescent="0.2">
      <c r="B40" s="19">
        <f>Calculs!B790</f>
        <v>45524</v>
      </c>
      <c r="C40" s="13">
        <f>Calculs!C790</f>
        <v>-6515611.828064736</v>
      </c>
      <c r="D40" s="13">
        <f>LARGE(Calculs!C540:C789,250-ROUNDUP(ROUND(RL_Confiance*250,9),0)+1)</f>
        <v>15502459.234624526</v>
      </c>
      <c r="E40" s="34">
        <f t="shared" si="0"/>
        <v>0</v>
      </c>
    </row>
    <row r="41" spans="2:5" x14ac:dyDescent="0.2">
      <c r="B41" s="19">
        <f>Calculs!B791</f>
        <v>45525</v>
      </c>
      <c r="C41" s="13">
        <f>Calculs!C791</f>
        <v>-1391940.0536819606</v>
      </c>
      <c r="D41" s="13">
        <f>LARGE(Calculs!C541:C790,250-ROUNDUP(ROUND(RL_Confiance*250,9),0)+1)</f>
        <v>15502459.234624526</v>
      </c>
      <c r="E41" s="34">
        <f t="shared" si="0"/>
        <v>0</v>
      </c>
    </row>
    <row r="42" spans="2:5" x14ac:dyDescent="0.2">
      <c r="B42" s="19">
        <f>Calculs!B792</f>
        <v>45526</v>
      </c>
      <c r="C42" s="13">
        <f>Calculs!C792</f>
        <v>269055.37414999184</v>
      </c>
      <c r="D42" s="13">
        <f>LARGE(Calculs!C542:C791,250-ROUNDUP(ROUND(RL_Confiance*250,9),0)+1)</f>
        <v>15502459.234624526</v>
      </c>
      <c r="E42" s="34">
        <f t="shared" si="0"/>
        <v>0</v>
      </c>
    </row>
    <row r="43" spans="2:5" x14ac:dyDescent="0.2">
      <c r="B43" s="19">
        <f>Calculs!B793</f>
        <v>45527</v>
      </c>
      <c r="C43" s="13">
        <f>Calculs!C793</f>
        <v>-637189.22170358372</v>
      </c>
      <c r="D43" s="13">
        <f>LARGE(Calculs!C543:C792,250-ROUNDUP(ROUND(RL_Confiance*250,9),0)+1)</f>
        <v>15502459.234624526</v>
      </c>
      <c r="E43" s="34">
        <f t="shared" si="0"/>
        <v>0</v>
      </c>
    </row>
    <row r="44" spans="2:5" x14ac:dyDescent="0.2">
      <c r="B44" s="19">
        <f>Calculs!B794</f>
        <v>45530</v>
      </c>
      <c r="C44" s="13">
        <f>Calculs!C794</f>
        <v>1609135.2030656913</v>
      </c>
      <c r="D44" s="13">
        <f>LARGE(Calculs!C544:C793,250-ROUNDUP(ROUND(RL_Confiance*250,9),0)+1)</f>
        <v>15502459.234624526</v>
      </c>
      <c r="E44" s="34">
        <f t="shared" si="0"/>
        <v>0</v>
      </c>
    </row>
    <row r="45" spans="2:5" x14ac:dyDescent="0.2">
      <c r="B45" s="19">
        <f>Calculs!B795</f>
        <v>45531</v>
      </c>
      <c r="C45" s="13">
        <f>Calculs!C795</f>
        <v>2051376.4625841167</v>
      </c>
      <c r="D45" s="13">
        <f>LARGE(Calculs!C545:C794,250-ROUNDUP(ROUND(RL_Confiance*250,9),0)+1)</f>
        <v>15502459.234624526</v>
      </c>
      <c r="E45" s="34">
        <f t="shared" si="0"/>
        <v>0</v>
      </c>
    </row>
    <row r="46" spans="2:5" x14ac:dyDescent="0.2">
      <c r="B46" s="19">
        <f>Calculs!B796</f>
        <v>45532</v>
      </c>
      <c r="C46" s="13">
        <f>Calculs!C796</f>
        <v>-3302974.867668502</v>
      </c>
      <c r="D46" s="13">
        <f>LARGE(Calculs!C546:C795,250-ROUNDUP(ROUND(RL_Confiance*250,9),0)+1)</f>
        <v>15502459.234624526</v>
      </c>
      <c r="E46" s="34">
        <f t="shared" si="0"/>
        <v>0</v>
      </c>
    </row>
    <row r="47" spans="2:5" x14ac:dyDescent="0.2">
      <c r="B47" s="19">
        <f>Calculs!B797</f>
        <v>45533</v>
      </c>
      <c r="C47" s="13">
        <f>Calculs!C797</f>
        <v>2878213.8506415649</v>
      </c>
      <c r="D47" s="13">
        <f>LARGE(Calculs!C547:C796,250-ROUNDUP(ROUND(RL_Confiance*250,9),0)+1)</f>
        <v>15502459.234624526</v>
      </c>
      <c r="E47" s="34">
        <f t="shared" si="0"/>
        <v>0</v>
      </c>
    </row>
    <row r="48" spans="2:5" x14ac:dyDescent="0.2">
      <c r="B48" s="19">
        <f>Calculs!B798</f>
        <v>45534</v>
      </c>
      <c r="C48" s="13">
        <f>Calculs!C798</f>
        <v>2023708.0948369317</v>
      </c>
      <c r="D48" s="13">
        <f>LARGE(Calculs!C548:C797,250-ROUNDUP(ROUND(RL_Confiance*250,9),0)+1)</f>
        <v>15502459.234624526</v>
      </c>
      <c r="E48" s="34">
        <f t="shared" si="0"/>
        <v>0</v>
      </c>
    </row>
    <row r="49" spans="2:5" x14ac:dyDescent="0.2">
      <c r="B49" s="19">
        <f>Calculs!B799</f>
        <v>45537</v>
      </c>
      <c r="C49" s="13">
        <f>Calculs!C799</f>
        <v>3623669.6164183971</v>
      </c>
      <c r="D49" s="13">
        <f>LARGE(Calculs!C549:C798,250-ROUNDUP(ROUND(RL_Confiance*250,9),0)+1)</f>
        <v>15502459.234624526</v>
      </c>
      <c r="E49" s="34">
        <f t="shared" si="0"/>
        <v>0</v>
      </c>
    </row>
    <row r="50" spans="2:5" x14ac:dyDescent="0.2">
      <c r="B50" s="19">
        <f>Calculs!B800</f>
        <v>45538</v>
      </c>
      <c r="C50" s="13">
        <f>Calculs!C800</f>
        <v>-3945721.1622209609</v>
      </c>
      <c r="D50" s="13">
        <f>LARGE(Calculs!C550:C799,250-ROUNDUP(ROUND(RL_Confiance*250,9),0)+1)</f>
        <v>15502459.234624526</v>
      </c>
      <c r="E50" s="34">
        <f t="shared" si="0"/>
        <v>0</v>
      </c>
    </row>
    <row r="51" spans="2:5" x14ac:dyDescent="0.2">
      <c r="B51" s="19">
        <f>Calculs!B801</f>
        <v>45539</v>
      </c>
      <c r="C51" s="13">
        <f>Calculs!C801</f>
        <v>-3806149.7265505455</v>
      </c>
      <c r="D51" s="13">
        <f>LARGE(Calculs!C551:C800,250-ROUNDUP(ROUND(RL_Confiance*250,9),0)+1)</f>
        <v>15502459.234624526</v>
      </c>
      <c r="E51" s="34">
        <f t="shared" si="0"/>
        <v>0</v>
      </c>
    </row>
    <row r="52" spans="2:5" x14ac:dyDescent="0.2">
      <c r="B52" s="19">
        <f>Calculs!B802</f>
        <v>45540</v>
      </c>
      <c r="C52" s="13">
        <f>Calculs!C802</f>
        <v>-1849621.7225381222</v>
      </c>
      <c r="D52" s="13">
        <f>LARGE(Calculs!C552:C801,250-ROUNDUP(ROUND(RL_Confiance*250,9),0)+1)</f>
        <v>15502459.234624526</v>
      </c>
      <c r="E52" s="34">
        <f t="shared" si="0"/>
        <v>0</v>
      </c>
    </row>
    <row r="53" spans="2:5" x14ac:dyDescent="0.2">
      <c r="B53" s="19">
        <f>Calculs!B803</f>
        <v>45541</v>
      </c>
      <c r="C53" s="13">
        <f>Calculs!C803</f>
        <v>968693.27088199451</v>
      </c>
      <c r="D53" s="13">
        <f>LARGE(Calculs!C553:C802,250-ROUNDUP(ROUND(RL_Confiance*250,9),0)+1)</f>
        <v>15502459.234624526</v>
      </c>
      <c r="E53" s="34">
        <f t="shared" si="0"/>
        <v>0</v>
      </c>
    </row>
    <row r="54" spans="2:5" x14ac:dyDescent="0.2">
      <c r="B54" s="19">
        <f>Calculs!B804</f>
        <v>45544</v>
      </c>
      <c r="C54" s="13">
        <f>Calculs!C804</f>
        <v>-11048161.469946597</v>
      </c>
      <c r="D54" s="13">
        <f>LARGE(Calculs!C554:C803,250-ROUNDUP(ROUND(RL_Confiance*250,9),0)+1)</f>
        <v>15502459.234624526</v>
      </c>
      <c r="E54" s="34">
        <f t="shared" si="0"/>
        <v>0</v>
      </c>
    </row>
    <row r="55" spans="2:5" x14ac:dyDescent="0.2">
      <c r="B55" s="19">
        <f>Calculs!B805</f>
        <v>45545</v>
      </c>
      <c r="C55" s="13">
        <f>Calculs!C805</f>
        <v>6530651.4497183515</v>
      </c>
      <c r="D55" s="13">
        <f>LARGE(Calculs!C555:C804,250-ROUNDUP(ROUND(RL_Confiance*250,9),0)+1)</f>
        <v>15502459.234624526</v>
      </c>
      <c r="E55" s="34">
        <f t="shared" si="0"/>
        <v>0</v>
      </c>
    </row>
    <row r="56" spans="2:5" x14ac:dyDescent="0.2">
      <c r="B56" s="19">
        <f>Calculs!B806</f>
        <v>45546</v>
      </c>
      <c r="C56" s="13">
        <f>Calculs!C806</f>
        <v>-2588388.3812735453</v>
      </c>
      <c r="D56" s="13">
        <f>LARGE(Calculs!C556:C805,250-ROUNDUP(ROUND(RL_Confiance*250,9),0)+1)</f>
        <v>15502459.234624526</v>
      </c>
      <c r="E56" s="34">
        <f t="shared" si="0"/>
        <v>0</v>
      </c>
    </row>
    <row r="57" spans="2:5" x14ac:dyDescent="0.2">
      <c r="B57" s="19">
        <f>Calculs!B807</f>
        <v>45547</v>
      </c>
      <c r="C57" s="13">
        <f>Calculs!C807</f>
        <v>3539517.2128147297</v>
      </c>
      <c r="D57" s="13">
        <f>LARGE(Calculs!C557:C806,250-ROUNDUP(ROUND(RL_Confiance*250,9),0)+1)</f>
        <v>15502459.234624526</v>
      </c>
      <c r="E57" s="34">
        <f t="shared" si="0"/>
        <v>0</v>
      </c>
    </row>
    <row r="58" spans="2:5" x14ac:dyDescent="0.2">
      <c r="B58" s="19">
        <f>Calculs!B808</f>
        <v>45548</v>
      </c>
      <c r="C58" s="13">
        <f>Calculs!C808</f>
        <v>2257192.46445486</v>
      </c>
      <c r="D58" s="13">
        <f>LARGE(Calculs!C558:C807,250-ROUNDUP(ROUND(RL_Confiance*250,9),0)+1)</f>
        <v>15502459.234624526</v>
      </c>
      <c r="E58" s="34">
        <f t="shared" si="0"/>
        <v>0</v>
      </c>
    </row>
    <row r="59" spans="2:5" x14ac:dyDescent="0.2">
      <c r="B59" s="19">
        <f>Calculs!B809</f>
        <v>45551</v>
      </c>
      <c r="C59" s="13">
        <f>Calculs!C809</f>
        <v>-5285998.5266637597</v>
      </c>
      <c r="D59" s="13">
        <f>LARGE(Calculs!C559:C808,250-ROUNDUP(ROUND(RL_Confiance*250,9),0)+1)</f>
        <v>15502459.234624526</v>
      </c>
      <c r="E59" s="34">
        <f t="shared" si="0"/>
        <v>0</v>
      </c>
    </row>
    <row r="60" spans="2:5" x14ac:dyDescent="0.2">
      <c r="B60" s="19">
        <f>Calculs!B810</f>
        <v>45552</v>
      </c>
      <c r="C60" s="13">
        <f>Calculs!C810</f>
        <v>534943.91520689428</v>
      </c>
      <c r="D60" s="13">
        <f>LARGE(Calculs!C560:C809,250-ROUNDUP(ROUND(RL_Confiance*250,9),0)+1)</f>
        <v>15502459.234624526</v>
      </c>
      <c r="E60" s="34">
        <f t="shared" si="0"/>
        <v>0</v>
      </c>
    </row>
    <row r="61" spans="2:5" x14ac:dyDescent="0.2">
      <c r="B61" s="19">
        <f>Calculs!B811</f>
        <v>45553</v>
      </c>
      <c r="C61" s="13">
        <f>Calculs!C811</f>
        <v>4236894.8782627499</v>
      </c>
      <c r="D61" s="13">
        <f>LARGE(Calculs!C561:C810,250-ROUNDUP(ROUND(RL_Confiance*250,9),0)+1)</f>
        <v>15502459.234624526</v>
      </c>
      <c r="E61" s="34">
        <f t="shared" si="0"/>
        <v>0</v>
      </c>
    </row>
    <row r="62" spans="2:5" x14ac:dyDescent="0.2">
      <c r="B62" s="19">
        <f>Calculs!B812</f>
        <v>45554</v>
      </c>
      <c r="C62" s="13">
        <f>Calculs!C812</f>
        <v>-5246661.7809795868</v>
      </c>
      <c r="D62" s="13">
        <f>LARGE(Calculs!C562:C811,250-ROUNDUP(ROUND(RL_Confiance*250,9),0)+1)</f>
        <v>15502459.234624526</v>
      </c>
      <c r="E62" s="34">
        <f t="shared" si="0"/>
        <v>0</v>
      </c>
    </row>
    <row r="63" spans="2:5" x14ac:dyDescent="0.2">
      <c r="B63" s="19">
        <f>Calculs!B813</f>
        <v>45555</v>
      </c>
      <c r="C63" s="13">
        <f>Calculs!C813</f>
        <v>5395073.490923903</v>
      </c>
      <c r="D63" s="13">
        <f>LARGE(Calculs!C563:C812,250-ROUNDUP(ROUND(RL_Confiance*250,9),0)+1)</f>
        <v>15502459.234624526</v>
      </c>
      <c r="E63" s="34">
        <f t="shared" si="0"/>
        <v>0</v>
      </c>
    </row>
    <row r="64" spans="2:5" x14ac:dyDescent="0.2">
      <c r="B64" s="19">
        <f>Calculs!B814</f>
        <v>45558</v>
      </c>
      <c r="C64" s="13">
        <f>Calculs!C814</f>
        <v>-5065288.3299301695</v>
      </c>
      <c r="D64" s="13">
        <f>LARGE(Calculs!C564:C813,250-ROUNDUP(ROUND(RL_Confiance*250,9),0)+1)</f>
        <v>15502459.234624526</v>
      </c>
      <c r="E64" s="34">
        <f t="shared" si="0"/>
        <v>0</v>
      </c>
    </row>
    <row r="65" spans="2:5" x14ac:dyDescent="0.2">
      <c r="B65" s="19">
        <f>Calculs!B815</f>
        <v>45559</v>
      </c>
      <c r="C65" s="13">
        <f>Calculs!C815</f>
        <v>-10832559.687361501</v>
      </c>
      <c r="D65" s="13">
        <f>LARGE(Calculs!C565:C814,250-ROUNDUP(ROUND(RL_Confiance*250,9),0)+1)</f>
        <v>15502459.234624526</v>
      </c>
      <c r="E65" s="34">
        <f t="shared" si="0"/>
        <v>0</v>
      </c>
    </row>
    <row r="66" spans="2:5" x14ac:dyDescent="0.2">
      <c r="B66" s="19">
        <f>Calculs!B816</f>
        <v>45560</v>
      </c>
      <c r="C66" s="13">
        <f>Calculs!C816</f>
        <v>7815014.1376842475</v>
      </c>
      <c r="D66" s="13">
        <f>LARGE(Calculs!C566:C815,250-ROUNDUP(ROUND(RL_Confiance*250,9),0)+1)</f>
        <v>15502459.234624526</v>
      </c>
      <c r="E66" s="34">
        <f t="shared" si="0"/>
        <v>0</v>
      </c>
    </row>
    <row r="67" spans="2:5" x14ac:dyDescent="0.2">
      <c r="B67" s="19">
        <f>Calculs!B817</f>
        <v>45561</v>
      </c>
      <c r="C67" s="13">
        <f>Calculs!C817</f>
        <v>-3923947.0367542375</v>
      </c>
      <c r="D67" s="13">
        <f>LARGE(Calculs!C567:C816,250-ROUNDUP(ROUND(RL_Confiance*250,9),0)+1)</f>
        <v>15502459.234624526</v>
      </c>
      <c r="E67" s="34">
        <f t="shared" si="0"/>
        <v>0</v>
      </c>
    </row>
    <row r="68" spans="2:5" x14ac:dyDescent="0.2">
      <c r="B68" s="19">
        <f>Calculs!B818</f>
        <v>45562</v>
      </c>
      <c r="C68" s="13">
        <f>Calculs!C818</f>
        <v>791781.26095878612</v>
      </c>
      <c r="D68" s="13">
        <f>LARGE(Calculs!C568:C817,250-ROUNDUP(ROUND(RL_Confiance*250,9),0)+1)</f>
        <v>15502459.234624526</v>
      </c>
      <c r="E68" s="34">
        <f t="shared" si="0"/>
        <v>0</v>
      </c>
    </row>
    <row r="69" spans="2:5" x14ac:dyDescent="0.2">
      <c r="B69" s="19">
        <f>Calculs!B819</f>
        <v>45565</v>
      </c>
      <c r="C69" s="13">
        <f>Calculs!C819</f>
        <v>-5519567.8741720347</v>
      </c>
      <c r="D69" s="13">
        <f>LARGE(Calculs!C569:C818,250-ROUNDUP(ROUND(RL_Confiance*250,9),0)+1)</f>
        <v>15502459.234624526</v>
      </c>
      <c r="E69" s="34">
        <f t="shared" si="0"/>
        <v>0</v>
      </c>
    </row>
    <row r="70" spans="2:5" x14ac:dyDescent="0.2">
      <c r="B70" s="19">
        <f>Calculs!B820</f>
        <v>45566</v>
      </c>
      <c r="C70" s="13">
        <f>Calculs!C820</f>
        <v>-6564377.9763210649</v>
      </c>
      <c r="D70" s="13">
        <f>LARGE(Calculs!C570:C819,250-ROUNDUP(ROUND(RL_Confiance*250,9),0)+1)</f>
        <v>15502459.234624526</v>
      </c>
      <c r="E70" s="34">
        <f t="shared" si="0"/>
        <v>0</v>
      </c>
    </row>
    <row r="71" spans="2:5" x14ac:dyDescent="0.2">
      <c r="B71" s="19">
        <f>Calculs!B821</f>
        <v>45567</v>
      </c>
      <c r="C71" s="13">
        <f>Calculs!C821</f>
        <v>5971656.4788579196</v>
      </c>
      <c r="D71" s="13">
        <f>LARGE(Calculs!C571:C820,250-ROUNDUP(ROUND(RL_Confiance*250,9),0)+1)</f>
        <v>15502459.234624526</v>
      </c>
      <c r="E71" s="34">
        <f t="shared" ref="E71:E134" si="1">IF(C71&gt;D71,1,0)</f>
        <v>0</v>
      </c>
    </row>
    <row r="72" spans="2:5" x14ac:dyDescent="0.2">
      <c r="B72" s="19">
        <f>Calculs!B822</f>
        <v>45568</v>
      </c>
      <c r="C72" s="13">
        <f>Calculs!C822</f>
        <v>3249041.2338614957</v>
      </c>
      <c r="D72" s="13">
        <f>LARGE(Calculs!C572:C821,250-ROUNDUP(ROUND(RL_Confiance*250,9),0)+1)</f>
        <v>15502459.234624526</v>
      </c>
      <c r="E72" s="34">
        <f t="shared" si="1"/>
        <v>0</v>
      </c>
    </row>
    <row r="73" spans="2:5" x14ac:dyDescent="0.2">
      <c r="B73" s="19">
        <f>Calculs!B823</f>
        <v>45569</v>
      </c>
      <c r="C73" s="13">
        <f>Calculs!C823</f>
        <v>6352988.0151895359</v>
      </c>
      <c r="D73" s="13">
        <f>LARGE(Calculs!C573:C822,250-ROUNDUP(ROUND(RL_Confiance*250,9),0)+1)</f>
        <v>15502459.234624526</v>
      </c>
      <c r="E73" s="34">
        <f t="shared" si="1"/>
        <v>0</v>
      </c>
    </row>
    <row r="74" spans="2:5" x14ac:dyDescent="0.2">
      <c r="B74" s="19">
        <f>Calculs!B824</f>
        <v>45572</v>
      </c>
      <c r="C74" s="13">
        <f>Calculs!C824</f>
        <v>377956.38548618439</v>
      </c>
      <c r="D74" s="13">
        <f>LARGE(Calculs!C574:C823,250-ROUNDUP(ROUND(RL_Confiance*250,9),0)+1)</f>
        <v>15502459.234624526</v>
      </c>
      <c r="E74" s="34">
        <f t="shared" si="1"/>
        <v>0</v>
      </c>
    </row>
    <row r="75" spans="2:5" x14ac:dyDescent="0.2">
      <c r="B75" s="19">
        <f>Calculs!B825</f>
        <v>45573</v>
      </c>
      <c r="C75" s="13">
        <f>Calculs!C825</f>
        <v>1620030.336201872</v>
      </c>
      <c r="D75" s="13">
        <f>LARGE(Calculs!C575:C824,250-ROUNDUP(ROUND(RL_Confiance*250,9),0)+1)</f>
        <v>15502459.234624526</v>
      </c>
      <c r="E75" s="34">
        <f t="shared" si="1"/>
        <v>0</v>
      </c>
    </row>
    <row r="76" spans="2:5" x14ac:dyDescent="0.2">
      <c r="B76" s="19">
        <f>Calculs!B826</f>
        <v>45574</v>
      </c>
      <c r="C76" s="13">
        <f>Calculs!C826</f>
        <v>2208025.9175492134</v>
      </c>
      <c r="D76" s="13">
        <f>LARGE(Calculs!C576:C825,250-ROUNDUP(ROUND(RL_Confiance*250,9),0)+1)</f>
        <v>15502459.234624526</v>
      </c>
      <c r="E76" s="34">
        <f t="shared" si="1"/>
        <v>0</v>
      </c>
    </row>
    <row r="77" spans="2:5" x14ac:dyDescent="0.2">
      <c r="B77" s="19">
        <f>Calculs!B827</f>
        <v>45575</v>
      </c>
      <c r="C77" s="13">
        <f>Calculs!C827</f>
        <v>279371.91103260667</v>
      </c>
      <c r="D77" s="13">
        <f>LARGE(Calculs!C577:C826,250-ROUNDUP(ROUND(RL_Confiance*250,9),0)+1)</f>
        <v>15502459.234624526</v>
      </c>
      <c r="E77" s="34">
        <f t="shared" si="1"/>
        <v>0</v>
      </c>
    </row>
    <row r="78" spans="2:5" x14ac:dyDescent="0.2">
      <c r="B78" s="19">
        <f>Calculs!B828</f>
        <v>45576</v>
      </c>
      <c r="C78" s="13">
        <f>Calculs!C828</f>
        <v>-741481.80918657256</v>
      </c>
      <c r="D78" s="13">
        <f>LARGE(Calculs!C578:C827,250-ROUNDUP(ROUND(RL_Confiance*250,9),0)+1)</f>
        <v>15502459.234624526</v>
      </c>
      <c r="E78" s="34">
        <f t="shared" si="1"/>
        <v>0</v>
      </c>
    </row>
    <row r="79" spans="2:5" x14ac:dyDescent="0.2">
      <c r="B79" s="19">
        <f>Calculs!B829</f>
        <v>45579</v>
      </c>
      <c r="C79" s="13">
        <f>Calculs!C829</f>
        <v>-694891.98576116608</v>
      </c>
      <c r="D79" s="13">
        <f>LARGE(Calculs!C579:C828,250-ROUNDUP(ROUND(RL_Confiance*250,9),0)+1)</f>
        <v>15502459.234624526</v>
      </c>
      <c r="E79" s="34">
        <f t="shared" si="1"/>
        <v>0</v>
      </c>
    </row>
    <row r="80" spans="2:5" x14ac:dyDescent="0.2">
      <c r="B80" s="19">
        <f>Calculs!B830</f>
        <v>45580</v>
      </c>
      <c r="C80" s="13">
        <f>Calculs!C830</f>
        <v>-3423694.6243206747</v>
      </c>
      <c r="D80" s="13">
        <f>LARGE(Calculs!C580:C829,250-ROUNDUP(ROUND(RL_Confiance*250,9),0)+1)</f>
        <v>15502459.234624526</v>
      </c>
      <c r="E80" s="34">
        <f t="shared" si="1"/>
        <v>0</v>
      </c>
    </row>
    <row r="81" spans="2:5" x14ac:dyDescent="0.2">
      <c r="B81" s="19">
        <f>Calculs!B831</f>
        <v>45581</v>
      </c>
      <c r="C81" s="13">
        <f>Calculs!C831</f>
        <v>-6051809.6369937826</v>
      </c>
      <c r="D81" s="13">
        <f>LARGE(Calculs!C581:C830,250-ROUNDUP(ROUND(RL_Confiance*250,9),0)+1)</f>
        <v>15502459.234624526</v>
      </c>
      <c r="E81" s="34">
        <f t="shared" si="1"/>
        <v>0</v>
      </c>
    </row>
    <row r="82" spans="2:5" x14ac:dyDescent="0.2">
      <c r="B82" s="19">
        <f>Calculs!B832</f>
        <v>45582</v>
      </c>
      <c r="C82" s="13">
        <f>Calculs!C832</f>
        <v>-3168151.8596462077</v>
      </c>
      <c r="D82" s="13">
        <f>LARGE(Calculs!C582:C831,250-ROUNDUP(ROUND(RL_Confiance*250,9),0)+1)</f>
        <v>15502459.234624526</v>
      </c>
      <c r="E82" s="34">
        <f t="shared" si="1"/>
        <v>0</v>
      </c>
    </row>
    <row r="83" spans="2:5" x14ac:dyDescent="0.2">
      <c r="B83" s="19">
        <f>Calculs!B833</f>
        <v>45583</v>
      </c>
      <c r="C83" s="13">
        <f>Calculs!C833</f>
        <v>-6065820.5590168731</v>
      </c>
      <c r="D83" s="13">
        <f>LARGE(Calculs!C583:C832,250-ROUNDUP(ROUND(RL_Confiance*250,9),0)+1)</f>
        <v>15502459.234624526</v>
      </c>
      <c r="E83" s="34">
        <f t="shared" si="1"/>
        <v>0</v>
      </c>
    </row>
    <row r="84" spans="2:5" x14ac:dyDescent="0.2">
      <c r="B84" s="19">
        <f>Calculs!B834</f>
        <v>45586</v>
      </c>
      <c r="C84" s="13">
        <f>Calculs!C834</f>
        <v>8022389.862572398</v>
      </c>
      <c r="D84" s="13">
        <f>LARGE(Calculs!C584:C833,250-ROUNDUP(ROUND(RL_Confiance*250,9),0)+1)</f>
        <v>15502459.234624526</v>
      </c>
      <c r="E84" s="34">
        <f t="shared" si="1"/>
        <v>0</v>
      </c>
    </row>
    <row r="85" spans="2:5" x14ac:dyDescent="0.2">
      <c r="B85" s="19">
        <f>Calculs!B835</f>
        <v>45587</v>
      </c>
      <c r="C85" s="13">
        <f>Calculs!C835</f>
        <v>-177579.75888443025</v>
      </c>
      <c r="D85" s="13">
        <f>LARGE(Calculs!C585:C834,250-ROUNDUP(ROUND(RL_Confiance*250,9),0)+1)</f>
        <v>15502459.234624526</v>
      </c>
      <c r="E85" s="34">
        <f t="shared" si="1"/>
        <v>0</v>
      </c>
    </row>
    <row r="86" spans="2:5" x14ac:dyDescent="0.2">
      <c r="B86" s="19">
        <f>Calculs!B836</f>
        <v>45588</v>
      </c>
      <c r="C86" s="13">
        <f>Calculs!C836</f>
        <v>-762816.40231061797</v>
      </c>
      <c r="D86" s="13">
        <f>LARGE(Calculs!C586:C835,250-ROUNDUP(ROUND(RL_Confiance*250,9),0)+1)</f>
        <v>15502459.234624526</v>
      </c>
      <c r="E86" s="34">
        <f t="shared" si="1"/>
        <v>0</v>
      </c>
    </row>
    <row r="87" spans="2:5" x14ac:dyDescent="0.2">
      <c r="B87" s="19">
        <f>Calculs!B837</f>
        <v>45589</v>
      </c>
      <c r="C87" s="13">
        <f>Calculs!C837</f>
        <v>-4110721.598362287</v>
      </c>
      <c r="D87" s="13">
        <f>LARGE(Calculs!C587:C836,250-ROUNDUP(ROUND(RL_Confiance*250,9),0)+1)</f>
        <v>15502459.234624526</v>
      </c>
      <c r="E87" s="34">
        <f t="shared" si="1"/>
        <v>0</v>
      </c>
    </row>
    <row r="88" spans="2:5" x14ac:dyDescent="0.2">
      <c r="B88" s="19">
        <f>Calculs!B838</f>
        <v>45590</v>
      </c>
      <c r="C88" s="13">
        <f>Calculs!C838</f>
        <v>2277755.6149317343</v>
      </c>
      <c r="D88" s="13">
        <f>LARGE(Calculs!C588:C837,250-ROUNDUP(ROUND(RL_Confiance*250,9),0)+1)</f>
        <v>15502459.234624526</v>
      </c>
      <c r="E88" s="34">
        <f t="shared" si="1"/>
        <v>0</v>
      </c>
    </row>
    <row r="89" spans="2:5" x14ac:dyDescent="0.2">
      <c r="B89" s="19">
        <f>Calculs!B839</f>
        <v>45593</v>
      </c>
      <c r="C89" s="13">
        <f>Calculs!C839</f>
        <v>-1226232.8772570081</v>
      </c>
      <c r="D89" s="13">
        <f>LARGE(Calculs!C589:C838,250-ROUNDUP(ROUND(RL_Confiance*250,9),0)+1)</f>
        <v>15502459.234624526</v>
      </c>
      <c r="E89" s="34">
        <f t="shared" si="1"/>
        <v>0</v>
      </c>
    </row>
    <row r="90" spans="2:5" x14ac:dyDescent="0.2">
      <c r="B90" s="19">
        <f>Calculs!B840</f>
        <v>45594</v>
      </c>
      <c r="C90" s="13">
        <f>Calculs!C840</f>
        <v>1882306.2429347117</v>
      </c>
      <c r="D90" s="13">
        <f>LARGE(Calculs!C590:C839,250-ROUNDUP(ROUND(RL_Confiance*250,9),0)+1)</f>
        <v>15502459.234624526</v>
      </c>
      <c r="E90" s="34">
        <f t="shared" si="1"/>
        <v>0</v>
      </c>
    </row>
    <row r="91" spans="2:5" x14ac:dyDescent="0.2">
      <c r="B91" s="19">
        <f>Calculs!B841</f>
        <v>45595</v>
      </c>
      <c r="C91" s="13">
        <f>Calculs!C841</f>
        <v>12308385.038090561</v>
      </c>
      <c r="D91" s="13">
        <f>LARGE(Calculs!C591:C840,250-ROUNDUP(ROUND(RL_Confiance*250,9),0)+1)</f>
        <v>15502459.234624526</v>
      </c>
      <c r="E91" s="34">
        <f t="shared" si="1"/>
        <v>0</v>
      </c>
    </row>
    <row r="92" spans="2:5" x14ac:dyDescent="0.2">
      <c r="B92" s="19">
        <f>Calculs!B842</f>
        <v>45596</v>
      </c>
      <c r="C92" s="13">
        <f>Calculs!C842</f>
        <v>7907167.318296412</v>
      </c>
      <c r="D92" s="13">
        <f>LARGE(Calculs!C592:C841,250-ROUNDUP(ROUND(RL_Confiance*250,9),0)+1)</f>
        <v>15502459.234624526</v>
      </c>
      <c r="E92" s="34">
        <f t="shared" si="1"/>
        <v>0</v>
      </c>
    </row>
    <row r="93" spans="2:5" x14ac:dyDescent="0.2">
      <c r="B93" s="19">
        <f>Calculs!B843</f>
        <v>45597</v>
      </c>
      <c r="C93" s="13">
        <f>Calculs!C843</f>
        <v>-8222104.1276027123</v>
      </c>
      <c r="D93" s="13">
        <f>LARGE(Calculs!C593:C842,250-ROUNDUP(ROUND(RL_Confiance*250,9),0)+1)</f>
        <v>15502459.234624526</v>
      </c>
      <c r="E93" s="34">
        <f t="shared" si="1"/>
        <v>0</v>
      </c>
    </row>
    <row r="94" spans="2:5" x14ac:dyDescent="0.2">
      <c r="B94" s="19">
        <f>Calculs!B844</f>
        <v>45600</v>
      </c>
      <c r="C94" s="13">
        <f>Calculs!C844</f>
        <v>-165110.73104218894</v>
      </c>
      <c r="D94" s="13">
        <f>LARGE(Calculs!C594:C843,250-ROUNDUP(ROUND(RL_Confiance*250,9),0)+1)</f>
        <v>15502459.234624526</v>
      </c>
      <c r="E94" s="34">
        <f t="shared" si="1"/>
        <v>0</v>
      </c>
    </row>
    <row r="95" spans="2:5" x14ac:dyDescent="0.2">
      <c r="B95" s="19">
        <f>Calculs!B845</f>
        <v>45601</v>
      </c>
      <c r="C95" s="13">
        <f>Calculs!C845</f>
        <v>4176309.1647178042</v>
      </c>
      <c r="D95" s="13">
        <f>LARGE(Calculs!C595:C844,250-ROUNDUP(ROUND(RL_Confiance*250,9),0)+1)</f>
        <v>15502459.234624526</v>
      </c>
      <c r="E95" s="34">
        <f t="shared" si="1"/>
        <v>0</v>
      </c>
    </row>
    <row r="96" spans="2:5" x14ac:dyDescent="0.2">
      <c r="B96" s="19">
        <f>Calculs!B846</f>
        <v>45602</v>
      </c>
      <c r="C96" s="13">
        <f>Calculs!C846</f>
        <v>-4328930.7156857681</v>
      </c>
      <c r="D96" s="13">
        <f>LARGE(Calculs!C596:C845,250-ROUNDUP(ROUND(RL_Confiance*250,9),0)+1)</f>
        <v>15502459.234624526</v>
      </c>
      <c r="E96" s="34">
        <f t="shared" si="1"/>
        <v>0</v>
      </c>
    </row>
    <row r="97" spans="2:5" x14ac:dyDescent="0.2">
      <c r="B97" s="19">
        <f>Calculs!B847</f>
        <v>45603</v>
      </c>
      <c r="C97" s="13">
        <f>Calculs!C847</f>
        <v>-6720798.2632720862</v>
      </c>
      <c r="D97" s="13">
        <f>LARGE(Calculs!C597:C846,250-ROUNDUP(ROUND(RL_Confiance*250,9),0)+1)</f>
        <v>15502459.234624526</v>
      </c>
      <c r="E97" s="34">
        <f t="shared" si="1"/>
        <v>0</v>
      </c>
    </row>
    <row r="98" spans="2:5" x14ac:dyDescent="0.2">
      <c r="B98" s="19">
        <f>Calculs!B848</f>
        <v>45604</v>
      </c>
      <c r="C98" s="13">
        <f>Calculs!C848</f>
        <v>1718464.6738026636</v>
      </c>
      <c r="D98" s="13">
        <f>LARGE(Calculs!C598:C847,250-ROUNDUP(ROUND(RL_Confiance*250,9),0)+1)</f>
        <v>15502459.234624526</v>
      </c>
      <c r="E98" s="34">
        <f t="shared" si="1"/>
        <v>0</v>
      </c>
    </row>
    <row r="99" spans="2:5" x14ac:dyDescent="0.2">
      <c r="B99" s="19">
        <f>Calculs!B849</f>
        <v>45607</v>
      </c>
      <c r="C99" s="13">
        <f>Calculs!C849</f>
        <v>-1597168.3169398215</v>
      </c>
      <c r="D99" s="13">
        <f>LARGE(Calculs!C599:C848,250-ROUNDUP(ROUND(RL_Confiance*250,9),0)+1)</f>
        <v>15502459.234624526</v>
      </c>
      <c r="E99" s="34">
        <f t="shared" si="1"/>
        <v>0</v>
      </c>
    </row>
    <row r="100" spans="2:5" x14ac:dyDescent="0.2">
      <c r="B100" s="19">
        <f>Calculs!B850</f>
        <v>45608</v>
      </c>
      <c r="C100" s="13">
        <f>Calculs!C850</f>
        <v>-2022152.5740455976</v>
      </c>
      <c r="D100" s="13">
        <f>LARGE(Calculs!C600:C849,250-ROUNDUP(ROUND(RL_Confiance*250,9),0)+1)</f>
        <v>15502459.234624526</v>
      </c>
      <c r="E100" s="34">
        <f t="shared" si="1"/>
        <v>0</v>
      </c>
    </row>
    <row r="101" spans="2:5" x14ac:dyDescent="0.2">
      <c r="B101" s="19">
        <f>Calculs!B851</f>
        <v>45609</v>
      </c>
      <c r="C101" s="13">
        <f>Calculs!C851</f>
        <v>3939651.484294428</v>
      </c>
      <c r="D101" s="13">
        <f>LARGE(Calculs!C601:C850,250-ROUNDUP(ROUND(RL_Confiance*250,9),0)+1)</f>
        <v>15502459.234624526</v>
      </c>
      <c r="E101" s="34">
        <f t="shared" si="1"/>
        <v>0</v>
      </c>
    </row>
    <row r="102" spans="2:5" x14ac:dyDescent="0.2">
      <c r="B102" s="19">
        <f>Calculs!B852</f>
        <v>45610</v>
      </c>
      <c r="C102" s="13">
        <f>Calculs!C852</f>
        <v>-5037746.4680602765</v>
      </c>
      <c r="D102" s="13">
        <f>LARGE(Calculs!C602:C851,250-ROUNDUP(ROUND(RL_Confiance*250,9),0)+1)</f>
        <v>15502459.234624526</v>
      </c>
      <c r="E102" s="34">
        <f t="shared" si="1"/>
        <v>0</v>
      </c>
    </row>
    <row r="103" spans="2:5" x14ac:dyDescent="0.2">
      <c r="B103" s="19">
        <f>Calculs!B853</f>
        <v>45611</v>
      </c>
      <c r="C103" s="13">
        <f>Calculs!C853</f>
        <v>5068577.1174654383</v>
      </c>
      <c r="D103" s="13">
        <f>LARGE(Calculs!C603:C852,250-ROUNDUP(ROUND(RL_Confiance*250,9),0)+1)</f>
        <v>15502459.234624526</v>
      </c>
      <c r="E103" s="34">
        <f t="shared" si="1"/>
        <v>0</v>
      </c>
    </row>
    <row r="104" spans="2:5" x14ac:dyDescent="0.2">
      <c r="B104" s="19">
        <f>Calculs!B854</f>
        <v>45614</v>
      </c>
      <c r="C104" s="13">
        <f>Calculs!C854</f>
        <v>373739.29883276619</v>
      </c>
      <c r="D104" s="13">
        <f>LARGE(Calculs!C604:C853,250-ROUNDUP(ROUND(RL_Confiance*250,9),0)+1)</f>
        <v>15502459.234624526</v>
      </c>
      <c r="E104" s="34">
        <f t="shared" si="1"/>
        <v>0</v>
      </c>
    </row>
    <row r="105" spans="2:5" x14ac:dyDescent="0.2">
      <c r="B105" s="19">
        <f>Calculs!B855</f>
        <v>45615</v>
      </c>
      <c r="C105" s="13">
        <f>Calculs!C855</f>
        <v>5313204.5618523741</v>
      </c>
      <c r="D105" s="13">
        <f>LARGE(Calculs!C605:C854,250-ROUNDUP(ROUND(RL_Confiance*250,9),0)+1)</f>
        <v>15502459.234624526</v>
      </c>
      <c r="E105" s="34">
        <f t="shared" si="1"/>
        <v>0</v>
      </c>
    </row>
    <row r="106" spans="2:5" x14ac:dyDescent="0.2">
      <c r="B106" s="19">
        <f>Calculs!B856</f>
        <v>45616</v>
      </c>
      <c r="C106" s="13">
        <f>Calculs!C856</f>
        <v>-1450407.4788149011</v>
      </c>
      <c r="D106" s="13">
        <f>LARGE(Calculs!C606:C855,250-ROUNDUP(ROUND(RL_Confiance*250,9),0)+1)</f>
        <v>15502459.234624526</v>
      </c>
      <c r="E106" s="34">
        <f t="shared" si="1"/>
        <v>0</v>
      </c>
    </row>
    <row r="107" spans="2:5" x14ac:dyDescent="0.2">
      <c r="B107" s="19">
        <f>Calculs!B857</f>
        <v>45617</v>
      </c>
      <c r="C107" s="13">
        <f>Calculs!C857</f>
        <v>-3109315.1169812228</v>
      </c>
      <c r="D107" s="13">
        <f>LARGE(Calculs!C607:C856,250-ROUNDUP(ROUND(RL_Confiance*250,9),0)+1)</f>
        <v>15502459.234624526</v>
      </c>
      <c r="E107" s="34">
        <f t="shared" si="1"/>
        <v>0</v>
      </c>
    </row>
    <row r="108" spans="2:5" x14ac:dyDescent="0.2">
      <c r="B108" s="19">
        <f>Calculs!B858</f>
        <v>45618</v>
      </c>
      <c r="C108" s="13">
        <f>Calculs!C858</f>
        <v>-1234993.0660004334</v>
      </c>
      <c r="D108" s="13">
        <f>LARGE(Calculs!C608:C857,250-ROUNDUP(ROUND(RL_Confiance*250,9),0)+1)</f>
        <v>15502459.234624526</v>
      </c>
      <c r="E108" s="34">
        <f t="shared" si="1"/>
        <v>0</v>
      </c>
    </row>
    <row r="109" spans="2:5" x14ac:dyDescent="0.2">
      <c r="B109" s="19">
        <f>Calculs!B859</f>
        <v>45621</v>
      </c>
      <c r="C109" s="13">
        <f>Calculs!C859</f>
        <v>-8567245.7105613295</v>
      </c>
      <c r="D109" s="13">
        <f>LARGE(Calculs!C609:C858,250-ROUNDUP(ROUND(RL_Confiance*250,9),0)+1)</f>
        <v>15502459.234624526</v>
      </c>
      <c r="E109" s="34">
        <f t="shared" si="1"/>
        <v>0</v>
      </c>
    </row>
    <row r="110" spans="2:5" x14ac:dyDescent="0.2">
      <c r="B110" s="19">
        <f>Calculs!B860</f>
        <v>45622</v>
      </c>
      <c r="C110" s="13">
        <f>Calculs!C860</f>
        <v>4778938.7742720591</v>
      </c>
      <c r="D110" s="13">
        <f>LARGE(Calculs!C610:C859,250-ROUNDUP(ROUND(RL_Confiance*250,9),0)+1)</f>
        <v>15502459.234624526</v>
      </c>
      <c r="E110" s="34">
        <f t="shared" si="1"/>
        <v>0</v>
      </c>
    </row>
    <row r="111" spans="2:5" x14ac:dyDescent="0.2">
      <c r="B111" s="19">
        <f>Calculs!B861</f>
        <v>45623</v>
      </c>
      <c r="C111" s="13">
        <f>Calculs!C861</f>
        <v>844495.41994516982</v>
      </c>
      <c r="D111" s="13">
        <f>LARGE(Calculs!C611:C860,250-ROUNDUP(ROUND(RL_Confiance*250,9),0)+1)</f>
        <v>15502459.234624526</v>
      </c>
      <c r="E111" s="34">
        <f t="shared" si="1"/>
        <v>0</v>
      </c>
    </row>
    <row r="112" spans="2:5" x14ac:dyDescent="0.2">
      <c r="B112" s="19">
        <f>Calculs!B862</f>
        <v>45624</v>
      </c>
      <c r="C112" s="13">
        <f>Calculs!C862</f>
        <v>-8504752.2160871997</v>
      </c>
      <c r="D112" s="13">
        <f>LARGE(Calculs!C612:C861,250-ROUNDUP(ROUND(RL_Confiance*250,9),0)+1)</f>
        <v>15502459.234624526</v>
      </c>
      <c r="E112" s="34">
        <f t="shared" si="1"/>
        <v>0</v>
      </c>
    </row>
    <row r="113" spans="2:5" x14ac:dyDescent="0.2">
      <c r="B113" s="19">
        <f>Calculs!B863</f>
        <v>45625</v>
      </c>
      <c r="C113" s="13">
        <f>Calculs!C863</f>
        <v>-4435218.5132819386</v>
      </c>
      <c r="D113" s="13">
        <f>LARGE(Calculs!C613:C862,250-ROUNDUP(ROUND(RL_Confiance*250,9),0)+1)</f>
        <v>15502459.234624526</v>
      </c>
      <c r="E113" s="34">
        <f t="shared" si="1"/>
        <v>0</v>
      </c>
    </row>
    <row r="114" spans="2:5" x14ac:dyDescent="0.2">
      <c r="B114" s="19">
        <f>Calculs!B864</f>
        <v>45628</v>
      </c>
      <c r="C114" s="13">
        <f>Calculs!C864</f>
        <v>-4368718.8302317923</v>
      </c>
      <c r="D114" s="13">
        <f>LARGE(Calculs!C614:C863,250-ROUNDUP(ROUND(RL_Confiance*250,9),0)+1)</f>
        <v>15502459.234624526</v>
      </c>
      <c r="E114" s="34">
        <f t="shared" si="1"/>
        <v>0</v>
      </c>
    </row>
    <row r="115" spans="2:5" x14ac:dyDescent="0.2">
      <c r="B115" s="19">
        <f>Calculs!B865</f>
        <v>45629</v>
      </c>
      <c r="C115" s="13">
        <f>Calculs!C865</f>
        <v>-1785311.0825221753</v>
      </c>
      <c r="D115" s="13">
        <f>LARGE(Calculs!C615:C864,250-ROUNDUP(ROUND(RL_Confiance*250,9),0)+1)</f>
        <v>15502459.234624526</v>
      </c>
      <c r="E115" s="34">
        <f t="shared" si="1"/>
        <v>0</v>
      </c>
    </row>
    <row r="116" spans="2:5" x14ac:dyDescent="0.2">
      <c r="B116" s="19">
        <f>Calculs!B866</f>
        <v>45630</v>
      </c>
      <c r="C116" s="13">
        <f>Calculs!C866</f>
        <v>4487039.7028591614</v>
      </c>
      <c r="D116" s="13">
        <f>LARGE(Calculs!C616:C865,250-ROUNDUP(ROUND(RL_Confiance*250,9),0)+1)</f>
        <v>15502459.234624526</v>
      </c>
      <c r="E116" s="34">
        <f t="shared" si="1"/>
        <v>0</v>
      </c>
    </row>
    <row r="117" spans="2:5" x14ac:dyDescent="0.2">
      <c r="B117" s="19">
        <f>Calculs!B867</f>
        <v>45631</v>
      </c>
      <c r="C117" s="13">
        <f>Calculs!C867</f>
        <v>643853.98613208497</v>
      </c>
      <c r="D117" s="13">
        <f>LARGE(Calculs!C617:C866,250-ROUNDUP(ROUND(RL_Confiance*250,9),0)+1)</f>
        <v>15502459.234624526</v>
      </c>
      <c r="E117" s="34">
        <f t="shared" si="1"/>
        <v>0</v>
      </c>
    </row>
    <row r="118" spans="2:5" x14ac:dyDescent="0.2">
      <c r="B118" s="19">
        <f>Calculs!B868</f>
        <v>45632</v>
      </c>
      <c r="C118" s="13">
        <f>Calculs!C868</f>
        <v>-7537402.8792022523</v>
      </c>
      <c r="D118" s="13">
        <f>LARGE(Calculs!C618:C867,250-ROUNDUP(ROUND(RL_Confiance*250,9),0)+1)</f>
        <v>15502459.234624526</v>
      </c>
      <c r="E118" s="34">
        <f t="shared" si="1"/>
        <v>0</v>
      </c>
    </row>
    <row r="119" spans="2:5" x14ac:dyDescent="0.2">
      <c r="B119" s="19">
        <f>Calculs!B869</f>
        <v>45635</v>
      </c>
      <c r="C119" s="13">
        <f>Calculs!C869</f>
        <v>-1057651.3399922305</v>
      </c>
      <c r="D119" s="13">
        <f>LARGE(Calculs!C619:C868,250-ROUNDUP(ROUND(RL_Confiance*250,9),0)+1)</f>
        <v>15502459.234624526</v>
      </c>
      <c r="E119" s="34">
        <f t="shared" si="1"/>
        <v>0</v>
      </c>
    </row>
    <row r="120" spans="2:5" x14ac:dyDescent="0.2">
      <c r="B120" s="19">
        <f>Calculs!B870</f>
        <v>45636</v>
      </c>
      <c r="C120" s="13">
        <f>Calculs!C870</f>
        <v>-4576303.8887646245</v>
      </c>
      <c r="D120" s="13">
        <f>LARGE(Calculs!C620:C869,250-ROUNDUP(ROUND(RL_Confiance*250,9),0)+1)</f>
        <v>15502459.234624526</v>
      </c>
      <c r="E120" s="34">
        <f t="shared" si="1"/>
        <v>0</v>
      </c>
    </row>
    <row r="121" spans="2:5" x14ac:dyDescent="0.2">
      <c r="B121" s="19">
        <f>Calculs!B871</f>
        <v>45637</v>
      </c>
      <c r="C121" s="13">
        <f>Calculs!C871</f>
        <v>1256560.0201718912</v>
      </c>
      <c r="D121" s="13">
        <f>LARGE(Calculs!C621:C870,250-ROUNDUP(ROUND(RL_Confiance*250,9),0)+1)</f>
        <v>15502459.234624526</v>
      </c>
      <c r="E121" s="34">
        <f t="shared" si="1"/>
        <v>0</v>
      </c>
    </row>
    <row r="122" spans="2:5" x14ac:dyDescent="0.2">
      <c r="B122" s="19">
        <f>Calculs!B872</f>
        <v>45638</v>
      </c>
      <c r="C122" s="13">
        <f>Calculs!C872</f>
        <v>5396315.1069520349</v>
      </c>
      <c r="D122" s="13">
        <f>LARGE(Calculs!C622:C871,250-ROUNDUP(ROUND(RL_Confiance*250,9),0)+1)</f>
        <v>15502459.234624526</v>
      </c>
      <c r="E122" s="34">
        <f t="shared" si="1"/>
        <v>0</v>
      </c>
    </row>
    <row r="123" spans="2:5" x14ac:dyDescent="0.2">
      <c r="B123" s="19">
        <f>Calculs!B873</f>
        <v>45639</v>
      </c>
      <c r="C123" s="13">
        <f>Calculs!C873</f>
        <v>8920514.5639149994</v>
      </c>
      <c r="D123" s="13">
        <f>LARGE(Calculs!C623:C872,250-ROUNDUP(ROUND(RL_Confiance*250,9),0)+1)</f>
        <v>15502459.234624526</v>
      </c>
      <c r="E123" s="34">
        <f t="shared" si="1"/>
        <v>0</v>
      </c>
    </row>
    <row r="124" spans="2:5" x14ac:dyDescent="0.2">
      <c r="B124" s="19">
        <f>Calculs!B874</f>
        <v>45642</v>
      </c>
      <c r="C124" s="13">
        <f>Calculs!C874</f>
        <v>-1754698.342403346</v>
      </c>
      <c r="D124" s="13">
        <f>LARGE(Calculs!C624:C873,250-ROUNDUP(ROUND(RL_Confiance*250,9),0)+1)</f>
        <v>15502459.234624526</v>
      </c>
      <c r="E124" s="34">
        <f t="shared" si="1"/>
        <v>0</v>
      </c>
    </row>
    <row r="125" spans="2:5" x14ac:dyDescent="0.2">
      <c r="B125" s="19">
        <f>Calculs!B875</f>
        <v>45643</v>
      </c>
      <c r="C125" s="13">
        <f>Calculs!C875</f>
        <v>2136525.6532347519</v>
      </c>
      <c r="D125" s="13">
        <f>LARGE(Calculs!C625:C874,250-ROUNDUP(ROUND(RL_Confiance*250,9),0)+1)</f>
        <v>15502459.234624526</v>
      </c>
      <c r="E125" s="34">
        <f t="shared" si="1"/>
        <v>0</v>
      </c>
    </row>
    <row r="126" spans="2:5" x14ac:dyDescent="0.2">
      <c r="B126" s="19">
        <f>Calculs!B876</f>
        <v>45644</v>
      </c>
      <c r="C126" s="13">
        <f>Calculs!C876</f>
        <v>607865.94602294464</v>
      </c>
      <c r="D126" s="13">
        <f>LARGE(Calculs!C626:C875,250-ROUNDUP(ROUND(RL_Confiance*250,9),0)+1)</f>
        <v>15502459.234624526</v>
      </c>
      <c r="E126" s="34">
        <f t="shared" si="1"/>
        <v>0</v>
      </c>
    </row>
    <row r="127" spans="2:5" x14ac:dyDescent="0.2">
      <c r="B127" s="19">
        <f>Calculs!B877</f>
        <v>45645</v>
      </c>
      <c r="C127" s="13">
        <f>Calculs!C877</f>
        <v>12177014.406680526</v>
      </c>
      <c r="D127" s="13">
        <f>LARGE(Calculs!C627:C876,250-ROUNDUP(ROUND(RL_Confiance*250,9),0)+1)</f>
        <v>15502459.234624526</v>
      </c>
      <c r="E127" s="34">
        <f t="shared" si="1"/>
        <v>0</v>
      </c>
    </row>
    <row r="128" spans="2:5" x14ac:dyDescent="0.2">
      <c r="B128" s="19">
        <f>Calculs!B878</f>
        <v>45646</v>
      </c>
      <c r="C128" s="13">
        <f>Calculs!C878</f>
        <v>-5163293.8091904726</v>
      </c>
      <c r="D128" s="13">
        <f>LARGE(Calculs!C628:C877,250-ROUNDUP(ROUND(RL_Confiance*250,9),0)+1)</f>
        <v>15502459.234624526</v>
      </c>
      <c r="E128" s="34">
        <f t="shared" si="1"/>
        <v>0</v>
      </c>
    </row>
    <row r="129" spans="2:5" x14ac:dyDescent="0.2">
      <c r="B129" s="19">
        <f>Calculs!B879</f>
        <v>45649</v>
      </c>
      <c r="C129" s="13">
        <f>Calculs!C879</f>
        <v>4188691.5284587159</v>
      </c>
      <c r="D129" s="13">
        <f>LARGE(Calculs!C629:C878,250-ROUNDUP(ROUND(RL_Confiance*250,9),0)+1)</f>
        <v>15502459.234624526</v>
      </c>
      <c r="E129" s="34">
        <f t="shared" si="1"/>
        <v>0</v>
      </c>
    </row>
    <row r="130" spans="2:5" x14ac:dyDescent="0.2">
      <c r="B130" s="19">
        <f>Calculs!B880</f>
        <v>45653</v>
      </c>
      <c r="C130" s="13">
        <f>Calculs!C880</f>
        <v>-2137172.6266461979</v>
      </c>
      <c r="D130" s="13">
        <f>LARGE(Calculs!C630:C879,250-ROUNDUP(ROUND(RL_Confiance*250,9),0)+1)</f>
        <v>15502459.234624526</v>
      </c>
      <c r="E130" s="34">
        <f t="shared" si="1"/>
        <v>0</v>
      </c>
    </row>
    <row r="131" spans="2:5" x14ac:dyDescent="0.2">
      <c r="B131" s="19">
        <f>Calculs!B881</f>
        <v>45656</v>
      </c>
      <c r="C131" s="13">
        <f>Calculs!C881</f>
        <v>7238746.099764823</v>
      </c>
      <c r="D131" s="13">
        <f>LARGE(Calculs!C631:C880,250-ROUNDUP(ROUND(RL_Confiance*250,9),0)+1)</f>
        <v>12912084.171943478</v>
      </c>
      <c r="E131" s="34">
        <f t="shared" si="1"/>
        <v>0</v>
      </c>
    </row>
    <row r="132" spans="2:5" x14ac:dyDescent="0.2">
      <c r="B132" s="19">
        <f>Calculs!B882</f>
        <v>45659</v>
      </c>
      <c r="C132" s="13">
        <f>Calculs!C882</f>
        <v>-1727903.6850977726</v>
      </c>
      <c r="D132" s="13">
        <f>LARGE(Calculs!C632:C881,250-ROUNDUP(ROUND(RL_Confiance*250,9),0)+1)</f>
        <v>12912084.171943478</v>
      </c>
      <c r="E132" s="34">
        <f t="shared" si="1"/>
        <v>0</v>
      </c>
    </row>
    <row r="133" spans="2:5" x14ac:dyDescent="0.2">
      <c r="B133" s="19">
        <f>Calculs!B883</f>
        <v>45660</v>
      </c>
      <c r="C133" s="13">
        <f>Calculs!C883</f>
        <v>7830900.3173988955</v>
      </c>
      <c r="D133" s="13">
        <f>LARGE(Calculs!C633:C882,250-ROUNDUP(ROUND(RL_Confiance*250,9),0)+1)</f>
        <v>12912084.171943478</v>
      </c>
      <c r="E133" s="34">
        <f t="shared" si="1"/>
        <v>0</v>
      </c>
    </row>
    <row r="134" spans="2:5" x14ac:dyDescent="0.2">
      <c r="B134" s="19">
        <f>Calculs!B884</f>
        <v>45663</v>
      </c>
      <c r="C134" s="13">
        <f>Calculs!C884</f>
        <v>4325212.8454673914</v>
      </c>
      <c r="D134" s="13">
        <f>LARGE(Calculs!C634:C883,250-ROUNDUP(ROUND(RL_Confiance*250,9),0)+1)</f>
        <v>12912084.171943478</v>
      </c>
      <c r="E134" s="34">
        <f t="shared" si="1"/>
        <v>0</v>
      </c>
    </row>
    <row r="135" spans="2:5" x14ac:dyDescent="0.2">
      <c r="B135" s="19">
        <f>Calculs!B885</f>
        <v>45664</v>
      </c>
      <c r="C135" s="13">
        <f>Calculs!C885</f>
        <v>-19749.764114846734</v>
      </c>
      <c r="D135" s="13">
        <f>LARGE(Calculs!C635:C884,250-ROUNDUP(ROUND(RL_Confiance*250,9),0)+1)</f>
        <v>12912084.171943478</v>
      </c>
      <c r="E135" s="34">
        <f t="shared" ref="E135:E198" si="2">IF(C135&gt;D135,1,0)</f>
        <v>0</v>
      </c>
    </row>
    <row r="136" spans="2:5" x14ac:dyDescent="0.2">
      <c r="B136" s="19">
        <f>Calculs!B886</f>
        <v>45665</v>
      </c>
      <c r="C136" s="13">
        <f>Calculs!C886</f>
        <v>7408951.7140303152</v>
      </c>
      <c r="D136" s="13">
        <f>LARGE(Calculs!C636:C885,250-ROUNDUP(ROUND(RL_Confiance*250,9),0)+1)</f>
        <v>12912084.171943478</v>
      </c>
      <c r="E136" s="34">
        <f t="shared" si="2"/>
        <v>0</v>
      </c>
    </row>
    <row r="137" spans="2:5" x14ac:dyDescent="0.2">
      <c r="B137" s="19">
        <f>Calculs!B887</f>
        <v>45666</v>
      </c>
      <c r="C137" s="13">
        <f>Calculs!C887</f>
        <v>42129.69972092141</v>
      </c>
      <c r="D137" s="13">
        <f>LARGE(Calculs!C637:C886,250-ROUNDUP(ROUND(RL_Confiance*250,9),0)+1)</f>
        <v>12912084.171943478</v>
      </c>
      <c r="E137" s="34">
        <f t="shared" si="2"/>
        <v>0</v>
      </c>
    </row>
    <row r="138" spans="2:5" x14ac:dyDescent="0.2">
      <c r="B138" s="19">
        <f>Calculs!B888</f>
        <v>45667</v>
      </c>
      <c r="C138" s="13">
        <f>Calculs!C888</f>
        <v>6296834.8488698676</v>
      </c>
      <c r="D138" s="13">
        <f>LARGE(Calculs!C638:C887,250-ROUNDUP(ROUND(RL_Confiance*250,9),0)+1)</f>
        <v>12912084.171943478</v>
      </c>
      <c r="E138" s="34">
        <f t="shared" si="2"/>
        <v>0</v>
      </c>
    </row>
    <row r="139" spans="2:5" x14ac:dyDescent="0.2">
      <c r="B139" s="19">
        <f>Calculs!B889</f>
        <v>45670</v>
      </c>
      <c r="C139" s="13">
        <f>Calculs!C889</f>
        <v>3462987.791004071</v>
      </c>
      <c r="D139" s="13">
        <f>LARGE(Calculs!C639:C888,250-ROUNDUP(ROUND(RL_Confiance*250,9),0)+1)</f>
        <v>12912084.171943478</v>
      </c>
      <c r="E139" s="34">
        <f t="shared" si="2"/>
        <v>0</v>
      </c>
    </row>
    <row r="140" spans="2:5" x14ac:dyDescent="0.2">
      <c r="B140" s="19">
        <f>Calculs!B890</f>
        <v>45671</v>
      </c>
      <c r="C140" s="13">
        <f>Calculs!C890</f>
        <v>4612062.6464659749</v>
      </c>
      <c r="D140" s="13">
        <f>LARGE(Calculs!C640:C889,250-ROUNDUP(ROUND(RL_Confiance*250,9),0)+1)</f>
        <v>12912084.171943478</v>
      </c>
      <c r="E140" s="34">
        <f t="shared" si="2"/>
        <v>0</v>
      </c>
    </row>
    <row r="141" spans="2:5" x14ac:dyDescent="0.2">
      <c r="B141" s="19">
        <f>Calculs!B891</f>
        <v>45672</v>
      </c>
      <c r="C141" s="13">
        <f>Calculs!C891</f>
        <v>-14180267.544367153</v>
      </c>
      <c r="D141" s="13">
        <f>LARGE(Calculs!C641:C890,250-ROUNDUP(ROUND(RL_Confiance*250,9),0)+1)</f>
        <v>12912084.171943478</v>
      </c>
      <c r="E141" s="34">
        <f t="shared" si="2"/>
        <v>0</v>
      </c>
    </row>
    <row r="142" spans="2:5" x14ac:dyDescent="0.2">
      <c r="B142" s="19">
        <f>Calculs!B892</f>
        <v>45673</v>
      </c>
      <c r="C142" s="13">
        <f>Calculs!C892</f>
        <v>1197229.7104252169</v>
      </c>
      <c r="D142" s="13">
        <f>LARGE(Calculs!C642:C891,250-ROUNDUP(ROUND(RL_Confiance*250,9),0)+1)</f>
        <v>12912084.171943478</v>
      </c>
      <c r="E142" s="34">
        <f t="shared" si="2"/>
        <v>0</v>
      </c>
    </row>
    <row r="143" spans="2:5" x14ac:dyDescent="0.2">
      <c r="B143" s="19">
        <f>Calculs!B893</f>
        <v>45674</v>
      </c>
      <c r="C143" s="13">
        <f>Calculs!C893</f>
        <v>-8038402.8852488901</v>
      </c>
      <c r="D143" s="13">
        <f>LARGE(Calculs!C643:C892,250-ROUNDUP(ROUND(RL_Confiance*250,9),0)+1)</f>
        <v>12912084.171943478</v>
      </c>
      <c r="E143" s="34">
        <f t="shared" si="2"/>
        <v>0</v>
      </c>
    </row>
    <row r="144" spans="2:5" x14ac:dyDescent="0.2">
      <c r="B144" s="19">
        <f>Calculs!B894</f>
        <v>45677</v>
      </c>
      <c r="C144" s="13">
        <f>Calculs!C894</f>
        <v>-2568902.1668511094</v>
      </c>
      <c r="D144" s="13">
        <f>LARGE(Calculs!C644:C893,250-ROUNDUP(ROUND(RL_Confiance*250,9),0)+1)</f>
        <v>12912084.171943478</v>
      </c>
      <c r="E144" s="34">
        <f t="shared" si="2"/>
        <v>0</v>
      </c>
    </row>
    <row r="145" spans="2:5" x14ac:dyDescent="0.2">
      <c r="B145" s="19">
        <f>Calculs!B895</f>
        <v>45678</v>
      </c>
      <c r="C145" s="13">
        <f>Calculs!C895</f>
        <v>1610355.9289855543</v>
      </c>
      <c r="D145" s="13">
        <f>LARGE(Calculs!C645:C894,250-ROUNDUP(ROUND(RL_Confiance*250,9),0)+1)</f>
        <v>12912084.171943478</v>
      </c>
      <c r="E145" s="34">
        <f t="shared" si="2"/>
        <v>0</v>
      </c>
    </row>
    <row r="146" spans="2:5" x14ac:dyDescent="0.2">
      <c r="B146" s="19">
        <f>Calculs!B896</f>
        <v>45679</v>
      </c>
      <c r="C146" s="13">
        <f>Calculs!C896</f>
        <v>-1568357.6337936122</v>
      </c>
      <c r="D146" s="13">
        <f>LARGE(Calculs!C646:C895,250-ROUNDUP(ROUND(RL_Confiance*250,9),0)+1)</f>
        <v>12912084.171943478</v>
      </c>
      <c r="E146" s="34">
        <f t="shared" si="2"/>
        <v>0</v>
      </c>
    </row>
    <row r="147" spans="2:5" x14ac:dyDescent="0.2">
      <c r="B147" s="19">
        <f>Calculs!B897</f>
        <v>45680</v>
      </c>
      <c r="C147" s="13">
        <f>Calculs!C897</f>
        <v>4059518.5191215873</v>
      </c>
      <c r="D147" s="13">
        <f>LARGE(Calculs!C647:C896,250-ROUNDUP(ROUND(RL_Confiance*250,9),0)+1)</f>
        <v>12912084.171943478</v>
      </c>
      <c r="E147" s="34">
        <f t="shared" si="2"/>
        <v>0</v>
      </c>
    </row>
    <row r="148" spans="2:5" x14ac:dyDescent="0.2">
      <c r="B148" s="19">
        <f>Calculs!B898</f>
        <v>45681</v>
      </c>
      <c r="C148" s="13">
        <f>Calculs!C898</f>
        <v>597068.58257048961</v>
      </c>
      <c r="D148" s="13">
        <f>LARGE(Calculs!C648:C897,250-ROUNDUP(ROUND(RL_Confiance*250,9),0)+1)</f>
        <v>12912084.171943478</v>
      </c>
      <c r="E148" s="34">
        <f t="shared" si="2"/>
        <v>0</v>
      </c>
    </row>
    <row r="149" spans="2:5" x14ac:dyDescent="0.2">
      <c r="B149" s="19">
        <f>Calculs!B899</f>
        <v>45684</v>
      </c>
      <c r="C149" s="13">
        <f>Calculs!C899</f>
        <v>-1069876.1090293983</v>
      </c>
      <c r="D149" s="13">
        <f>LARGE(Calculs!C649:C898,250-ROUNDUP(ROUND(RL_Confiance*250,9),0)+1)</f>
        <v>12912084.171943478</v>
      </c>
      <c r="E149" s="34">
        <f t="shared" si="2"/>
        <v>0</v>
      </c>
    </row>
    <row r="150" spans="2:5" x14ac:dyDescent="0.2">
      <c r="B150" s="19">
        <f>Calculs!B900</f>
        <v>45685</v>
      </c>
      <c r="C150" s="13">
        <f>Calculs!C900</f>
        <v>1176059.1235841047</v>
      </c>
      <c r="D150" s="13">
        <f>LARGE(Calculs!C650:C899,250-ROUNDUP(ROUND(RL_Confiance*250,9),0)+1)</f>
        <v>12912084.171943478</v>
      </c>
      <c r="E150" s="34">
        <f t="shared" si="2"/>
        <v>0</v>
      </c>
    </row>
    <row r="151" spans="2:5" x14ac:dyDescent="0.2">
      <c r="B151" s="19">
        <f>Calculs!B901</f>
        <v>45686</v>
      </c>
      <c r="C151" s="13">
        <f>Calculs!C901</f>
        <v>-2666833.2065421883</v>
      </c>
      <c r="D151" s="13">
        <f>LARGE(Calculs!C651:C900,250-ROUNDUP(ROUND(RL_Confiance*250,9),0)+1)</f>
        <v>12912084.171943478</v>
      </c>
      <c r="E151" s="34">
        <f t="shared" si="2"/>
        <v>0</v>
      </c>
    </row>
    <row r="152" spans="2:5" x14ac:dyDescent="0.2">
      <c r="B152" s="19">
        <f>Calculs!B902</f>
        <v>45687</v>
      </c>
      <c r="C152" s="13">
        <f>Calculs!C902</f>
        <v>-9477231.413855968</v>
      </c>
      <c r="D152" s="13">
        <f>LARGE(Calculs!C652:C901,250-ROUNDUP(ROUND(RL_Confiance*250,9),0)+1)</f>
        <v>12912084.171943478</v>
      </c>
      <c r="E152" s="34">
        <f t="shared" si="2"/>
        <v>0</v>
      </c>
    </row>
    <row r="153" spans="2:5" x14ac:dyDescent="0.2">
      <c r="B153" s="19">
        <f>Calculs!B903</f>
        <v>45688</v>
      </c>
      <c r="C153" s="13">
        <f>Calculs!C903</f>
        <v>-7717236.4366761148</v>
      </c>
      <c r="D153" s="13">
        <f>LARGE(Calculs!C653:C902,250-ROUNDUP(ROUND(RL_Confiance*250,9),0)+1)</f>
        <v>12912084.171943478</v>
      </c>
      <c r="E153" s="34">
        <f t="shared" si="2"/>
        <v>0</v>
      </c>
    </row>
    <row r="154" spans="2:5" x14ac:dyDescent="0.2">
      <c r="B154" s="19">
        <f>Calculs!B904</f>
        <v>45691</v>
      </c>
      <c r="C154" s="13">
        <f>Calculs!C904</f>
        <v>-5098406.8409651658</v>
      </c>
      <c r="D154" s="13">
        <f>LARGE(Calculs!C654:C903,250-ROUNDUP(ROUND(RL_Confiance*250,9),0)+1)</f>
        <v>12912084.171943478</v>
      </c>
      <c r="E154" s="34">
        <f t="shared" si="2"/>
        <v>0</v>
      </c>
    </row>
    <row r="155" spans="2:5" x14ac:dyDescent="0.2">
      <c r="B155" s="19">
        <f>Calculs!B905</f>
        <v>45692</v>
      </c>
      <c r="C155" s="13">
        <f>Calculs!C905</f>
        <v>-2573188.6165767973</v>
      </c>
      <c r="D155" s="13">
        <f>LARGE(Calculs!C655:C904,250-ROUNDUP(ROUND(RL_Confiance*250,9),0)+1)</f>
        <v>12912084.171943478</v>
      </c>
      <c r="E155" s="34">
        <f t="shared" si="2"/>
        <v>0</v>
      </c>
    </row>
    <row r="156" spans="2:5" x14ac:dyDescent="0.2">
      <c r="B156" s="19">
        <f>Calculs!B906</f>
        <v>45693</v>
      </c>
      <c r="C156" s="13">
        <f>Calculs!C906</f>
        <v>251444.85175572513</v>
      </c>
      <c r="D156" s="13">
        <f>LARGE(Calculs!C656:C905,250-ROUNDUP(ROUND(RL_Confiance*250,9),0)+1)</f>
        <v>12912084.171943478</v>
      </c>
      <c r="E156" s="34">
        <f t="shared" si="2"/>
        <v>0</v>
      </c>
    </row>
    <row r="157" spans="2:5" x14ac:dyDescent="0.2">
      <c r="B157" s="19">
        <f>Calculs!B907</f>
        <v>45694</v>
      </c>
      <c r="C157" s="13">
        <f>Calculs!C907</f>
        <v>-4161734.1123005426</v>
      </c>
      <c r="D157" s="13">
        <f>LARGE(Calculs!C657:C906,250-ROUNDUP(ROUND(RL_Confiance*250,9),0)+1)</f>
        <v>12912084.171943478</v>
      </c>
      <c r="E157" s="34">
        <f t="shared" si="2"/>
        <v>0</v>
      </c>
    </row>
    <row r="158" spans="2:5" x14ac:dyDescent="0.2">
      <c r="B158" s="19">
        <f>Calculs!B908</f>
        <v>45695</v>
      </c>
      <c r="C158" s="13">
        <f>Calculs!C908</f>
        <v>6126540.1252115769</v>
      </c>
      <c r="D158" s="13">
        <f>LARGE(Calculs!C658:C907,250-ROUNDUP(ROUND(RL_Confiance*250,9),0)+1)</f>
        <v>12912084.171943478</v>
      </c>
      <c r="E158" s="34">
        <f t="shared" si="2"/>
        <v>0</v>
      </c>
    </row>
    <row r="159" spans="2:5" x14ac:dyDescent="0.2">
      <c r="B159" s="19">
        <f>Calculs!B909</f>
        <v>45698</v>
      </c>
      <c r="C159" s="13">
        <f>Calculs!C909</f>
        <v>-7067054.0332935983</v>
      </c>
      <c r="D159" s="13">
        <f>LARGE(Calculs!C659:C908,250-ROUNDUP(ROUND(RL_Confiance*250,9),0)+1)</f>
        <v>12912084.171943478</v>
      </c>
      <c r="E159" s="34">
        <f t="shared" si="2"/>
        <v>0</v>
      </c>
    </row>
    <row r="160" spans="2:5" x14ac:dyDescent="0.2">
      <c r="B160" s="19">
        <f>Calculs!B910</f>
        <v>45699</v>
      </c>
      <c r="C160" s="13">
        <f>Calculs!C910</f>
        <v>6664705.3292600298</v>
      </c>
      <c r="D160" s="13">
        <f>LARGE(Calculs!C660:C909,250-ROUNDUP(ROUND(RL_Confiance*250,9),0)+1)</f>
        <v>12912084.171943478</v>
      </c>
      <c r="E160" s="34">
        <f t="shared" si="2"/>
        <v>0</v>
      </c>
    </row>
    <row r="161" spans="2:5" x14ac:dyDescent="0.2">
      <c r="B161" s="19">
        <f>Calculs!B911</f>
        <v>45700</v>
      </c>
      <c r="C161" s="13">
        <f>Calculs!C911</f>
        <v>7013405.0364554301</v>
      </c>
      <c r="D161" s="13">
        <f>LARGE(Calculs!C661:C910,250-ROUNDUP(ROUND(RL_Confiance*250,9),0)+1)</f>
        <v>12912084.171943478</v>
      </c>
      <c r="E161" s="34">
        <f t="shared" si="2"/>
        <v>0</v>
      </c>
    </row>
    <row r="162" spans="2:5" x14ac:dyDescent="0.2">
      <c r="B162" s="19">
        <f>Calculs!B912</f>
        <v>45701</v>
      </c>
      <c r="C162" s="13">
        <f>Calculs!C912</f>
        <v>-10394844.479254698</v>
      </c>
      <c r="D162" s="13">
        <f>LARGE(Calculs!C662:C911,250-ROUNDUP(ROUND(RL_Confiance*250,9),0)+1)</f>
        <v>12912084.171943478</v>
      </c>
      <c r="E162" s="34">
        <f t="shared" si="2"/>
        <v>0</v>
      </c>
    </row>
    <row r="163" spans="2:5" x14ac:dyDescent="0.2">
      <c r="B163" s="19">
        <f>Calculs!B913</f>
        <v>45702</v>
      </c>
      <c r="C163" s="13">
        <f>Calculs!C913</f>
        <v>2894327.0248542028</v>
      </c>
      <c r="D163" s="13">
        <f>LARGE(Calculs!C663:C912,250-ROUNDUP(ROUND(RL_Confiance*250,9),0)+1)</f>
        <v>12912084.171943478</v>
      </c>
      <c r="E163" s="34">
        <f t="shared" si="2"/>
        <v>0</v>
      </c>
    </row>
    <row r="164" spans="2:5" x14ac:dyDescent="0.2">
      <c r="B164" s="19">
        <f>Calculs!B914</f>
        <v>45705</v>
      </c>
      <c r="C164" s="13">
        <f>Calculs!C914</f>
        <v>-2636008.8285374939</v>
      </c>
      <c r="D164" s="13">
        <f>LARGE(Calculs!C664:C913,250-ROUNDUP(ROUND(RL_Confiance*250,9),0)+1)</f>
        <v>12912084.171943478</v>
      </c>
      <c r="E164" s="34">
        <f t="shared" si="2"/>
        <v>0</v>
      </c>
    </row>
    <row r="165" spans="2:5" x14ac:dyDescent="0.2">
      <c r="B165" s="19">
        <f>Calculs!B915</f>
        <v>45706</v>
      </c>
      <c r="C165" s="13">
        <f>Calculs!C915</f>
        <v>-2038620.3754898016</v>
      </c>
      <c r="D165" s="13">
        <f>LARGE(Calculs!C665:C914,250-ROUNDUP(ROUND(RL_Confiance*250,9),0)+1)</f>
        <v>12912084.171943478</v>
      </c>
      <c r="E165" s="34">
        <f t="shared" si="2"/>
        <v>0</v>
      </c>
    </row>
    <row r="166" spans="2:5" x14ac:dyDescent="0.2">
      <c r="B166" s="19">
        <f>Calculs!B916</f>
        <v>45707</v>
      </c>
      <c r="C166" s="13">
        <f>Calculs!C916</f>
        <v>6700564.2971397117</v>
      </c>
      <c r="D166" s="13">
        <f>LARGE(Calculs!C666:C915,250-ROUNDUP(ROUND(RL_Confiance*250,9),0)+1)</f>
        <v>12912084.171943478</v>
      </c>
      <c r="E166" s="34">
        <f t="shared" si="2"/>
        <v>0</v>
      </c>
    </row>
    <row r="167" spans="2:5" x14ac:dyDescent="0.2">
      <c r="B167" s="19">
        <f>Calculs!B917</f>
        <v>45708</v>
      </c>
      <c r="C167" s="13">
        <f>Calculs!C917</f>
        <v>-3220384.4388343301</v>
      </c>
      <c r="D167" s="13">
        <f>LARGE(Calculs!C667:C916,250-ROUNDUP(ROUND(RL_Confiance*250,9),0)+1)</f>
        <v>12912084.171943478</v>
      </c>
      <c r="E167" s="34">
        <f t="shared" si="2"/>
        <v>0</v>
      </c>
    </row>
    <row r="168" spans="2:5" x14ac:dyDescent="0.2">
      <c r="B168" s="19">
        <f>Calculs!B918</f>
        <v>45709</v>
      </c>
      <c r="C168" s="13">
        <f>Calculs!C918</f>
        <v>-6610815.1797982221</v>
      </c>
      <c r="D168" s="13">
        <f>LARGE(Calculs!C668:C917,250-ROUNDUP(ROUND(RL_Confiance*250,9),0)+1)</f>
        <v>12912084.171943478</v>
      </c>
      <c r="E168" s="34">
        <f t="shared" si="2"/>
        <v>0</v>
      </c>
    </row>
    <row r="169" spans="2:5" x14ac:dyDescent="0.2">
      <c r="B169" s="19">
        <f>Calculs!B919</f>
        <v>45712</v>
      </c>
      <c r="C169" s="13">
        <f>Calculs!C919</f>
        <v>-1329570.9862682063</v>
      </c>
      <c r="D169" s="13">
        <f>LARGE(Calculs!C669:C918,250-ROUNDUP(ROUND(RL_Confiance*250,9),0)+1)</f>
        <v>12912084.171943478</v>
      </c>
      <c r="E169" s="34">
        <f t="shared" si="2"/>
        <v>0</v>
      </c>
    </row>
    <row r="170" spans="2:5" x14ac:dyDescent="0.2">
      <c r="B170" s="19">
        <f>Calculs!B920</f>
        <v>45713</v>
      </c>
      <c r="C170" s="13">
        <f>Calculs!C920</f>
        <v>455621.35164304834</v>
      </c>
      <c r="D170" s="13">
        <f>LARGE(Calculs!C670:C919,250-ROUNDUP(ROUND(RL_Confiance*250,9),0)+1)</f>
        <v>12912084.171943478</v>
      </c>
      <c r="E170" s="34">
        <f t="shared" si="2"/>
        <v>0</v>
      </c>
    </row>
    <row r="171" spans="2:5" x14ac:dyDescent="0.2">
      <c r="B171" s="19">
        <f>Calculs!B921</f>
        <v>45714</v>
      </c>
      <c r="C171" s="13">
        <f>Calculs!C921</f>
        <v>1332852.0872106394</v>
      </c>
      <c r="D171" s="13">
        <f>LARGE(Calculs!C671:C920,250-ROUNDUP(ROUND(RL_Confiance*250,9),0)+1)</f>
        <v>12912084.171943478</v>
      </c>
      <c r="E171" s="34">
        <f t="shared" si="2"/>
        <v>0</v>
      </c>
    </row>
    <row r="172" spans="2:5" x14ac:dyDescent="0.2">
      <c r="B172" s="19">
        <f>Calculs!B922</f>
        <v>45715</v>
      </c>
      <c r="C172" s="13">
        <f>Calculs!C922</f>
        <v>-6700018.4507639073</v>
      </c>
      <c r="D172" s="13">
        <f>LARGE(Calculs!C672:C921,250-ROUNDUP(ROUND(RL_Confiance*250,9),0)+1)</f>
        <v>12912084.171943478</v>
      </c>
      <c r="E172" s="34">
        <f t="shared" si="2"/>
        <v>0</v>
      </c>
    </row>
    <row r="173" spans="2:5" x14ac:dyDescent="0.2">
      <c r="B173" s="19">
        <f>Calculs!B923</f>
        <v>45716</v>
      </c>
      <c r="C173" s="13">
        <f>Calculs!C923</f>
        <v>3588408.048276288</v>
      </c>
      <c r="D173" s="13">
        <f>LARGE(Calculs!C673:C922,250-ROUNDUP(ROUND(RL_Confiance*250,9),0)+1)</f>
        <v>12912084.171943478</v>
      </c>
      <c r="E173" s="34">
        <f t="shared" si="2"/>
        <v>0</v>
      </c>
    </row>
    <row r="174" spans="2:5" x14ac:dyDescent="0.2">
      <c r="B174" s="19">
        <f>Calculs!B924</f>
        <v>45719</v>
      </c>
      <c r="C174" s="13">
        <f>Calculs!C924</f>
        <v>6476506.1912426818</v>
      </c>
      <c r="D174" s="13">
        <f>LARGE(Calculs!C674:C923,250-ROUNDUP(ROUND(RL_Confiance*250,9),0)+1)</f>
        <v>12912084.171943478</v>
      </c>
      <c r="E174" s="34">
        <f t="shared" si="2"/>
        <v>0</v>
      </c>
    </row>
    <row r="175" spans="2:5" x14ac:dyDescent="0.2">
      <c r="B175" s="19">
        <f>Calculs!B925</f>
        <v>45720</v>
      </c>
      <c r="C175" s="13">
        <f>Calculs!C925</f>
        <v>-4219091.959533371</v>
      </c>
      <c r="D175" s="13">
        <f>LARGE(Calculs!C675:C924,250-ROUNDUP(ROUND(RL_Confiance*250,9),0)+1)</f>
        <v>12912084.171943478</v>
      </c>
      <c r="E175" s="34">
        <f t="shared" si="2"/>
        <v>0</v>
      </c>
    </row>
    <row r="176" spans="2:5" x14ac:dyDescent="0.2">
      <c r="B176" s="19">
        <f>Calculs!B926</f>
        <v>45721</v>
      </c>
      <c r="C176" s="13">
        <f>Calculs!C926</f>
        <v>17687245.213015024</v>
      </c>
      <c r="D176" s="13">
        <f>LARGE(Calculs!C676:C925,250-ROUNDUP(ROUND(RL_Confiance*250,9),0)+1)</f>
        <v>12912084.171943478</v>
      </c>
      <c r="E176" s="34">
        <f t="shared" si="2"/>
        <v>1</v>
      </c>
    </row>
    <row r="177" spans="2:5" x14ac:dyDescent="0.2">
      <c r="B177" s="19">
        <f>Calculs!B927</f>
        <v>45722</v>
      </c>
      <c r="C177" s="13">
        <f>Calculs!C927</f>
        <v>16609527.393432966</v>
      </c>
      <c r="D177" s="13">
        <f>LARGE(Calculs!C677:C926,250-ROUNDUP(ROUND(RL_Confiance*250,9),0)+1)</f>
        <v>15502459.234624526</v>
      </c>
      <c r="E177" s="34">
        <f t="shared" si="2"/>
        <v>1</v>
      </c>
    </row>
    <row r="178" spans="2:5" x14ac:dyDescent="0.2">
      <c r="B178" s="19">
        <f>Calculs!B928</f>
        <v>45723</v>
      </c>
      <c r="C178" s="13">
        <f>Calculs!C928</f>
        <v>-6695894.041924621</v>
      </c>
      <c r="D178" s="13">
        <f>LARGE(Calculs!C678:C927,250-ROUNDUP(ROUND(RL_Confiance*250,9),0)+1)</f>
        <v>16052301.217462225</v>
      </c>
      <c r="E178" s="34">
        <f t="shared" si="2"/>
        <v>0</v>
      </c>
    </row>
    <row r="179" spans="2:5" x14ac:dyDescent="0.2">
      <c r="B179" s="19">
        <f>Calculs!B929</f>
        <v>45726</v>
      </c>
      <c r="C179" s="13">
        <f>Calculs!C929</f>
        <v>-2415362.1858100388</v>
      </c>
      <c r="D179" s="13">
        <f>LARGE(Calculs!C679:C928,250-ROUNDUP(ROUND(RL_Confiance*250,9),0)+1)</f>
        <v>16052301.217462225</v>
      </c>
      <c r="E179" s="34">
        <f t="shared" si="2"/>
        <v>0</v>
      </c>
    </row>
    <row r="180" spans="2:5" x14ac:dyDescent="0.2">
      <c r="B180" s="19">
        <f>Calculs!B930</f>
        <v>45727</v>
      </c>
      <c r="C180" s="13">
        <f>Calculs!C930</f>
        <v>2327275.4443102572</v>
      </c>
      <c r="D180" s="13">
        <f>LARGE(Calculs!C680:C929,250-ROUNDUP(ROUND(RL_Confiance*250,9),0)+1)</f>
        <v>16052301.217462225</v>
      </c>
      <c r="E180" s="34">
        <f t="shared" si="2"/>
        <v>0</v>
      </c>
    </row>
    <row r="181" spans="2:5" x14ac:dyDescent="0.2">
      <c r="B181" s="19">
        <f>Calculs!B931</f>
        <v>45728</v>
      </c>
      <c r="C181" s="13">
        <f>Calculs!C931</f>
        <v>1545176.0876579313</v>
      </c>
      <c r="D181" s="13">
        <f>LARGE(Calculs!C681:C930,250-ROUNDUP(ROUND(RL_Confiance*250,9),0)+1)</f>
        <v>16052301.217462225</v>
      </c>
      <c r="E181" s="34">
        <f t="shared" si="2"/>
        <v>0</v>
      </c>
    </row>
    <row r="182" spans="2:5" x14ac:dyDescent="0.2">
      <c r="B182" s="19">
        <f>Calculs!B932</f>
        <v>45729</v>
      </c>
      <c r="C182" s="13">
        <f>Calculs!C932</f>
        <v>-320514.83309758198</v>
      </c>
      <c r="D182" s="13">
        <f>LARGE(Calculs!C682:C931,250-ROUNDUP(ROUND(RL_Confiance*250,9),0)+1)</f>
        <v>16052301.217462225</v>
      </c>
      <c r="E182" s="34">
        <f t="shared" si="2"/>
        <v>0</v>
      </c>
    </row>
    <row r="183" spans="2:5" x14ac:dyDescent="0.2">
      <c r="B183" s="19">
        <f>Calculs!B933</f>
        <v>45730</v>
      </c>
      <c r="C183" s="13">
        <f>Calculs!C933</f>
        <v>11482503.13535955</v>
      </c>
      <c r="D183" s="13">
        <f>LARGE(Calculs!C683:C932,250-ROUNDUP(ROUND(RL_Confiance*250,9),0)+1)</f>
        <v>16052301.217462225</v>
      </c>
      <c r="E183" s="34">
        <f t="shared" si="2"/>
        <v>0</v>
      </c>
    </row>
    <row r="184" spans="2:5" x14ac:dyDescent="0.2">
      <c r="B184" s="19">
        <f>Calculs!B934</f>
        <v>45733</v>
      </c>
      <c r="C184" s="13">
        <f>Calculs!C934</f>
        <v>-2733089.9110312355</v>
      </c>
      <c r="D184" s="13">
        <f>LARGE(Calculs!C684:C933,250-ROUNDUP(ROUND(RL_Confiance*250,9),0)+1)</f>
        <v>16052301.217462225</v>
      </c>
      <c r="E184" s="34">
        <f t="shared" si="2"/>
        <v>0</v>
      </c>
    </row>
    <row r="185" spans="2:5" x14ac:dyDescent="0.2">
      <c r="B185" s="19">
        <f>Calculs!B935</f>
        <v>45734</v>
      </c>
      <c r="C185" s="13">
        <f>Calculs!C935</f>
        <v>-2786510.2180273142</v>
      </c>
      <c r="D185" s="13">
        <f>LARGE(Calculs!C685:C934,250-ROUNDUP(ROUND(RL_Confiance*250,9),0)+1)</f>
        <v>16052301.217462225</v>
      </c>
      <c r="E185" s="34">
        <f t="shared" si="2"/>
        <v>0</v>
      </c>
    </row>
    <row r="186" spans="2:5" x14ac:dyDescent="0.2">
      <c r="B186" s="19">
        <f>Calculs!B936</f>
        <v>45735</v>
      </c>
      <c r="C186" s="13">
        <f>Calculs!C936</f>
        <v>-1072231.5720981541</v>
      </c>
      <c r="D186" s="13">
        <f>LARGE(Calculs!C686:C935,250-ROUNDUP(ROUND(RL_Confiance*250,9),0)+1)</f>
        <v>16052301.217462225</v>
      </c>
      <c r="E186" s="34">
        <f t="shared" si="2"/>
        <v>0</v>
      </c>
    </row>
    <row r="187" spans="2:5" x14ac:dyDescent="0.2">
      <c r="B187" s="19">
        <f>Calculs!B937</f>
        <v>45736</v>
      </c>
      <c r="C187" s="13">
        <f>Calculs!C937</f>
        <v>-5175737.0748831453</v>
      </c>
      <c r="D187" s="13">
        <f>LARGE(Calculs!C687:C936,250-ROUNDUP(ROUND(RL_Confiance*250,9),0)+1)</f>
        <v>16052301.217462225</v>
      </c>
      <c r="E187" s="34">
        <f t="shared" si="2"/>
        <v>0</v>
      </c>
    </row>
    <row r="188" spans="2:5" x14ac:dyDescent="0.2">
      <c r="B188" s="19">
        <f>Calculs!B938</f>
        <v>45737</v>
      </c>
      <c r="C188" s="13">
        <f>Calculs!C938</f>
        <v>-1384626.4592248932</v>
      </c>
      <c r="D188" s="13">
        <f>LARGE(Calculs!C688:C937,250-ROUNDUP(ROUND(RL_Confiance*250,9),0)+1)</f>
        <v>16052301.217462225</v>
      </c>
      <c r="E188" s="34">
        <f t="shared" si="2"/>
        <v>0</v>
      </c>
    </row>
    <row r="189" spans="2:5" x14ac:dyDescent="0.2">
      <c r="B189" s="19">
        <f>Calculs!B939</f>
        <v>45740</v>
      </c>
      <c r="C189" s="13">
        <f>Calculs!C939</f>
        <v>1168562.0400054567</v>
      </c>
      <c r="D189" s="13">
        <f>LARGE(Calculs!C689:C938,250-ROUNDUP(ROUND(RL_Confiance*250,9),0)+1)</f>
        <v>16052301.217462225</v>
      </c>
      <c r="E189" s="34">
        <f t="shared" si="2"/>
        <v>0</v>
      </c>
    </row>
    <row r="190" spans="2:5" x14ac:dyDescent="0.2">
      <c r="B190" s="19">
        <f>Calculs!B940</f>
        <v>45741</v>
      </c>
      <c r="C190" s="13">
        <f>Calculs!C940</f>
        <v>-1344055.0276480778</v>
      </c>
      <c r="D190" s="13">
        <f>LARGE(Calculs!C690:C939,250-ROUNDUP(ROUND(RL_Confiance*250,9),0)+1)</f>
        <v>16052301.217462225</v>
      </c>
      <c r="E190" s="34">
        <f t="shared" si="2"/>
        <v>0</v>
      </c>
    </row>
    <row r="191" spans="2:5" x14ac:dyDescent="0.2">
      <c r="B191" s="19">
        <f>Calculs!B941</f>
        <v>45742</v>
      </c>
      <c r="C191" s="13">
        <f>Calculs!C941</f>
        <v>1874768.3491465149</v>
      </c>
      <c r="D191" s="13">
        <f>LARGE(Calculs!C691:C940,250-ROUNDUP(ROUND(RL_Confiance*250,9),0)+1)</f>
        <v>16052301.217462225</v>
      </c>
      <c r="E191" s="34">
        <f t="shared" si="2"/>
        <v>0</v>
      </c>
    </row>
    <row r="192" spans="2:5" x14ac:dyDescent="0.2">
      <c r="B192" s="19">
        <f>Calculs!B942</f>
        <v>45743</v>
      </c>
      <c r="C192" s="13">
        <f>Calculs!C942</f>
        <v>195744.7113253295</v>
      </c>
      <c r="D192" s="13">
        <f>LARGE(Calculs!C692:C941,250-ROUNDUP(ROUND(RL_Confiance*250,9),0)+1)</f>
        <v>16052301.217462225</v>
      </c>
      <c r="E192" s="34">
        <f t="shared" si="2"/>
        <v>0</v>
      </c>
    </row>
    <row r="193" spans="2:5" x14ac:dyDescent="0.2">
      <c r="B193" s="19">
        <f>Calculs!B943</f>
        <v>45744</v>
      </c>
      <c r="C193" s="13">
        <f>Calculs!C943</f>
        <v>-1482383.8031122964</v>
      </c>
      <c r="D193" s="13">
        <f>LARGE(Calculs!C693:C942,250-ROUNDUP(ROUND(RL_Confiance*250,9),0)+1)</f>
        <v>16052301.217462225</v>
      </c>
      <c r="E193" s="34">
        <f t="shared" si="2"/>
        <v>0</v>
      </c>
    </row>
    <row r="194" spans="2:5" x14ac:dyDescent="0.2">
      <c r="B194" s="19">
        <f>Calculs!B944</f>
        <v>45747</v>
      </c>
      <c r="C194" s="13">
        <f>Calculs!C944</f>
        <v>2412542.8193508992</v>
      </c>
      <c r="D194" s="13">
        <f>LARGE(Calculs!C694:C943,250-ROUNDUP(ROUND(RL_Confiance*250,9),0)+1)</f>
        <v>16052301.217462225</v>
      </c>
      <c r="E194" s="34">
        <f t="shared" si="2"/>
        <v>0</v>
      </c>
    </row>
    <row r="195" spans="2:5" x14ac:dyDescent="0.2">
      <c r="B195" s="19">
        <f>Calculs!B945</f>
        <v>45748</v>
      </c>
      <c r="C195" s="13">
        <f>Calculs!C945</f>
        <v>-1824532.2763507527</v>
      </c>
      <c r="D195" s="13">
        <f>LARGE(Calculs!C695:C944,250-ROUNDUP(ROUND(RL_Confiance*250,9),0)+1)</f>
        <v>16052301.217462225</v>
      </c>
      <c r="E195" s="34">
        <f t="shared" si="2"/>
        <v>0</v>
      </c>
    </row>
    <row r="196" spans="2:5" x14ac:dyDescent="0.2">
      <c r="B196" s="19">
        <f>Calculs!B946</f>
        <v>45749</v>
      </c>
      <c r="C196" s="13">
        <f>Calculs!C946</f>
        <v>-1138222.9211895484</v>
      </c>
      <c r="D196" s="13">
        <f>LARGE(Calculs!C696:C945,250-ROUNDUP(ROUND(RL_Confiance*250,9),0)+1)</f>
        <v>16052301.217462225</v>
      </c>
      <c r="E196" s="34">
        <f t="shared" si="2"/>
        <v>0</v>
      </c>
    </row>
    <row r="197" spans="2:5" x14ac:dyDescent="0.2">
      <c r="B197" s="19">
        <f>Calculs!B947</f>
        <v>45750</v>
      </c>
      <c r="C197" s="13">
        <f>Calculs!C947</f>
        <v>4702049.5318174092</v>
      </c>
      <c r="D197" s="13">
        <f>LARGE(Calculs!C697:C946,250-ROUNDUP(ROUND(RL_Confiance*250,9),0)+1)</f>
        <v>16052301.217462225</v>
      </c>
      <c r="E197" s="34">
        <f t="shared" si="2"/>
        <v>0</v>
      </c>
    </row>
    <row r="198" spans="2:5" x14ac:dyDescent="0.2">
      <c r="B198" s="19">
        <f>Calculs!B948</f>
        <v>45751</v>
      </c>
      <c r="C198" s="13">
        <f>Calculs!C948</f>
        <v>4984852.0819114679</v>
      </c>
      <c r="D198" s="13">
        <f>LARGE(Calculs!C698:C947,250-ROUNDUP(ROUND(RL_Confiance*250,9),0)+1)</f>
        <v>16052301.217462225</v>
      </c>
      <c r="E198" s="34">
        <f t="shared" si="2"/>
        <v>0</v>
      </c>
    </row>
    <row r="199" spans="2:5" x14ac:dyDescent="0.2">
      <c r="B199" s="19">
        <f>Calculs!B949</f>
        <v>45754</v>
      </c>
      <c r="C199" s="13">
        <f>Calculs!C949</f>
        <v>37134766.692677289</v>
      </c>
      <c r="D199" s="13">
        <f>LARGE(Calculs!C699:C948,250-ROUNDUP(ROUND(RL_Confiance*250,9),0)+1)</f>
        <v>16052301.217462225</v>
      </c>
      <c r="E199" s="34">
        <f t="shared" ref="E199:E262" si="3">IF(C199&gt;D199,1,0)</f>
        <v>1</v>
      </c>
    </row>
    <row r="200" spans="2:5" x14ac:dyDescent="0.2">
      <c r="B200" s="19">
        <f>Calculs!B950</f>
        <v>45755</v>
      </c>
      <c r="C200" s="13">
        <f>Calculs!C950</f>
        <v>-9126220.0306733958</v>
      </c>
      <c r="D200" s="13">
        <f>LARGE(Calculs!C700:C949,250-ROUNDUP(ROUND(RL_Confiance*250,9),0)+1)</f>
        <v>16609527.393432966</v>
      </c>
      <c r="E200" s="34">
        <f t="shared" si="3"/>
        <v>0</v>
      </c>
    </row>
    <row r="201" spans="2:5" x14ac:dyDescent="0.2">
      <c r="B201" s="19">
        <f>Calculs!B951</f>
        <v>45756</v>
      </c>
      <c r="C201" s="13">
        <f>Calculs!C951</f>
        <v>-951140.46434757777</v>
      </c>
      <c r="D201" s="13">
        <f>LARGE(Calculs!C701:C950,250-ROUNDUP(ROUND(RL_Confiance*250,9),0)+1)</f>
        <v>16609527.393432966</v>
      </c>
      <c r="E201" s="34">
        <f t="shared" si="3"/>
        <v>0</v>
      </c>
    </row>
    <row r="202" spans="2:5" x14ac:dyDescent="0.2">
      <c r="B202" s="19">
        <f>Calculs!B952</f>
        <v>45757</v>
      </c>
      <c r="C202" s="13">
        <f>Calculs!C952</f>
        <v>-18218385.589140948</v>
      </c>
      <c r="D202" s="13">
        <f>LARGE(Calculs!C702:C951,250-ROUNDUP(ROUND(RL_Confiance*250,9),0)+1)</f>
        <v>16609527.393432966</v>
      </c>
      <c r="E202" s="34">
        <f t="shared" si="3"/>
        <v>0</v>
      </c>
    </row>
    <row r="203" spans="2:5" x14ac:dyDescent="0.2">
      <c r="B203" s="19">
        <f>Calculs!B953</f>
        <v>45758</v>
      </c>
      <c r="C203" s="13">
        <f>Calculs!C953</f>
        <v>-802722.68362162134</v>
      </c>
      <c r="D203" s="13">
        <f>LARGE(Calculs!C703:C952,250-ROUNDUP(ROUND(RL_Confiance*250,9),0)+1)</f>
        <v>16609527.393432966</v>
      </c>
      <c r="E203" s="34">
        <f t="shared" si="3"/>
        <v>0</v>
      </c>
    </row>
    <row r="204" spans="2:5" x14ac:dyDescent="0.2">
      <c r="B204" s="19">
        <f>Calculs!B954</f>
        <v>45761</v>
      </c>
      <c r="C204" s="13">
        <f>Calculs!C954</f>
        <v>1624063.8624572477</v>
      </c>
      <c r="D204" s="13">
        <f>LARGE(Calculs!C704:C953,250-ROUNDUP(ROUND(RL_Confiance*250,9),0)+1)</f>
        <v>16609527.393432966</v>
      </c>
      <c r="E204" s="34">
        <f t="shared" si="3"/>
        <v>0</v>
      </c>
    </row>
    <row r="205" spans="2:5" x14ac:dyDescent="0.2">
      <c r="B205" s="19">
        <f>Calculs!B955</f>
        <v>45762</v>
      </c>
      <c r="C205" s="13">
        <f>Calculs!C955</f>
        <v>-1341696.7479516275</v>
      </c>
      <c r="D205" s="13">
        <f>LARGE(Calculs!C705:C954,250-ROUNDUP(ROUND(RL_Confiance*250,9),0)+1)</f>
        <v>16609527.393432966</v>
      </c>
      <c r="E205" s="34">
        <f t="shared" si="3"/>
        <v>0</v>
      </c>
    </row>
    <row r="206" spans="2:5" x14ac:dyDescent="0.2">
      <c r="B206" s="19">
        <f>Calculs!B956</f>
        <v>45763</v>
      </c>
      <c r="C206" s="13">
        <f>Calculs!C956</f>
        <v>-10772802.590286842</v>
      </c>
      <c r="D206" s="13">
        <f>LARGE(Calculs!C706:C955,250-ROUNDUP(ROUND(RL_Confiance*250,9),0)+1)</f>
        <v>16609527.393432966</v>
      </c>
      <c r="E206" s="34">
        <f t="shared" si="3"/>
        <v>0</v>
      </c>
    </row>
    <row r="207" spans="2:5" x14ac:dyDescent="0.2">
      <c r="B207" s="19">
        <f>Calculs!B957</f>
        <v>45764</v>
      </c>
      <c r="C207" s="13">
        <f>Calculs!C957</f>
        <v>-14440488.765884085</v>
      </c>
      <c r="D207" s="13">
        <f>LARGE(Calculs!C707:C956,250-ROUNDUP(ROUND(RL_Confiance*250,9),0)+1)</f>
        <v>16609527.393432966</v>
      </c>
      <c r="E207" s="34">
        <f t="shared" si="3"/>
        <v>0</v>
      </c>
    </row>
    <row r="208" spans="2:5" x14ac:dyDescent="0.2">
      <c r="B208" s="19">
        <f>Calculs!B958</f>
        <v>45769</v>
      </c>
      <c r="C208" s="13">
        <f>Calculs!C958</f>
        <v>-1080909.7460519741</v>
      </c>
      <c r="D208" s="13">
        <f>LARGE(Calculs!C708:C957,250-ROUNDUP(ROUND(RL_Confiance*250,9),0)+1)</f>
        <v>16609527.393432966</v>
      </c>
      <c r="E208" s="34">
        <f t="shared" si="3"/>
        <v>0</v>
      </c>
    </row>
    <row r="209" spans="2:5" x14ac:dyDescent="0.2">
      <c r="B209" s="19">
        <f>Calculs!B959</f>
        <v>45770</v>
      </c>
      <c r="C209" s="13">
        <f>Calculs!C959</f>
        <v>-741250.99589216558</v>
      </c>
      <c r="D209" s="13">
        <f>LARGE(Calculs!C709:C958,250-ROUNDUP(ROUND(RL_Confiance*250,9),0)+1)</f>
        <v>16609527.393432966</v>
      </c>
      <c r="E209" s="34">
        <f t="shared" si="3"/>
        <v>0</v>
      </c>
    </row>
    <row r="210" spans="2:5" x14ac:dyDescent="0.2">
      <c r="B210" s="19">
        <f>Calculs!B960</f>
        <v>45771</v>
      </c>
      <c r="C210" s="13">
        <f>Calculs!C960</f>
        <v>-10732507.204225264</v>
      </c>
      <c r="D210" s="13">
        <f>LARGE(Calculs!C710:C959,250-ROUNDUP(ROUND(RL_Confiance*250,9),0)+1)</f>
        <v>16609527.393432966</v>
      </c>
      <c r="E210" s="34">
        <f t="shared" si="3"/>
        <v>0</v>
      </c>
    </row>
    <row r="211" spans="2:5" x14ac:dyDescent="0.2">
      <c r="B211" s="19">
        <f>Calculs!B961</f>
        <v>45772</v>
      </c>
      <c r="C211" s="13">
        <f>Calculs!C961</f>
        <v>-576683.71901728516</v>
      </c>
      <c r="D211" s="13">
        <f>LARGE(Calculs!C711:C960,250-ROUNDUP(ROUND(RL_Confiance*250,9),0)+1)</f>
        <v>16609527.393432966</v>
      </c>
      <c r="E211" s="34">
        <f t="shared" si="3"/>
        <v>0</v>
      </c>
    </row>
    <row r="212" spans="2:5" x14ac:dyDescent="0.2">
      <c r="B212" s="19">
        <f>Calculs!B962</f>
        <v>45775</v>
      </c>
      <c r="C212" s="13">
        <f>Calculs!C962</f>
        <v>2373126.9637595452</v>
      </c>
      <c r="D212" s="13">
        <f>LARGE(Calculs!C712:C961,250-ROUNDUP(ROUND(RL_Confiance*250,9),0)+1)</f>
        <v>16609527.393432966</v>
      </c>
      <c r="E212" s="34">
        <f t="shared" si="3"/>
        <v>0</v>
      </c>
    </row>
    <row r="213" spans="2:5" x14ac:dyDescent="0.2">
      <c r="B213" s="19">
        <f>Calculs!B963</f>
        <v>45776</v>
      </c>
      <c r="C213" s="13">
        <f>Calculs!C963</f>
        <v>1472080.7380753178</v>
      </c>
      <c r="D213" s="13">
        <f>LARGE(Calculs!C713:C962,250-ROUNDUP(ROUND(RL_Confiance*250,9),0)+1)</f>
        <v>16609527.393432966</v>
      </c>
      <c r="E213" s="34">
        <f t="shared" si="3"/>
        <v>0</v>
      </c>
    </row>
    <row r="214" spans="2:5" x14ac:dyDescent="0.2">
      <c r="B214" s="19">
        <f>Calculs!B964</f>
        <v>45777</v>
      </c>
      <c r="C214" s="13">
        <f>Calculs!C964</f>
        <v>-1389497.172527448</v>
      </c>
      <c r="D214" s="13">
        <f>LARGE(Calculs!C714:C963,250-ROUNDUP(ROUND(RL_Confiance*250,9),0)+1)</f>
        <v>16609527.393432966</v>
      </c>
      <c r="E214" s="34">
        <f t="shared" si="3"/>
        <v>0</v>
      </c>
    </row>
    <row r="215" spans="2:5" x14ac:dyDescent="0.2">
      <c r="B215" s="19">
        <f>Calculs!B965</f>
        <v>45779</v>
      </c>
      <c r="C215" s="13">
        <f>Calculs!C965</f>
        <v>10269489.149806026</v>
      </c>
      <c r="D215" s="13">
        <f>LARGE(Calculs!C715:C964,250-ROUNDUP(ROUND(RL_Confiance*250,9),0)+1)</f>
        <v>16609527.393432966</v>
      </c>
      <c r="E215" s="34">
        <f t="shared" si="3"/>
        <v>0</v>
      </c>
    </row>
    <row r="216" spans="2:5" x14ac:dyDescent="0.2">
      <c r="B216" s="19">
        <f>Calculs!B966</f>
        <v>45782</v>
      </c>
      <c r="C216" s="13">
        <f>Calculs!C966</f>
        <v>-3198218.3463863088</v>
      </c>
      <c r="D216" s="13">
        <f>LARGE(Calculs!C716:C965,250-ROUNDUP(ROUND(RL_Confiance*250,9),0)+1)</f>
        <v>16609527.393432966</v>
      </c>
      <c r="E216" s="34">
        <f t="shared" si="3"/>
        <v>0</v>
      </c>
    </row>
    <row r="217" spans="2:5" x14ac:dyDescent="0.2">
      <c r="B217" s="19">
        <f>Calculs!B967</f>
        <v>45783</v>
      </c>
      <c r="C217" s="13">
        <f>Calculs!C967</f>
        <v>1802085.9004805388</v>
      </c>
      <c r="D217" s="13">
        <f>LARGE(Calculs!C717:C966,250-ROUNDUP(ROUND(RL_Confiance*250,9),0)+1)</f>
        <v>16609527.393432966</v>
      </c>
      <c r="E217" s="34">
        <f t="shared" si="3"/>
        <v>0</v>
      </c>
    </row>
    <row r="218" spans="2:5" x14ac:dyDescent="0.2">
      <c r="B218" s="19">
        <f>Calculs!B968</f>
        <v>45784</v>
      </c>
      <c r="C218" s="13">
        <f>Calculs!C968</f>
        <v>-6569357.6808418343</v>
      </c>
      <c r="D218" s="13">
        <f>LARGE(Calculs!C718:C967,250-ROUNDUP(ROUND(RL_Confiance*250,9),0)+1)</f>
        <v>16609527.393432966</v>
      </c>
      <c r="E218" s="34">
        <f t="shared" si="3"/>
        <v>0</v>
      </c>
    </row>
    <row r="219" spans="2:5" x14ac:dyDescent="0.2">
      <c r="B219" s="19">
        <f>Calculs!B969</f>
        <v>45785</v>
      </c>
      <c r="C219" s="13">
        <f>Calculs!C969</f>
        <v>-932421.98243500537</v>
      </c>
      <c r="D219" s="13">
        <f>LARGE(Calculs!C719:C968,250-ROUNDUP(ROUND(RL_Confiance*250,9),0)+1)</f>
        <v>16609527.393432966</v>
      </c>
      <c r="E219" s="34">
        <f t="shared" si="3"/>
        <v>0</v>
      </c>
    </row>
    <row r="220" spans="2:5" x14ac:dyDescent="0.2">
      <c r="B220" s="19">
        <f>Calculs!B970</f>
        <v>45786</v>
      </c>
      <c r="C220" s="13">
        <f>Calculs!C970</f>
        <v>1630308.9785102122</v>
      </c>
      <c r="D220" s="13">
        <f>LARGE(Calculs!C720:C969,250-ROUNDUP(ROUND(RL_Confiance*250,9),0)+1)</f>
        <v>16609527.393432966</v>
      </c>
      <c r="E220" s="34">
        <f t="shared" si="3"/>
        <v>0</v>
      </c>
    </row>
    <row r="221" spans="2:5" x14ac:dyDescent="0.2">
      <c r="B221" s="19">
        <f>Calculs!B971</f>
        <v>45789</v>
      </c>
      <c r="C221" s="13">
        <f>Calculs!C971</f>
        <v>3921453.4916359442</v>
      </c>
      <c r="D221" s="13">
        <f>LARGE(Calculs!C721:C970,250-ROUNDUP(ROUND(RL_Confiance*250,9),0)+1)</f>
        <v>16609527.393432966</v>
      </c>
      <c r="E221" s="34">
        <f t="shared" si="3"/>
        <v>0</v>
      </c>
    </row>
    <row r="222" spans="2:5" x14ac:dyDescent="0.2">
      <c r="B222" s="19">
        <f>Calculs!B972</f>
        <v>45790</v>
      </c>
      <c r="C222" s="13">
        <f>Calculs!C972</f>
        <v>-4866926.7478522807</v>
      </c>
      <c r="D222" s="13">
        <f>LARGE(Calculs!C722:C971,250-ROUNDUP(ROUND(RL_Confiance*250,9),0)+1)</f>
        <v>16609527.393432966</v>
      </c>
      <c r="E222" s="34">
        <f t="shared" si="3"/>
        <v>0</v>
      </c>
    </row>
    <row r="223" spans="2:5" x14ac:dyDescent="0.2">
      <c r="B223" s="19">
        <f>Calculs!B973</f>
        <v>45791</v>
      </c>
      <c r="C223" s="13">
        <f>Calculs!C973</f>
        <v>-425235.95966277859</v>
      </c>
      <c r="D223" s="13">
        <f>LARGE(Calculs!C723:C972,250-ROUNDUP(ROUND(RL_Confiance*250,9),0)+1)</f>
        <v>16609527.393432966</v>
      </c>
      <c r="E223" s="34">
        <f t="shared" si="3"/>
        <v>0</v>
      </c>
    </row>
    <row r="224" spans="2:5" x14ac:dyDescent="0.2">
      <c r="B224" s="19">
        <f>Calculs!B974</f>
        <v>45792</v>
      </c>
      <c r="C224" s="13">
        <f>Calculs!C974</f>
        <v>-1200612.3823284796</v>
      </c>
      <c r="D224" s="13">
        <f>LARGE(Calculs!C724:C973,250-ROUNDUP(ROUND(RL_Confiance*250,9),0)+1)</f>
        <v>16609527.393432966</v>
      </c>
      <c r="E224" s="34">
        <f t="shared" si="3"/>
        <v>0</v>
      </c>
    </row>
    <row r="225" spans="2:5" x14ac:dyDescent="0.2">
      <c r="B225" s="19">
        <f>Calculs!B975</f>
        <v>45793</v>
      </c>
      <c r="C225" s="13">
        <f>Calculs!C975</f>
        <v>-54493.172682966673</v>
      </c>
      <c r="D225" s="13">
        <f>LARGE(Calculs!C725:C974,250-ROUNDUP(ROUND(RL_Confiance*250,9),0)+1)</f>
        <v>16609527.393432966</v>
      </c>
      <c r="E225" s="34">
        <f t="shared" si="3"/>
        <v>0</v>
      </c>
    </row>
    <row r="226" spans="2:5" x14ac:dyDescent="0.2">
      <c r="B226" s="19">
        <f>Calculs!B976</f>
        <v>45796</v>
      </c>
      <c r="C226" s="13">
        <f>Calculs!C976</f>
        <v>-5969568.5730231283</v>
      </c>
      <c r="D226" s="13">
        <f>LARGE(Calculs!C726:C975,250-ROUNDUP(ROUND(RL_Confiance*250,9),0)+1)</f>
        <v>16609527.393432966</v>
      </c>
      <c r="E226" s="34">
        <f t="shared" si="3"/>
        <v>0</v>
      </c>
    </row>
    <row r="227" spans="2:5" x14ac:dyDescent="0.2">
      <c r="B227" s="19">
        <f>Calculs!B977</f>
        <v>45797</v>
      </c>
      <c r="C227" s="13">
        <f>Calculs!C977</f>
        <v>8349059.8796247346</v>
      </c>
      <c r="D227" s="13">
        <f>LARGE(Calculs!C727:C976,250-ROUNDUP(ROUND(RL_Confiance*250,9),0)+1)</f>
        <v>16609527.393432966</v>
      </c>
      <c r="E227" s="34">
        <f t="shared" si="3"/>
        <v>0</v>
      </c>
    </row>
    <row r="228" spans="2:5" x14ac:dyDescent="0.2">
      <c r="B228" s="19">
        <f>Calculs!B978</f>
        <v>45798</v>
      </c>
      <c r="C228" s="13">
        <f>Calculs!C978</f>
        <v>-6929712.246051291</v>
      </c>
      <c r="D228" s="13">
        <f>LARGE(Calculs!C728:C977,250-ROUNDUP(ROUND(RL_Confiance*250,9),0)+1)</f>
        <v>16609527.393432966</v>
      </c>
      <c r="E228" s="34">
        <f t="shared" si="3"/>
        <v>0</v>
      </c>
    </row>
    <row r="229" spans="2:5" x14ac:dyDescent="0.2">
      <c r="B229" s="19">
        <f>Calculs!B979</f>
        <v>45799</v>
      </c>
      <c r="C229" s="13">
        <f>Calculs!C979</f>
        <v>4494334.4603246339</v>
      </c>
      <c r="D229" s="13">
        <f>LARGE(Calculs!C729:C978,250-ROUNDUP(ROUND(RL_Confiance*250,9),0)+1)</f>
        <v>16609527.393432966</v>
      </c>
      <c r="E229" s="34">
        <f t="shared" si="3"/>
        <v>0</v>
      </c>
    </row>
    <row r="230" spans="2:5" x14ac:dyDescent="0.2">
      <c r="B230" s="19">
        <f>Calculs!B980</f>
        <v>45800</v>
      </c>
      <c r="C230" s="13">
        <f>Calculs!C980</f>
        <v>-11813947.500726163</v>
      </c>
      <c r="D230" s="13">
        <f>LARGE(Calculs!C730:C979,250-ROUNDUP(ROUND(RL_Confiance*250,9),0)+1)</f>
        <v>16609527.393432966</v>
      </c>
      <c r="E230" s="34">
        <f t="shared" si="3"/>
        <v>0</v>
      </c>
    </row>
    <row r="231" spans="2:5" x14ac:dyDescent="0.2">
      <c r="B231" s="19">
        <f>Calculs!B981</f>
        <v>45803</v>
      </c>
      <c r="C231" s="13">
        <f>Calculs!C981</f>
        <v>4911025.5066294372</v>
      </c>
      <c r="D231" s="13">
        <f>LARGE(Calculs!C731:C980,250-ROUNDUP(ROUND(RL_Confiance*250,9),0)+1)</f>
        <v>16609527.393432966</v>
      </c>
      <c r="E231" s="34">
        <f t="shared" si="3"/>
        <v>0</v>
      </c>
    </row>
    <row r="232" spans="2:5" x14ac:dyDescent="0.2">
      <c r="B232" s="19">
        <f>Calculs!B982</f>
        <v>45804</v>
      </c>
      <c r="C232" s="13">
        <f>Calculs!C982</f>
        <v>2432592.1935914503</v>
      </c>
      <c r="D232" s="13">
        <f>LARGE(Calculs!C732:C981,250-ROUNDUP(ROUND(RL_Confiance*250,9),0)+1)</f>
        <v>16609527.393432966</v>
      </c>
      <c r="E232" s="34">
        <f t="shared" si="3"/>
        <v>0</v>
      </c>
    </row>
    <row r="233" spans="2:5" x14ac:dyDescent="0.2">
      <c r="B233" s="19">
        <f>Calculs!B983</f>
        <v>45805</v>
      </c>
      <c r="C233" s="13">
        <f>Calculs!C983</f>
        <v>-3091450.9394361963</v>
      </c>
      <c r="D233" s="13">
        <f>LARGE(Calculs!C733:C982,250-ROUNDUP(ROUND(RL_Confiance*250,9),0)+1)</f>
        <v>16609527.393432966</v>
      </c>
      <c r="E233" s="34">
        <f t="shared" si="3"/>
        <v>0</v>
      </c>
    </row>
    <row r="234" spans="2:5" x14ac:dyDescent="0.2">
      <c r="B234" s="19">
        <f>Calculs!B984</f>
        <v>45806</v>
      </c>
      <c r="C234" s="13">
        <f>Calculs!C984</f>
        <v>-5571651.1652893238</v>
      </c>
      <c r="D234" s="13">
        <f>LARGE(Calculs!C734:C983,250-ROUNDUP(ROUND(RL_Confiance*250,9),0)+1)</f>
        <v>16609527.393432966</v>
      </c>
      <c r="E234" s="34">
        <f t="shared" si="3"/>
        <v>0</v>
      </c>
    </row>
    <row r="235" spans="2:5" x14ac:dyDescent="0.2">
      <c r="B235" s="19">
        <f>Calculs!B985</f>
        <v>45807</v>
      </c>
      <c r="C235" s="13">
        <f>Calculs!C985</f>
        <v>415088.08696061617</v>
      </c>
      <c r="D235" s="13">
        <f>LARGE(Calculs!C735:C984,250-ROUNDUP(ROUND(RL_Confiance*250,9),0)+1)</f>
        <v>16609527.393432966</v>
      </c>
      <c r="E235" s="34">
        <f t="shared" si="3"/>
        <v>0</v>
      </c>
    </row>
    <row r="236" spans="2:5" x14ac:dyDescent="0.2">
      <c r="B236" s="19">
        <f>Calculs!B986</f>
        <v>45810</v>
      </c>
      <c r="C236" s="13">
        <f>Calculs!C986</f>
        <v>-150870.6860316855</v>
      </c>
      <c r="D236" s="13">
        <f>LARGE(Calculs!C736:C985,250-ROUNDUP(ROUND(RL_Confiance*250,9),0)+1)</f>
        <v>16609527.393432966</v>
      </c>
      <c r="E236" s="34">
        <f t="shared" si="3"/>
        <v>0</v>
      </c>
    </row>
    <row r="237" spans="2:5" x14ac:dyDescent="0.2">
      <c r="B237" s="19">
        <f>Calculs!B987</f>
        <v>45811</v>
      </c>
      <c r="C237" s="13">
        <f>Calculs!C987</f>
        <v>-2760739.2489021262</v>
      </c>
      <c r="D237" s="13">
        <f>LARGE(Calculs!C737:C986,250-ROUNDUP(ROUND(RL_Confiance*250,9),0)+1)</f>
        <v>16609527.393432966</v>
      </c>
      <c r="E237" s="34">
        <f t="shared" si="3"/>
        <v>0</v>
      </c>
    </row>
    <row r="238" spans="2:5" x14ac:dyDescent="0.2">
      <c r="B238" s="19">
        <f>Calculs!B988</f>
        <v>45812</v>
      </c>
      <c r="C238" s="13">
        <f>Calculs!C988</f>
        <v>1658050.7223212007</v>
      </c>
      <c r="D238" s="13">
        <f>LARGE(Calculs!C738:C987,250-ROUNDUP(ROUND(RL_Confiance*250,9),0)+1)</f>
        <v>16609527.393432966</v>
      </c>
      <c r="E238" s="34">
        <f t="shared" si="3"/>
        <v>0</v>
      </c>
    </row>
    <row r="239" spans="2:5" x14ac:dyDescent="0.2">
      <c r="B239" s="19">
        <f>Calculs!B989</f>
        <v>45813</v>
      </c>
      <c r="C239" s="13">
        <f>Calculs!C989</f>
        <v>10456806.789395655</v>
      </c>
      <c r="D239" s="13">
        <f>LARGE(Calculs!C739:C988,250-ROUNDUP(ROUND(RL_Confiance*250,9),0)+1)</f>
        <v>16609527.393432966</v>
      </c>
      <c r="E239" s="34">
        <f t="shared" si="3"/>
        <v>0</v>
      </c>
    </row>
    <row r="240" spans="2:5" x14ac:dyDescent="0.2">
      <c r="B240" s="19">
        <f>Calculs!B990</f>
        <v>45814</v>
      </c>
      <c r="C240" s="13">
        <f>Calculs!C990</f>
        <v>-91954.364782914417</v>
      </c>
      <c r="D240" s="13">
        <f>LARGE(Calculs!C740:C989,250-ROUNDUP(ROUND(RL_Confiance*250,9),0)+1)</f>
        <v>16609527.393432966</v>
      </c>
      <c r="E240" s="34">
        <f t="shared" si="3"/>
        <v>0</v>
      </c>
    </row>
    <row r="241" spans="2:5" x14ac:dyDescent="0.2">
      <c r="B241" s="19">
        <f>Calculs!B991</f>
        <v>45817</v>
      </c>
      <c r="C241" s="13">
        <f>Calculs!C991</f>
        <v>1853078.6485423229</v>
      </c>
      <c r="D241" s="13">
        <f>LARGE(Calculs!C741:C990,250-ROUNDUP(ROUND(RL_Confiance*250,9),0)+1)</f>
        <v>16609527.393432966</v>
      </c>
      <c r="E241" s="34">
        <f t="shared" si="3"/>
        <v>0</v>
      </c>
    </row>
    <row r="242" spans="2:5" x14ac:dyDescent="0.2">
      <c r="B242" s="19">
        <f>Calculs!B992</f>
        <v>45818</v>
      </c>
      <c r="C242" s="13">
        <f>Calculs!C992</f>
        <v>-13590156.222429767</v>
      </c>
      <c r="D242" s="13">
        <f>LARGE(Calculs!C742:C991,250-ROUNDUP(ROUND(RL_Confiance*250,9),0)+1)</f>
        <v>16609527.393432966</v>
      </c>
      <c r="E242" s="34">
        <f t="shared" si="3"/>
        <v>0</v>
      </c>
    </row>
    <row r="243" spans="2:5" x14ac:dyDescent="0.2">
      <c r="B243" s="19">
        <f>Calculs!B993</f>
        <v>45819</v>
      </c>
      <c r="C243" s="13">
        <f>Calculs!C993</f>
        <v>69860.773460305049</v>
      </c>
      <c r="D243" s="13">
        <f>LARGE(Calculs!C743:C992,250-ROUNDUP(ROUND(RL_Confiance*250,9),0)+1)</f>
        <v>16609527.393432966</v>
      </c>
      <c r="E243" s="34">
        <f t="shared" si="3"/>
        <v>0</v>
      </c>
    </row>
    <row r="244" spans="2:5" x14ac:dyDescent="0.2">
      <c r="B244" s="19">
        <f>Calculs!B994</f>
        <v>45820</v>
      </c>
      <c r="C244" s="13">
        <f>Calculs!C994</f>
        <v>-2896241.1871896195</v>
      </c>
      <c r="D244" s="13">
        <f>LARGE(Calculs!C744:C993,250-ROUNDUP(ROUND(RL_Confiance*250,9),0)+1)</f>
        <v>16609527.393432966</v>
      </c>
      <c r="E244" s="34">
        <f t="shared" si="3"/>
        <v>0</v>
      </c>
    </row>
    <row r="245" spans="2:5" x14ac:dyDescent="0.2">
      <c r="B245" s="19">
        <f>Calculs!B995</f>
        <v>45821</v>
      </c>
      <c r="C245" s="13">
        <f>Calculs!C995</f>
        <v>6358927.8002861524</v>
      </c>
      <c r="D245" s="13">
        <f>LARGE(Calculs!C745:C994,250-ROUNDUP(ROUND(RL_Confiance*250,9),0)+1)</f>
        <v>16609527.393432966</v>
      </c>
      <c r="E245" s="34">
        <f t="shared" si="3"/>
        <v>0</v>
      </c>
    </row>
    <row r="246" spans="2:5" x14ac:dyDescent="0.2">
      <c r="B246" s="19">
        <f>Calculs!B996</f>
        <v>45824</v>
      </c>
      <c r="C246" s="13">
        <f>Calculs!C996</f>
        <v>-3640478.1424901667</v>
      </c>
      <c r="D246" s="13">
        <f>LARGE(Calculs!C746:C995,250-ROUNDUP(ROUND(RL_Confiance*250,9),0)+1)</f>
        <v>16609527.393432966</v>
      </c>
      <c r="E246" s="34">
        <f t="shared" si="3"/>
        <v>0</v>
      </c>
    </row>
    <row r="247" spans="2:5" x14ac:dyDescent="0.2">
      <c r="B247" s="19">
        <f>Calculs!B997</f>
        <v>45825</v>
      </c>
      <c r="C247" s="13">
        <f>Calculs!C997</f>
        <v>3251867.0339724091</v>
      </c>
      <c r="D247" s="13">
        <f>LARGE(Calculs!C747:C996,250-ROUNDUP(ROUND(RL_Confiance*250,9),0)+1)</f>
        <v>16609527.393432966</v>
      </c>
      <c r="E247" s="34">
        <f t="shared" si="3"/>
        <v>0</v>
      </c>
    </row>
    <row r="248" spans="2:5" x14ac:dyDescent="0.2">
      <c r="B248" s="19">
        <f>Calculs!B998</f>
        <v>45826</v>
      </c>
      <c r="C248" s="13">
        <f>Calculs!C998</f>
        <v>-2464732.5795954703</v>
      </c>
      <c r="D248" s="13">
        <f>LARGE(Calculs!C748:C997,250-ROUNDUP(ROUND(RL_Confiance*250,9),0)+1)</f>
        <v>16609527.393432966</v>
      </c>
      <c r="E248" s="34">
        <f t="shared" si="3"/>
        <v>0</v>
      </c>
    </row>
    <row r="249" spans="2:5" x14ac:dyDescent="0.2">
      <c r="B249" s="19">
        <f>Calculs!B999</f>
        <v>45827</v>
      </c>
      <c r="C249" s="13">
        <f>Calculs!C999</f>
        <v>2791508.9436842799</v>
      </c>
      <c r="D249" s="13">
        <f>LARGE(Calculs!C749:C998,250-ROUNDUP(ROUND(RL_Confiance*250,9),0)+1)</f>
        <v>16609527.393432966</v>
      </c>
      <c r="E249" s="34">
        <f t="shared" si="3"/>
        <v>0</v>
      </c>
    </row>
    <row r="250" spans="2:5" x14ac:dyDescent="0.2">
      <c r="B250" s="19">
        <f>Calculs!B1000</f>
        <v>45828</v>
      </c>
      <c r="C250" s="13">
        <f>Calculs!C1000</f>
        <v>2726439.2342601097</v>
      </c>
      <c r="D250" s="13">
        <f>LARGE(Calculs!C750:C999,250-ROUNDUP(ROUND(RL_Confiance*250,9),0)+1)</f>
        <v>16609527.393432966</v>
      </c>
      <c r="E250" s="34">
        <f t="shared" si="3"/>
        <v>0</v>
      </c>
    </row>
    <row r="251" spans="2:5" x14ac:dyDescent="0.2">
      <c r="B251" s="19">
        <f>Calculs!B1001</f>
        <v>45831</v>
      </c>
      <c r="C251" s="13">
        <f>Calculs!C1001</f>
        <v>-1812167.3428191124</v>
      </c>
      <c r="D251" s="13">
        <f>LARGE(Calculs!C751:C1000,250-ROUNDUP(ROUND(RL_Confiance*250,9),0)+1)</f>
        <v>16609527.393432966</v>
      </c>
      <c r="E251" s="34">
        <f t="shared" si="3"/>
        <v>0</v>
      </c>
    </row>
    <row r="252" spans="2:5" x14ac:dyDescent="0.2">
      <c r="B252" s="19">
        <f>Calculs!B1002</f>
        <v>45832</v>
      </c>
      <c r="C252" s="13">
        <f>Calculs!C1002</f>
        <v>71977.571758088903</v>
      </c>
      <c r="D252" s="13">
        <f>LARGE(Calculs!C752:C1001,250-ROUNDUP(ROUND(RL_Confiance*250,9),0)+1)</f>
        <v>16609527.393432966</v>
      </c>
      <c r="E252" s="34">
        <f t="shared" si="3"/>
        <v>0</v>
      </c>
    </row>
    <row r="253" spans="2:5" x14ac:dyDescent="0.2">
      <c r="B253" s="19">
        <f>Calculs!B1003</f>
        <v>45833</v>
      </c>
      <c r="C253" s="13">
        <f>Calculs!C1003</f>
        <v>3107007.8914622669</v>
      </c>
      <c r="D253" s="13">
        <f>LARGE(Calculs!C753:C1002,250-ROUNDUP(ROUND(RL_Confiance*250,9),0)+1)</f>
        <v>16609527.393432966</v>
      </c>
      <c r="E253" s="34">
        <f t="shared" si="3"/>
        <v>0</v>
      </c>
    </row>
    <row r="254" spans="2:5" x14ac:dyDescent="0.2">
      <c r="B254" s="19">
        <f>Calculs!B1004</f>
        <v>45834</v>
      </c>
      <c r="C254" s="13">
        <f>Calculs!C1004</f>
        <v>-5929354.9856479894</v>
      </c>
      <c r="D254" s="13">
        <f>LARGE(Calculs!C754:C1003,250-ROUNDUP(ROUND(RL_Confiance*250,9),0)+1)</f>
        <v>16609527.393432966</v>
      </c>
      <c r="E254" s="34">
        <f t="shared" si="3"/>
        <v>0</v>
      </c>
    </row>
    <row r="255" spans="2:5" x14ac:dyDescent="0.2">
      <c r="B255" s="19">
        <f>Calculs!B1005</f>
        <v>45835</v>
      </c>
      <c r="C255" s="13">
        <f>Calculs!C1005</f>
        <v>5655660.9280178212</v>
      </c>
      <c r="D255" s="13">
        <f>LARGE(Calculs!C755:C1004,250-ROUNDUP(ROUND(RL_Confiance*250,9),0)+1)</f>
        <v>16609527.393432966</v>
      </c>
      <c r="E255" s="34">
        <f t="shared" si="3"/>
        <v>0</v>
      </c>
    </row>
    <row r="256" spans="2:5" x14ac:dyDescent="0.2">
      <c r="B256" s="19">
        <f>Calculs!B1006</f>
        <v>45838</v>
      </c>
      <c r="C256" s="13">
        <f>Calculs!C1006</f>
        <v>-1931812.8613977218</v>
      </c>
      <c r="D256" s="13">
        <f>LARGE(Calculs!C756:C1005,250-ROUNDUP(ROUND(RL_Confiance*250,9),0)+1)</f>
        <v>16609527.393432966</v>
      </c>
      <c r="E256" s="34">
        <f t="shared" si="3"/>
        <v>0</v>
      </c>
    </row>
  </sheetData>
  <conditionalFormatting sqref="E7:E256">
    <cfRule type="cellIs" dxfId="5" priority="1" operator="equal">
      <formula>1</formula>
    </cfRule>
  </conditionalFormatting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F47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46" customWidth="1"/>
    <col min="3" max="4" width="18" customWidth="1"/>
    <col min="5" max="5" width="70" customWidth="1"/>
    <col min="6" max="6" width="50" customWidth="1"/>
  </cols>
  <sheetData>
    <row r="2" spans="2:5" ht="18" x14ac:dyDescent="0.2">
      <c r="B2" s="1" t="s">
        <v>636</v>
      </c>
    </row>
    <row r="3" spans="2:5" x14ac:dyDescent="0.2">
      <c r="B3" s="2" t="s">
        <v>637</v>
      </c>
    </row>
    <row r="5" spans="2:5" ht="30" customHeight="1" x14ac:dyDescent="0.2">
      <c r="B5" s="3" t="s">
        <v>638</v>
      </c>
      <c r="C5" s="3" t="s">
        <v>639</v>
      </c>
      <c r="D5" s="3" t="s">
        <v>640</v>
      </c>
      <c r="E5" s="3" t="s">
        <v>22</v>
      </c>
    </row>
    <row r="6" spans="2:5" x14ac:dyDescent="0.2">
      <c r="B6" s="9" t="s">
        <v>641</v>
      </c>
      <c r="C6" s="22">
        <f>SUM(Inventaire!$J$7:$J$175)</f>
        <v>2592226795.7800007</v>
      </c>
      <c r="D6" s="22">
        <v>2592226795.7800002</v>
      </c>
      <c r="E6" s="8" t="str">
        <f>IF(ABS(C6-D6)&lt;0.02,"OK","ÉCART")</f>
        <v>OK</v>
      </c>
    </row>
    <row r="7" spans="2:5" x14ac:dyDescent="0.2">
      <c r="B7" s="9" t="s">
        <v>642</v>
      </c>
      <c r="C7" s="37">
        <f>Positions!U175</f>
        <v>0.99999999999999989</v>
      </c>
      <c r="D7" s="37">
        <v>1</v>
      </c>
      <c r="E7" s="8" t="str">
        <f>IF(ABS(C7-D7)&lt;0.000000001,"OK","ÉCART")</f>
        <v>OK</v>
      </c>
    </row>
    <row r="8" spans="2:5" x14ac:dyDescent="0.2">
      <c r="B8" s="9" t="s">
        <v>643</v>
      </c>
      <c r="C8" s="22">
        <f>Positions!W175-Calculs!J17</f>
        <v>0</v>
      </c>
      <c r="D8" s="22">
        <v>0</v>
      </c>
      <c r="E8" s="8" t="str">
        <f>IF(ABS(C8-D8)&lt;0.01,"OK","ÉCART")</f>
        <v>OK</v>
      </c>
    </row>
    <row r="9" spans="2:5" x14ac:dyDescent="0.2">
      <c r="B9" s="9" t="s">
        <v>644</v>
      </c>
      <c r="C9" s="22">
        <f>Comité!D29+Comité!D30+Comité!D31+Comité!D32-Calculs!J17</f>
        <v>0</v>
      </c>
      <c r="D9" s="22">
        <v>0</v>
      </c>
      <c r="E9" s="8" t="str">
        <f>IF(ABS(C9-D9)&lt;0.01,"OK","ÉCART")</f>
        <v>OK</v>
      </c>
    </row>
    <row r="10" spans="2:5" x14ac:dyDescent="0.2">
      <c r="B10" s="9" t="s">
        <v>645</v>
      </c>
      <c r="C10" s="37">
        <f>Calculs!J20</f>
        <v>0.99999999999999989</v>
      </c>
      <c r="D10" s="37">
        <v>1</v>
      </c>
      <c r="E10" s="8" t="str">
        <f>IF(ABS(C10-D10)&lt;0.000000001,"OK","ÉCART")</f>
        <v>OK</v>
      </c>
    </row>
    <row r="11" spans="2:5" x14ac:dyDescent="0.2">
      <c r="B11" s="9" t="s">
        <v>646</v>
      </c>
      <c r="C11" s="27">
        <f>MAX(MAX(Positions!AD7:AD173),-MIN(Positions!AD7:AD173))</f>
        <v>0</v>
      </c>
      <c r="D11" s="27">
        <v>0</v>
      </c>
      <c r="E11" s="8" t="str">
        <f>IF(ABS(C11-D11)&lt;0.000001,"OK","ÉCART")</f>
        <v>OK</v>
      </c>
    </row>
    <row r="13" spans="2:5" x14ac:dyDescent="0.2">
      <c r="B13" s="8" t="s">
        <v>647</v>
      </c>
    </row>
    <row r="15" spans="2:5" ht="30" customHeight="1" x14ac:dyDescent="0.2">
      <c r="B15" s="3" t="s">
        <v>648</v>
      </c>
      <c r="C15" s="3" t="s">
        <v>75</v>
      </c>
      <c r="D15" s="3" t="s">
        <v>649</v>
      </c>
      <c r="E15" s="3" t="s">
        <v>650</v>
      </c>
    </row>
    <row r="16" spans="2:5" x14ac:dyDescent="0.2">
      <c r="B16" s="9" t="str">
        <f>IFERROR(INDEX(Inventaire!$C$7:$C$175,MATCH(1,Inventaire!$X$7:$X$175,0)),"")</f>
        <v>AGRIPOLE 5.0 11-19</v>
      </c>
      <c r="C16" s="9" t="str">
        <f>IFERROR(INDEX(Inventaire!$B$7:$B$175,MATCH(1,Inventaire!$X$7:$X$175,0)),"")</f>
        <v>FR0012317451</v>
      </c>
      <c r="D16" s="8" t="str">
        <f>IFERROR(INDEX(Inventaire!$W$7:$W$175,MATCH(1,Inventaire!$X$7:$X$175,0)),"")</f>
        <v>À instruire</v>
      </c>
      <c r="E16" s="9" t="str">
        <f>IFERROR(TRIM(IF(INDEX(Inventaire!$R$7:$R$175,MATCH(1,Inventaire!$X$7:$X$175,0))="OUI","Titre échu toujours en inventaire. ","")&amp;IF(INDEX(Inventaire!$S$7:$S$175,MATCH(1,Inventaire!$X$7:$X$175,0))="OUI","Valorisation nulle. ","")&amp;IF(INDEX(Inventaire!$T$7:$T$175,MATCH(1,Inventaire!$X$7:$X$175,0))="OUI","Prix daté du "&amp;TEXT(INDEX(Inventaire!$K$7:$K$175,MATCH(1,Inventaire!$X$7:$X$175,0)),"dd/mm/yyyy")&amp;". ","")&amp;IF(INDEX(Inventaire!$U$7:$U$175,MATCH(1,Inventaire!$X$7:$X$175,0))="OUI","Spread calibré de "&amp;TEXT(INDEX(Inventaire!$Q$7:$Q$175,MATCH(1,Inventaire!$X$7:$X$175,0)),"0")&amp;" pb. ","")&amp;IF(INDEX(Inventaire!$V$7:$V$175,MATCH(1,Inventaire!$X$7:$X$175,0))="OUI","Écart de valorisation. ","")),"")</f>
        <v/>
      </c>
    </row>
    <row r="17" spans="2:5" x14ac:dyDescent="0.2">
      <c r="B17" s="9" t="str">
        <f>IFERROR(INDEX(Inventaire!$C$7:$C$175,MATCH(2,Inventaire!$X$7:$X$175,0)),"")</f>
        <v>CMC RAV 2.0 12-26</v>
      </c>
      <c r="C17" s="9" t="str">
        <f>IFERROR(INDEX(Inventaire!$B$7:$B$175,MATCH(2,Inventaire!$X$7:$X$175,0)),"")</f>
        <v>IT0005440646</v>
      </c>
      <c r="D17" s="8" t="str">
        <f>IFERROR(INDEX(Inventaire!$W$7:$W$175,MATCH(2,Inventaire!$X$7:$X$175,0)),"")</f>
        <v>À instruire</v>
      </c>
      <c r="E17" s="9" t="str">
        <f>IFERROR(TRIM(IF(INDEX(Inventaire!$R$7:$R$175,MATCH(2,Inventaire!$X$7:$X$175,0))="OUI","Titre échu toujours en inventaire. ","")&amp;IF(INDEX(Inventaire!$S$7:$S$175,MATCH(2,Inventaire!$X$7:$X$175,0))="OUI","Valorisation nulle. ","")&amp;IF(INDEX(Inventaire!$T$7:$T$175,MATCH(2,Inventaire!$X$7:$X$175,0))="OUI","Prix daté du "&amp;TEXT(INDEX(Inventaire!$K$7:$K$175,MATCH(2,Inventaire!$X$7:$X$175,0)),"dd/mm/yyyy")&amp;". ","")&amp;IF(INDEX(Inventaire!$U$7:$U$175,MATCH(2,Inventaire!$X$7:$X$175,0))="OUI","Spread calibré de "&amp;TEXT(INDEX(Inventaire!$Q$7:$Q$175,MATCH(2,Inventaire!$X$7:$X$175,0)),"0")&amp;" pb. ","")&amp;IF(INDEX(Inventaire!$V$7:$V$175,MATCH(2,Inventaire!$X$7:$X$175,0))="OUI","Écart de valorisation. ","")),"")</f>
        <v>Valorisation nulle.</v>
      </c>
    </row>
    <row r="18" spans="2:5" x14ac:dyDescent="0.2">
      <c r="B18" s="9" t="str">
        <f>IFERROR(INDEX(Inventaire!$C$7:$C$175,MATCH(3,Inventaire!$X$7:$X$175,0)),"")</f>
        <v>CONS EN 5.0 10-28</v>
      </c>
      <c r="C18" s="9" t="str">
        <f>IFERROR(INDEX(Inventaire!$B$7:$B$175,MATCH(3,Inventaire!$X$7:$X$175,0)),"")</f>
        <v>XS2393687350</v>
      </c>
      <c r="D18" s="8" t="str">
        <f>IFERROR(INDEX(Inventaire!$W$7:$W$175,MATCH(3,Inventaire!$X$7:$X$175,0)),"")</f>
        <v>À examiner</v>
      </c>
      <c r="E18" s="9" t="str">
        <f>IFERROR(TRIM(IF(INDEX(Inventaire!$R$7:$R$175,MATCH(3,Inventaire!$X$7:$X$175,0))="OUI","Titre échu toujours en inventaire. ","")&amp;IF(INDEX(Inventaire!$S$7:$S$175,MATCH(3,Inventaire!$X$7:$X$175,0))="OUI","Valorisation nulle. ","")&amp;IF(INDEX(Inventaire!$T$7:$T$175,MATCH(3,Inventaire!$X$7:$X$175,0))="OUI","Prix daté du "&amp;TEXT(INDEX(Inventaire!$K$7:$K$175,MATCH(3,Inventaire!$X$7:$X$175,0)),"dd/mm/yyyy")&amp;". ","")&amp;IF(INDEX(Inventaire!$U$7:$U$175,MATCH(3,Inventaire!$X$7:$X$175,0))="OUI","Spread calibré de "&amp;TEXT(INDEX(Inventaire!$Q$7:$Q$175,MATCH(3,Inventaire!$X$7:$X$175,0)),"0")&amp;" pb. ","")&amp;IF(INDEX(Inventaire!$V$7:$V$175,MATCH(3,Inventaire!$X$7:$X$175,0))="OUI","Écart de valorisation. ","")),"")</f>
        <v>Spread calibré de 881 pb.</v>
      </c>
    </row>
    <row r="19" spans="2:5" x14ac:dyDescent="0.2">
      <c r="B19" s="9" t="str">
        <f>IFERROR(INDEX(Inventaire!$C$7:$C$175,MATCH(4,Inventaire!$X$7:$X$175,0)),"")</f>
        <v>IM GROU 8.0 03-28</v>
      </c>
      <c r="C19" s="9" t="str">
        <f>IFERROR(INDEX(Inventaire!$B$7:$B$175,MATCH(4,Inventaire!$X$7:$X$175,0)),"")</f>
        <v>XS2587104444</v>
      </c>
      <c r="D19" s="8" t="str">
        <f>IFERROR(INDEX(Inventaire!$W$7:$W$175,MATCH(4,Inventaire!$X$7:$X$175,0)),"")</f>
        <v>À examiner</v>
      </c>
      <c r="E19" s="9" t="str">
        <f>IFERROR(TRIM(IF(INDEX(Inventaire!$R$7:$R$175,MATCH(4,Inventaire!$X$7:$X$175,0))="OUI","Titre échu toujours en inventaire. ","")&amp;IF(INDEX(Inventaire!$S$7:$S$175,MATCH(4,Inventaire!$X$7:$X$175,0))="OUI","Valorisation nulle. ","")&amp;IF(INDEX(Inventaire!$T$7:$T$175,MATCH(4,Inventaire!$X$7:$X$175,0))="OUI","Prix daté du "&amp;TEXT(INDEX(Inventaire!$K$7:$K$175,MATCH(4,Inventaire!$X$7:$X$175,0)),"dd/mm/yyyy")&amp;". ","")&amp;IF(INDEX(Inventaire!$U$7:$U$175,MATCH(4,Inventaire!$X$7:$X$175,0))="OUI","Spread calibré de "&amp;TEXT(INDEX(Inventaire!$Q$7:$Q$175,MATCH(4,Inventaire!$X$7:$X$175,0)),"0")&amp;" pb. ","")&amp;IF(INDEX(Inventaire!$V$7:$V$175,MATCH(4,Inventaire!$X$7:$X$175,0))="OUI","Écart de valorisation. ","")),"")</f>
        <v>Spread calibré de 2912 pb.</v>
      </c>
    </row>
    <row r="20" spans="2:5" x14ac:dyDescent="0.2">
      <c r="B20" s="9" t="str">
        <f>IFERROR(INDEX(Inventaire!$C$7:$C$175,MATCH(5,Inventaire!$X$7:$X$175,0)),"")</f>
        <v>INTL PE 10.75 12-29</v>
      </c>
      <c r="C20" s="9" t="str">
        <f>IFERROR(INDEX(Inventaire!$B$7:$B$175,MATCH(5,Inventaire!$X$7:$X$175,0)),"")</f>
        <v>XS2835773255</v>
      </c>
      <c r="D20" s="8" t="str">
        <f>IFERROR(INDEX(Inventaire!$W$7:$W$175,MATCH(5,Inventaire!$X$7:$X$175,0)),"")</f>
        <v>À examiner</v>
      </c>
      <c r="E20" s="9" t="str">
        <f>IFERROR(TRIM(IF(INDEX(Inventaire!$R$7:$R$175,MATCH(5,Inventaire!$X$7:$X$175,0))="OUI","Titre échu toujours en inventaire. ","")&amp;IF(INDEX(Inventaire!$S$7:$S$175,MATCH(5,Inventaire!$X$7:$X$175,0))="OUI","Valorisation nulle. ","")&amp;IF(INDEX(Inventaire!$T$7:$T$175,MATCH(5,Inventaire!$X$7:$X$175,0))="OUI","Prix daté du "&amp;TEXT(INDEX(Inventaire!$K$7:$K$175,MATCH(5,Inventaire!$X$7:$X$175,0)),"dd/mm/yyyy")&amp;". ","")&amp;IF(INDEX(Inventaire!$U$7:$U$175,MATCH(5,Inventaire!$X$7:$X$175,0))="OUI","Spread calibré de "&amp;TEXT(INDEX(Inventaire!$Q$7:$Q$175,MATCH(5,Inventaire!$X$7:$X$175,0)),"0")&amp;" pb. ","")&amp;IF(INDEX(Inventaire!$V$7:$V$175,MATCH(5,Inventaire!$X$7:$X$175,0))="OUI","Écart de valorisation. ","")),"")</f>
        <v>Spread calibré de 670 pb.</v>
      </c>
    </row>
    <row r="21" spans="2:5" x14ac:dyDescent="0.2">
      <c r="B21" s="9" t="str">
        <f>IFERROR(INDEX(Inventaire!$C$7:$C$175,MATCH(6,Inventaire!$X$7:$X$175,0)),"")</f>
        <v>ASK CHE 10.0 11-29</v>
      </c>
      <c r="C21" s="9" t="str">
        <f>IFERROR(INDEX(Inventaire!$B$7:$B$175,MATCH(6,Inventaire!$X$7:$X$175,0)),"")</f>
        <v>XS2919072962</v>
      </c>
      <c r="D21" s="8" t="str">
        <f>IFERROR(INDEX(Inventaire!$W$7:$W$175,MATCH(6,Inventaire!$X$7:$X$175,0)),"")</f>
        <v>À examiner</v>
      </c>
      <c r="E21" s="9" t="str">
        <f>IFERROR(TRIM(IF(INDEX(Inventaire!$R$7:$R$175,MATCH(6,Inventaire!$X$7:$X$175,0))="OUI","Titre échu toujours en inventaire. ","")&amp;IF(INDEX(Inventaire!$S$7:$S$175,MATCH(6,Inventaire!$X$7:$X$175,0))="OUI","Valorisation nulle. ","")&amp;IF(INDEX(Inventaire!$T$7:$T$175,MATCH(6,Inventaire!$X$7:$X$175,0))="OUI","Prix daté du "&amp;TEXT(INDEX(Inventaire!$K$7:$K$175,MATCH(6,Inventaire!$X$7:$X$175,0)),"dd/mm/yyyy")&amp;". ","")&amp;IF(INDEX(Inventaire!$U$7:$U$175,MATCH(6,Inventaire!$X$7:$X$175,0))="OUI","Spread calibré de "&amp;TEXT(INDEX(Inventaire!$Q$7:$Q$175,MATCH(6,Inventaire!$X$7:$X$175,0)),"0")&amp;" pb. ","")&amp;IF(INDEX(Inventaire!$V$7:$V$175,MATCH(6,Inventaire!$X$7:$X$175,0))="OUI","Écart de valorisation. ","")),"")</f>
        <v>Spread calibré de 857 pb.</v>
      </c>
    </row>
    <row r="22" spans="2:5" x14ac:dyDescent="0.2">
      <c r="B22" s="9" t="str">
        <f>IFERROR(INDEX(Inventaire!$C$7:$C$175,MATCH(7,Inventaire!$X$7:$X$175,0)),"")</f>
        <v/>
      </c>
      <c r="C22" s="9" t="str">
        <f>IFERROR(INDEX(Inventaire!$B$7:$B$175,MATCH(7,Inventaire!$X$7:$X$175,0)),"")</f>
        <v/>
      </c>
      <c r="D22" s="8" t="str">
        <f>IFERROR(INDEX(Inventaire!$W$7:$W$175,MATCH(7,Inventaire!$X$7:$X$175,0)),"")</f>
        <v/>
      </c>
      <c r="E22" s="9" t="str">
        <f>IFERROR(TRIM(IF(INDEX(Inventaire!$R$7:$R$175,MATCH(7,Inventaire!$X$7:$X$175,0))="OUI","Titre échu toujours en inventaire. ","")&amp;IF(INDEX(Inventaire!$S$7:$S$175,MATCH(7,Inventaire!$X$7:$X$175,0))="OUI","Valorisation nulle. ","")&amp;IF(INDEX(Inventaire!$T$7:$T$175,MATCH(7,Inventaire!$X$7:$X$175,0))="OUI","Prix daté du "&amp;TEXT(INDEX(Inventaire!$K$7:$K$175,MATCH(7,Inventaire!$X$7:$X$175,0)),"dd/mm/yyyy")&amp;". ","")&amp;IF(INDEX(Inventaire!$U$7:$U$175,MATCH(7,Inventaire!$X$7:$X$175,0))="OUI","Spread calibré de "&amp;TEXT(INDEX(Inventaire!$Q$7:$Q$175,MATCH(7,Inventaire!$X$7:$X$175,0)),"0")&amp;" pb. ","")&amp;IF(INDEX(Inventaire!$V$7:$V$175,MATCH(7,Inventaire!$X$7:$X$175,0))="OUI","Écart de valorisation. ","")),"")</f>
        <v/>
      </c>
    </row>
    <row r="23" spans="2:5" x14ac:dyDescent="0.2">
      <c r="B23" s="9" t="str">
        <f>IFERROR(INDEX(Inventaire!$C$7:$C$175,MATCH(8,Inventaire!$X$7:$X$175,0)),"")</f>
        <v/>
      </c>
      <c r="C23" s="9" t="str">
        <f>IFERROR(INDEX(Inventaire!$B$7:$B$175,MATCH(8,Inventaire!$X$7:$X$175,0)),"")</f>
        <v/>
      </c>
      <c r="D23" s="8" t="str">
        <f>IFERROR(INDEX(Inventaire!$W$7:$W$175,MATCH(8,Inventaire!$X$7:$X$175,0)),"")</f>
        <v/>
      </c>
      <c r="E23" s="9" t="str">
        <f>IFERROR(TRIM(IF(INDEX(Inventaire!$R$7:$R$175,MATCH(8,Inventaire!$X$7:$X$175,0))="OUI","Titre échu toujours en inventaire. ","")&amp;IF(INDEX(Inventaire!$S$7:$S$175,MATCH(8,Inventaire!$X$7:$X$175,0))="OUI","Valorisation nulle. ","")&amp;IF(INDEX(Inventaire!$T$7:$T$175,MATCH(8,Inventaire!$X$7:$X$175,0))="OUI","Prix daté du "&amp;TEXT(INDEX(Inventaire!$K$7:$K$175,MATCH(8,Inventaire!$X$7:$X$175,0)),"dd/mm/yyyy")&amp;". ","")&amp;IF(INDEX(Inventaire!$U$7:$U$175,MATCH(8,Inventaire!$X$7:$X$175,0))="OUI","Spread calibré de "&amp;TEXT(INDEX(Inventaire!$Q$7:$Q$175,MATCH(8,Inventaire!$X$7:$X$175,0)),"0")&amp;" pb. ","")&amp;IF(INDEX(Inventaire!$V$7:$V$175,MATCH(8,Inventaire!$X$7:$X$175,0))="OUI","Écart de valorisation. ","")),"")</f>
        <v/>
      </c>
    </row>
    <row r="24" spans="2:5" x14ac:dyDescent="0.2">
      <c r="B24" s="9" t="str">
        <f>IFERROR(INDEX(Inventaire!$C$7:$C$175,MATCH(9,Inventaire!$X$7:$X$175,0)),"")</f>
        <v/>
      </c>
      <c r="C24" s="9" t="str">
        <f>IFERROR(INDEX(Inventaire!$B$7:$B$175,MATCH(9,Inventaire!$X$7:$X$175,0)),"")</f>
        <v/>
      </c>
      <c r="D24" s="8" t="str">
        <f>IFERROR(INDEX(Inventaire!$W$7:$W$175,MATCH(9,Inventaire!$X$7:$X$175,0)),"")</f>
        <v/>
      </c>
      <c r="E24" s="9" t="str">
        <f>IFERROR(TRIM(IF(INDEX(Inventaire!$R$7:$R$175,MATCH(9,Inventaire!$X$7:$X$175,0))="OUI","Titre échu toujours en inventaire. ","")&amp;IF(INDEX(Inventaire!$S$7:$S$175,MATCH(9,Inventaire!$X$7:$X$175,0))="OUI","Valorisation nulle. ","")&amp;IF(INDEX(Inventaire!$T$7:$T$175,MATCH(9,Inventaire!$X$7:$X$175,0))="OUI","Prix daté du "&amp;TEXT(INDEX(Inventaire!$K$7:$K$175,MATCH(9,Inventaire!$X$7:$X$175,0)),"dd/mm/yyyy")&amp;". ","")&amp;IF(INDEX(Inventaire!$U$7:$U$175,MATCH(9,Inventaire!$X$7:$X$175,0))="OUI","Spread calibré de "&amp;TEXT(INDEX(Inventaire!$Q$7:$Q$175,MATCH(9,Inventaire!$X$7:$X$175,0)),"0")&amp;" pb. ","")&amp;IF(INDEX(Inventaire!$V$7:$V$175,MATCH(9,Inventaire!$X$7:$X$175,0))="OUI","Écart de valorisation. ","")),"")</f>
        <v/>
      </c>
    </row>
    <row r="25" spans="2:5" x14ac:dyDescent="0.2">
      <c r="B25" s="9" t="str">
        <f>IFERROR(INDEX(Inventaire!$C$7:$C$175,MATCH(10,Inventaire!$X$7:$X$175,0)),"")</f>
        <v/>
      </c>
      <c r="C25" s="9" t="str">
        <f>IFERROR(INDEX(Inventaire!$B$7:$B$175,MATCH(10,Inventaire!$X$7:$X$175,0)),"")</f>
        <v/>
      </c>
      <c r="D25" s="8" t="str">
        <f>IFERROR(INDEX(Inventaire!$W$7:$W$175,MATCH(10,Inventaire!$X$7:$X$175,0)),"")</f>
        <v/>
      </c>
      <c r="E25" s="9" t="str">
        <f>IFERROR(TRIM(IF(INDEX(Inventaire!$R$7:$R$175,MATCH(10,Inventaire!$X$7:$X$175,0))="OUI","Titre échu toujours en inventaire. ","")&amp;IF(INDEX(Inventaire!$S$7:$S$175,MATCH(10,Inventaire!$X$7:$X$175,0))="OUI","Valorisation nulle. ","")&amp;IF(INDEX(Inventaire!$T$7:$T$175,MATCH(10,Inventaire!$X$7:$X$175,0))="OUI","Prix daté du "&amp;TEXT(INDEX(Inventaire!$K$7:$K$175,MATCH(10,Inventaire!$X$7:$X$175,0)),"dd/mm/yyyy")&amp;". ","")&amp;IF(INDEX(Inventaire!$U$7:$U$175,MATCH(10,Inventaire!$X$7:$X$175,0))="OUI","Spread calibré de "&amp;TEXT(INDEX(Inventaire!$Q$7:$Q$175,MATCH(10,Inventaire!$X$7:$X$175,0)),"0")&amp;" pb. ","")&amp;IF(INDEX(Inventaire!$V$7:$V$175,MATCH(10,Inventaire!$X$7:$X$175,0))="OUI","Écart de valorisation. ","")),"")</f>
        <v/>
      </c>
    </row>
    <row r="26" spans="2:5" x14ac:dyDescent="0.2">
      <c r="B26" s="9" t="str">
        <f>IFERROR(INDEX(Inventaire!$C$7:$C$175,MATCH(11,Inventaire!$X$7:$X$175,0)),"")</f>
        <v/>
      </c>
      <c r="C26" s="9" t="str">
        <f>IFERROR(INDEX(Inventaire!$B$7:$B$175,MATCH(11,Inventaire!$X$7:$X$175,0)),"")</f>
        <v/>
      </c>
      <c r="D26" s="8" t="str">
        <f>IFERROR(INDEX(Inventaire!$W$7:$W$175,MATCH(11,Inventaire!$X$7:$X$175,0)),"")</f>
        <v/>
      </c>
      <c r="E26" s="9" t="str">
        <f>IFERROR(TRIM(IF(INDEX(Inventaire!$R$7:$R$175,MATCH(11,Inventaire!$X$7:$X$175,0))="OUI","Titre échu toujours en inventaire. ","")&amp;IF(INDEX(Inventaire!$S$7:$S$175,MATCH(11,Inventaire!$X$7:$X$175,0))="OUI","Valorisation nulle. ","")&amp;IF(INDEX(Inventaire!$T$7:$T$175,MATCH(11,Inventaire!$X$7:$X$175,0))="OUI","Prix daté du "&amp;TEXT(INDEX(Inventaire!$K$7:$K$175,MATCH(11,Inventaire!$X$7:$X$175,0)),"dd/mm/yyyy")&amp;". ","")&amp;IF(INDEX(Inventaire!$U$7:$U$175,MATCH(11,Inventaire!$X$7:$X$175,0))="OUI","Spread calibré de "&amp;TEXT(INDEX(Inventaire!$Q$7:$Q$175,MATCH(11,Inventaire!$X$7:$X$175,0)),"0")&amp;" pb. ","")&amp;IF(INDEX(Inventaire!$V$7:$V$175,MATCH(11,Inventaire!$X$7:$X$175,0))="OUI","Écart de valorisation. ","")),"")</f>
        <v/>
      </c>
    </row>
    <row r="27" spans="2:5" x14ac:dyDescent="0.2">
      <c r="B27" s="9" t="str">
        <f>IFERROR(INDEX(Inventaire!$C$7:$C$175,MATCH(12,Inventaire!$X$7:$X$175,0)),"")</f>
        <v/>
      </c>
      <c r="C27" s="9" t="str">
        <f>IFERROR(INDEX(Inventaire!$B$7:$B$175,MATCH(12,Inventaire!$X$7:$X$175,0)),"")</f>
        <v/>
      </c>
      <c r="D27" s="8" t="str">
        <f>IFERROR(INDEX(Inventaire!$W$7:$W$175,MATCH(12,Inventaire!$X$7:$X$175,0)),"")</f>
        <v/>
      </c>
      <c r="E27" s="9" t="str">
        <f>IFERROR(TRIM(IF(INDEX(Inventaire!$R$7:$R$175,MATCH(12,Inventaire!$X$7:$X$175,0))="OUI","Titre échu toujours en inventaire. ","")&amp;IF(INDEX(Inventaire!$S$7:$S$175,MATCH(12,Inventaire!$X$7:$X$175,0))="OUI","Valorisation nulle. ","")&amp;IF(INDEX(Inventaire!$T$7:$T$175,MATCH(12,Inventaire!$X$7:$X$175,0))="OUI","Prix daté du "&amp;TEXT(INDEX(Inventaire!$K$7:$K$175,MATCH(12,Inventaire!$X$7:$X$175,0)),"dd/mm/yyyy")&amp;". ","")&amp;IF(INDEX(Inventaire!$U$7:$U$175,MATCH(12,Inventaire!$X$7:$X$175,0))="OUI","Spread calibré de "&amp;TEXT(INDEX(Inventaire!$Q$7:$Q$175,MATCH(12,Inventaire!$X$7:$X$175,0)),"0")&amp;" pb. ","")&amp;IF(INDEX(Inventaire!$V$7:$V$175,MATCH(12,Inventaire!$X$7:$X$175,0))="OUI","Écart de valorisation. ","")),"")</f>
        <v/>
      </c>
    </row>
    <row r="28" spans="2:5" x14ac:dyDescent="0.2">
      <c r="B28" s="9" t="str">
        <f>IFERROR(INDEX(Inventaire!$C$7:$C$175,MATCH(13,Inventaire!$X$7:$X$175,0)),"")</f>
        <v/>
      </c>
      <c r="C28" s="9" t="str">
        <f>IFERROR(INDEX(Inventaire!$B$7:$B$175,MATCH(13,Inventaire!$X$7:$X$175,0)),"")</f>
        <v/>
      </c>
      <c r="D28" s="8" t="str">
        <f>IFERROR(INDEX(Inventaire!$W$7:$W$175,MATCH(13,Inventaire!$X$7:$X$175,0)),"")</f>
        <v/>
      </c>
      <c r="E28" s="9" t="str">
        <f>IFERROR(TRIM(IF(INDEX(Inventaire!$R$7:$R$175,MATCH(13,Inventaire!$X$7:$X$175,0))="OUI","Titre échu toujours en inventaire. ","")&amp;IF(INDEX(Inventaire!$S$7:$S$175,MATCH(13,Inventaire!$X$7:$X$175,0))="OUI","Valorisation nulle. ","")&amp;IF(INDEX(Inventaire!$T$7:$T$175,MATCH(13,Inventaire!$X$7:$X$175,0))="OUI","Prix daté du "&amp;TEXT(INDEX(Inventaire!$K$7:$K$175,MATCH(13,Inventaire!$X$7:$X$175,0)),"dd/mm/yyyy")&amp;". ","")&amp;IF(INDEX(Inventaire!$U$7:$U$175,MATCH(13,Inventaire!$X$7:$X$175,0))="OUI","Spread calibré de "&amp;TEXT(INDEX(Inventaire!$Q$7:$Q$175,MATCH(13,Inventaire!$X$7:$X$175,0)),"0")&amp;" pb. ","")&amp;IF(INDEX(Inventaire!$V$7:$V$175,MATCH(13,Inventaire!$X$7:$X$175,0))="OUI","Écart de valorisation. ","")),"")</f>
        <v/>
      </c>
    </row>
    <row r="29" spans="2:5" x14ac:dyDescent="0.2">
      <c r="B29" s="9" t="str">
        <f>IFERROR(INDEX(Inventaire!$C$7:$C$175,MATCH(14,Inventaire!$X$7:$X$175,0)),"")</f>
        <v/>
      </c>
      <c r="C29" s="9" t="str">
        <f>IFERROR(INDEX(Inventaire!$B$7:$B$175,MATCH(14,Inventaire!$X$7:$X$175,0)),"")</f>
        <v/>
      </c>
      <c r="D29" s="8" t="str">
        <f>IFERROR(INDEX(Inventaire!$W$7:$W$175,MATCH(14,Inventaire!$X$7:$X$175,0)),"")</f>
        <v/>
      </c>
      <c r="E29" s="9" t="str">
        <f>IFERROR(TRIM(IF(INDEX(Inventaire!$R$7:$R$175,MATCH(14,Inventaire!$X$7:$X$175,0))="OUI","Titre échu toujours en inventaire. ","")&amp;IF(INDEX(Inventaire!$S$7:$S$175,MATCH(14,Inventaire!$X$7:$X$175,0))="OUI","Valorisation nulle. ","")&amp;IF(INDEX(Inventaire!$T$7:$T$175,MATCH(14,Inventaire!$X$7:$X$175,0))="OUI","Prix daté du "&amp;TEXT(INDEX(Inventaire!$K$7:$K$175,MATCH(14,Inventaire!$X$7:$X$175,0)),"dd/mm/yyyy")&amp;". ","")&amp;IF(INDEX(Inventaire!$U$7:$U$175,MATCH(14,Inventaire!$X$7:$X$175,0))="OUI","Spread calibré de "&amp;TEXT(INDEX(Inventaire!$Q$7:$Q$175,MATCH(14,Inventaire!$X$7:$X$175,0)),"0")&amp;" pb. ","")&amp;IF(INDEX(Inventaire!$V$7:$V$175,MATCH(14,Inventaire!$X$7:$X$175,0))="OUI","Écart de valorisation. ","")),"")</f>
        <v/>
      </c>
    </row>
    <row r="30" spans="2:5" x14ac:dyDescent="0.2">
      <c r="B30" s="9" t="str">
        <f>IFERROR(INDEX(Inventaire!$C$7:$C$175,MATCH(15,Inventaire!$X$7:$X$175,0)),"")</f>
        <v/>
      </c>
      <c r="C30" s="9" t="str">
        <f>IFERROR(INDEX(Inventaire!$B$7:$B$175,MATCH(15,Inventaire!$X$7:$X$175,0)),"")</f>
        <v/>
      </c>
      <c r="D30" s="8" t="str">
        <f>IFERROR(INDEX(Inventaire!$W$7:$W$175,MATCH(15,Inventaire!$X$7:$X$175,0)),"")</f>
        <v/>
      </c>
      <c r="E30" s="9" t="str">
        <f>IFERROR(TRIM(IF(INDEX(Inventaire!$R$7:$R$175,MATCH(15,Inventaire!$X$7:$X$175,0))="OUI","Titre échu toujours en inventaire. ","")&amp;IF(INDEX(Inventaire!$S$7:$S$175,MATCH(15,Inventaire!$X$7:$X$175,0))="OUI","Valorisation nulle. ","")&amp;IF(INDEX(Inventaire!$T$7:$T$175,MATCH(15,Inventaire!$X$7:$X$175,0))="OUI","Prix daté du "&amp;TEXT(INDEX(Inventaire!$K$7:$K$175,MATCH(15,Inventaire!$X$7:$X$175,0)),"dd/mm/yyyy")&amp;". ","")&amp;IF(INDEX(Inventaire!$U$7:$U$175,MATCH(15,Inventaire!$X$7:$X$175,0))="OUI","Spread calibré de "&amp;TEXT(INDEX(Inventaire!$Q$7:$Q$175,MATCH(15,Inventaire!$X$7:$X$175,0)),"0")&amp;" pb. ","")&amp;IF(INDEX(Inventaire!$V$7:$V$175,MATCH(15,Inventaire!$X$7:$X$175,0))="OUI","Écart de valorisation. ","")),"")</f>
        <v/>
      </c>
    </row>
    <row r="31" spans="2:5" x14ac:dyDescent="0.2">
      <c r="B31" s="9" t="str">
        <f>IFERROR(INDEX(Inventaire!$C$7:$C$175,MATCH(16,Inventaire!$X$7:$X$175,0)),"")</f>
        <v/>
      </c>
      <c r="C31" s="9" t="str">
        <f>IFERROR(INDEX(Inventaire!$B$7:$B$175,MATCH(16,Inventaire!$X$7:$X$175,0)),"")</f>
        <v/>
      </c>
      <c r="D31" s="8" t="str">
        <f>IFERROR(INDEX(Inventaire!$W$7:$W$175,MATCH(16,Inventaire!$X$7:$X$175,0)),"")</f>
        <v/>
      </c>
      <c r="E31" s="9" t="str">
        <f>IFERROR(TRIM(IF(INDEX(Inventaire!$R$7:$R$175,MATCH(16,Inventaire!$X$7:$X$175,0))="OUI","Titre échu toujours en inventaire. ","")&amp;IF(INDEX(Inventaire!$S$7:$S$175,MATCH(16,Inventaire!$X$7:$X$175,0))="OUI","Valorisation nulle. ","")&amp;IF(INDEX(Inventaire!$T$7:$T$175,MATCH(16,Inventaire!$X$7:$X$175,0))="OUI","Prix daté du "&amp;TEXT(INDEX(Inventaire!$K$7:$K$175,MATCH(16,Inventaire!$X$7:$X$175,0)),"dd/mm/yyyy")&amp;". ","")&amp;IF(INDEX(Inventaire!$U$7:$U$175,MATCH(16,Inventaire!$X$7:$X$175,0))="OUI","Spread calibré de "&amp;TEXT(INDEX(Inventaire!$Q$7:$Q$175,MATCH(16,Inventaire!$X$7:$X$175,0)),"0")&amp;" pb. ","")&amp;IF(INDEX(Inventaire!$V$7:$V$175,MATCH(16,Inventaire!$X$7:$X$175,0))="OUI","Écart de valorisation. ","")),"")</f>
        <v/>
      </c>
    </row>
    <row r="32" spans="2:5" x14ac:dyDescent="0.2">
      <c r="B32" s="9" t="str">
        <f>IFERROR(INDEX(Inventaire!$C$7:$C$175,MATCH(17,Inventaire!$X$7:$X$175,0)),"")</f>
        <v/>
      </c>
      <c r="C32" s="9" t="str">
        <f>IFERROR(INDEX(Inventaire!$B$7:$B$175,MATCH(17,Inventaire!$X$7:$X$175,0)),"")</f>
        <v/>
      </c>
      <c r="D32" s="8" t="str">
        <f>IFERROR(INDEX(Inventaire!$W$7:$W$175,MATCH(17,Inventaire!$X$7:$X$175,0)),"")</f>
        <v/>
      </c>
      <c r="E32" s="9" t="str">
        <f>IFERROR(TRIM(IF(INDEX(Inventaire!$R$7:$R$175,MATCH(17,Inventaire!$X$7:$X$175,0))="OUI","Titre échu toujours en inventaire. ","")&amp;IF(INDEX(Inventaire!$S$7:$S$175,MATCH(17,Inventaire!$X$7:$X$175,0))="OUI","Valorisation nulle. ","")&amp;IF(INDEX(Inventaire!$T$7:$T$175,MATCH(17,Inventaire!$X$7:$X$175,0))="OUI","Prix daté du "&amp;TEXT(INDEX(Inventaire!$K$7:$K$175,MATCH(17,Inventaire!$X$7:$X$175,0)),"dd/mm/yyyy")&amp;". ","")&amp;IF(INDEX(Inventaire!$U$7:$U$175,MATCH(17,Inventaire!$X$7:$X$175,0))="OUI","Spread calibré de "&amp;TEXT(INDEX(Inventaire!$Q$7:$Q$175,MATCH(17,Inventaire!$X$7:$X$175,0)),"0")&amp;" pb. ","")&amp;IF(INDEX(Inventaire!$V$7:$V$175,MATCH(17,Inventaire!$X$7:$X$175,0))="OUI","Écart de valorisation. ","")),"")</f>
        <v/>
      </c>
    </row>
    <row r="33" spans="2:6" x14ac:dyDescent="0.2">
      <c r="B33" s="9" t="str">
        <f>IFERROR(INDEX(Inventaire!$C$7:$C$175,MATCH(18,Inventaire!$X$7:$X$175,0)),"")</f>
        <v/>
      </c>
      <c r="C33" s="9" t="str">
        <f>IFERROR(INDEX(Inventaire!$B$7:$B$175,MATCH(18,Inventaire!$X$7:$X$175,0)),"")</f>
        <v/>
      </c>
      <c r="D33" s="8" t="str">
        <f>IFERROR(INDEX(Inventaire!$W$7:$W$175,MATCH(18,Inventaire!$X$7:$X$175,0)),"")</f>
        <v/>
      </c>
      <c r="E33" s="9" t="str">
        <f>IFERROR(TRIM(IF(INDEX(Inventaire!$R$7:$R$175,MATCH(18,Inventaire!$X$7:$X$175,0))="OUI","Titre échu toujours en inventaire. ","")&amp;IF(INDEX(Inventaire!$S$7:$S$175,MATCH(18,Inventaire!$X$7:$X$175,0))="OUI","Valorisation nulle. ","")&amp;IF(INDEX(Inventaire!$T$7:$T$175,MATCH(18,Inventaire!$X$7:$X$175,0))="OUI","Prix daté du "&amp;TEXT(INDEX(Inventaire!$K$7:$K$175,MATCH(18,Inventaire!$X$7:$X$175,0)),"dd/mm/yyyy")&amp;". ","")&amp;IF(INDEX(Inventaire!$U$7:$U$175,MATCH(18,Inventaire!$X$7:$X$175,0))="OUI","Spread calibré de "&amp;TEXT(INDEX(Inventaire!$Q$7:$Q$175,MATCH(18,Inventaire!$X$7:$X$175,0)),"0")&amp;" pb. ","")&amp;IF(INDEX(Inventaire!$V$7:$V$175,MATCH(18,Inventaire!$X$7:$X$175,0))="OUI","Écart de valorisation. ","")),"")</f>
        <v/>
      </c>
    </row>
    <row r="34" spans="2:6" x14ac:dyDescent="0.2">
      <c r="B34" s="9" t="str">
        <f>IFERROR(INDEX(Inventaire!$C$7:$C$175,MATCH(19,Inventaire!$X$7:$X$175,0)),"")</f>
        <v/>
      </c>
      <c r="C34" s="9" t="str">
        <f>IFERROR(INDEX(Inventaire!$B$7:$B$175,MATCH(19,Inventaire!$X$7:$X$175,0)),"")</f>
        <v/>
      </c>
      <c r="D34" s="8" t="str">
        <f>IFERROR(INDEX(Inventaire!$W$7:$W$175,MATCH(19,Inventaire!$X$7:$X$175,0)),"")</f>
        <v/>
      </c>
      <c r="E34" s="9" t="str">
        <f>IFERROR(TRIM(IF(INDEX(Inventaire!$R$7:$R$175,MATCH(19,Inventaire!$X$7:$X$175,0))="OUI","Titre échu toujours en inventaire. ","")&amp;IF(INDEX(Inventaire!$S$7:$S$175,MATCH(19,Inventaire!$X$7:$X$175,0))="OUI","Valorisation nulle. ","")&amp;IF(INDEX(Inventaire!$T$7:$T$175,MATCH(19,Inventaire!$X$7:$X$175,0))="OUI","Prix daté du "&amp;TEXT(INDEX(Inventaire!$K$7:$K$175,MATCH(19,Inventaire!$X$7:$X$175,0)),"dd/mm/yyyy")&amp;". ","")&amp;IF(INDEX(Inventaire!$U$7:$U$175,MATCH(19,Inventaire!$X$7:$X$175,0))="OUI","Spread calibré de "&amp;TEXT(INDEX(Inventaire!$Q$7:$Q$175,MATCH(19,Inventaire!$X$7:$X$175,0)),"0")&amp;" pb. ","")&amp;IF(INDEX(Inventaire!$V$7:$V$175,MATCH(19,Inventaire!$X$7:$X$175,0))="OUI","Écart de valorisation. ","")),"")</f>
        <v/>
      </c>
    </row>
    <row r="35" spans="2:6" x14ac:dyDescent="0.2">
      <c r="B35" s="9" t="str">
        <f>IFERROR(INDEX(Inventaire!$C$7:$C$175,MATCH(20,Inventaire!$X$7:$X$175,0)),"")</f>
        <v/>
      </c>
      <c r="C35" s="9" t="str">
        <f>IFERROR(INDEX(Inventaire!$B$7:$B$175,MATCH(20,Inventaire!$X$7:$X$175,0)),"")</f>
        <v/>
      </c>
      <c r="D35" s="8" t="str">
        <f>IFERROR(INDEX(Inventaire!$W$7:$W$175,MATCH(20,Inventaire!$X$7:$X$175,0)),"")</f>
        <v/>
      </c>
      <c r="E35" s="9" t="str">
        <f>IFERROR(TRIM(IF(INDEX(Inventaire!$R$7:$R$175,MATCH(20,Inventaire!$X$7:$X$175,0))="OUI","Titre échu toujours en inventaire. ","")&amp;IF(INDEX(Inventaire!$S$7:$S$175,MATCH(20,Inventaire!$X$7:$X$175,0))="OUI","Valorisation nulle. ","")&amp;IF(INDEX(Inventaire!$T$7:$T$175,MATCH(20,Inventaire!$X$7:$X$175,0))="OUI","Prix daté du "&amp;TEXT(INDEX(Inventaire!$K$7:$K$175,MATCH(20,Inventaire!$X$7:$X$175,0)),"dd/mm/yyyy")&amp;". ","")&amp;IF(INDEX(Inventaire!$U$7:$U$175,MATCH(20,Inventaire!$X$7:$X$175,0))="OUI","Spread calibré de "&amp;TEXT(INDEX(Inventaire!$Q$7:$Q$175,MATCH(20,Inventaire!$X$7:$X$175,0)),"0")&amp;" pb. ","")&amp;IF(INDEX(Inventaire!$V$7:$V$175,MATCH(20,Inventaire!$X$7:$X$175,0))="OUI","Écart de valorisation. ","")),"")</f>
        <v/>
      </c>
    </row>
    <row r="36" spans="2:6" x14ac:dyDescent="0.2">
      <c r="B36" s="9" t="str">
        <f>IFERROR(INDEX(Inventaire!$C$7:$C$175,MATCH(21,Inventaire!$X$7:$X$175,0)),"")</f>
        <v/>
      </c>
      <c r="C36" s="9" t="str">
        <f>IFERROR(INDEX(Inventaire!$B$7:$B$175,MATCH(21,Inventaire!$X$7:$X$175,0)),"")</f>
        <v/>
      </c>
      <c r="D36" s="8" t="str">
        <f>IFERROR(INDEX(Inventaire!$W$7:$W$175,MATCH(21,Inventaire!$X$7:$X$175,0)),"")</f>
        <v/>
      </c>
      <c r="E36" s="9" t="str">
        <f>IFERROR(TRIM(IF(INDEX(Inventaire!$R$7:$R$175,MATCH(21,Inventaire!$X$7:$X$175,0))="OUI","Titre échu toujours en inventaire. ","")&amp;IF(INDEX(Inventaire!$S$7:$S$175,MATCH(21,Inventaire!$X$7:$X$175,0))="OUI","Valorisation nulle. ","")&amp;IF(INDEX(Inventaire!$T$7:$T$175,MATCH(21,Inventaire!$X$7:$X$175,0))="OUI","Prix daté du "&amp;TEXT(INDEX(Inventaire!$K$7:$K$175,MATCH(21,Inventaire!$X$7:$X$175,0)),"dd/mm/yyyy")&amp;". ","")&amp;IF(INDEX(Inventaire!$U$7:$U$175,MATCH(21,Inventaire!$X$7:$X$175,0))="OUI","Spread calibré de "&amp;TEXT(INDEX(Inventaire!$Q$7:$Q$175,MATCH(21,Inventaire!$X$7:$X$175,0)),"0")&amp;" pb. ","")&amp;IF(INDEX(Inventaire!$V$7:$V$175,MATCH(21,Inventaire!$X$7:$X$175,0))="OUI","Écart de valorisation. ","")),"")</f>
        <v/>
      </c>
    </row>
    <row r="37" spans="2:6" x14ac:dyDescent="0.2">
      <c r="B37" s="9" t="str">
        <f>IFERROR(INDEX(Inventaire!$C$7:$C$175,MATCH(22,Inventaire!$X$7:$X$175,0)),"")</f>
        <v/>
      </c>
      <c r="C37" s="9" t="str">
        <f>IFERROR(INDEX(Inventaire!$B$7:$B$175,MATCH(22,Inventaire!$X$7:$X$175,0)),"")</f>
        <v/>
      </c>
      <c r="D37" s="8" t="str">
        <f>IFERROR(INDEX(Inventaire!$W$7:$W$175,MATCH(22,Inventaire!$X$7:$X$175,0)),"")</f>
        <v/>
      </c>
      <c r="E37" s="9" t="str">
        <f>IFERROR(TRIM(IF(INDEX(Inventaire!$R$7:$R$175,MATCH(22,Inventaire!$X$7:$X$175,0))="OUI","Titre échu toujours en inventaire. ","")&amp;IF(INDEX(Inventaire!$S$7:$S$175,MATCH(22,Inventaire!$X$7:$X$175,0))="OUI","Valorisation nulle. ","")&amp;IF(INDEX(Inventaire!$T$7:$T$175,MATCH(22,Inventaire!$X$7:$X$175,0))="OUI","Prix daté du "&amp;TEXT(INDEX(Inventaire!$K$7:$K$175,MATCH(22,Inventaire!$X$7:$X$175,0)),"dd/mm/yyyy")&amp;". ","")&amp;IF(INDEX(Inventaire!$U$7:$U$175,MATCH(22,Inventaire!$X$7:$X$175,0))="OUI","Spread calibré de "&amp;TEXT(INDEX(Inventaire!$Q$7:$Q$175,MATCH(22,Inventaire!$X$7:$X$175,0)),"0")&amp;" pb. ","")&amp;IF(INDEX(Inventaire!$V$7:$V$175,MATCH(22,Inventaire!$X$7:$X$175,0))="OUI","Écart de valorisation. ","")),"")</f>
        <v/>
      </c>
    </row>
    <row r="38" spans="2:6" x14ac:dyDescent="0.2">
      <c r="B38" s="9" t="str">
        <f>IFERROR(INDEX(Inventaire!$C$7:$C$175,MATCH(23,Inventaire!$X$7:$X$175,0)),"")</f>
        <v/>
      </c>
      <c r="C38" s="9" t="str">
        <f>IFERROR(INDEX(Inventaire!$B$7:$B$175,MATCH(23,Inventaire!$X$7:$X$175,0)),"")</f>
        <v/>
      </c>
      <c r="D38" s="8" t="str">
        <f>IFERROR(INDEX(Inventaire!$W$7:$W$175,MATCH(23,Inventaire!$X$7:$X$175,0)),"")</f>
        <v/>
      </c>
      <c r="E38" s="9" t="str">
        <f>IFERROR(TRIM(IF(INDEX(Inventaire!$R$7:$R$175,MATCH(23,Inventaire!$X$7:$X$175,0))="OUI","Titre échu toujours en inventaire. ","")&amp;IF(INDEX(Inventaire!$S$7:$S$175,MATCH(23,Inventaire!$X$7:$X$175,0))="OUI","Valorisation nulle. ","")&amp;IF(INDEX(Inventaire!$T$7:$T$175,MATCH(23,Inventaire!$X$7:$X$175,0))="OUI","Prix daté du "&amp;TEXT(INDEX(Inventaire!$K$7:$K$175,MATCH(23,Inventaire!$X$7:$X$175,0)),"dd/mm/yyyy")&amp;". ","")&amp;IF(INDEX(Inventaire!$U$7:$U$175,MATCH(23,Inventaire!$X$7:$X$175,0))="OUI","Spread calibré de "&amp;TEXT(INDEX(Inventaire!$Q$7:$Q$175,MATCH(23,Inventaire!$X$7:$X$175,0)),"0")&amp;" pb. ","")&amp;IF(INDEX(Inventaire!$V$7:$V$175,MATCH(23,Inventaire!$X$7:$X$175,0))="OUI","Écart de valorisation. ","")),"")</f>
        <v/>
      </c>
    </row>
    <row r="39" spans="2:6" x14ac:dyDescent="0.2">
      <c r="B39" s="9" t="str">
        <f>IFERROR(INDEX(Inventaire!$C$7:$C$175,MATCH(24,Inventaire!$X$7:$X$175,0)),"")</f>
        <v/>
      </c>
      <c r="C39" s="9" t="str">
        <f>IFERROR(INDEX(Inventaire!$B$7:$B$175,MATCH(24,Inventaire!$X$7:$X$175,0)),"")</f>
        <v/>
      </c>
      <c r="D39" s="8" t="str">
        <f>IFERROR(INDEX(Inventaire!$W$7:$W$175,MATCH(24,Inventaire!$X$7:$X$175,0)),"")</f>
        <v/>
      </c>
      <c r="E39" s="9" t="str">
        <f>IFERROR(TRIM(IF(INDEX(Inventaire!$R$7:$R$175,MATCH(24,Inventaire!$X$7:$X$175,0))="OUI","Titre échu toujours en inventaire. ","")&amp;IF(INDEX(Inventaire!$S$7:$S$175,MATCH(24,Inventaire!$X$7:$X$175,0))="OUI","Valorisation nulle. ","")&amp;IF(INDEX(Inventaire!$T$7:$T$175,MATCH(24,Inventaire!$X$7:$X$175,0))="OUI","Prix daté du "&amp;TEXT(INDEX(Inventaire!$K$7:$K$175,MATCH(24,Inventaire!$X$7:$X$175,0)),"dd/mm/yyyy")&amp;". ","")&amp;IF(INDEX(Inventaire!$U$7:$U$175,MATCH(24,Inventaire!$X$7:$X$175,0))="OUI","Spread calibré de "&amp;TEXT(INDEX(Inventaire!$Q$7:$Q$175,MATCH(24,Inventaire!$X$7:$X$175,0)),"0")&amp;" pb. ","")&amp;IF(INDEX(Inventaire!$V$7:$V$175,MATCH(24,Inventaire!$X$7:$X$175,0))="OUI","Écart de valorisation. ","")),"")</f>
        <v/>
      </c>
    </row>
    <row r="40" spans="2:6" x14ac:dyDescent="0.2">
      <c r="B40" s="9" t="str">
        <f>IFERROR(INDEX(Inventaire!$C$7:$C$175,MATCH(25,Inventaire!$X$7:$X$175,0)),"")</f>
        <v/>
      </c>
      <c r="C40" s="9" t="str">
        <f>IFERROR(INDEX(Inventaire!$B$7:$B$175,MATCH(25,Inventaire!$X$7:$X$175,0)),"")</f>
        <v/>
      </c>
      <c r="D40" s="8" t="str">
        <f>IFERROR(INDEX(Inventaire!$W$7:$W$175,MATCH(25,Inventaire!$X$7:$X$175,0)),"")</f>
        <v/>
      </c>
      <c r="E40" s="9" t="str">
        <f>IFERROR(TRIM(IF(INDEX(Inventaire!$R$7:$R$175,MATCH(25,Inventaire!$X$7:$X$175,0))="OUI","Titre échu toujours en inventaire. ","")&amp;IF(INDEX(Inventaire!$S$7:$S$175,MATCH(25,Inventaire!$X$7:$X$175,0))="OUI","Valorisation nulle. ","")&amp;IF(INDEX(Inventaire!$T$7:$T$175,MATCH(25,Inventaire!$X$7:$X$175,0))="OUI","Prix daté du "&amp;TEXT(INDEX(Inventaire!$K$7:$K$175,MATCH(25,Inventaire!$X$7:$X$175,0)),"dd/mm/yyyy")&amp;". ","")&amp;IF(INDEX(Inventaire!$U$7:$U$175,MATCH(25,Inventaire!$X$7:$X$175,0))="OUI","Spread calibré de "&amp;TEXT(INDEX(Inventaire!$Q$7:$Q$175,MATCH(25,Inventaire!$X$7:$X$175,0)),"0")&amp;" pb. ","")&amp;IF(INDEX(Inventaire!$V$7:$V$175,MATCH(25,Inventaire!$X$7:$X$175,0))="OUI","Écart de valorisation. ","")),"")</f>
        <v/>
      </c>
    </row>
    <row r="42" spans="2:6" x14ac:dyDescent="0.2">
      <c r="B42" s="8" t="s">
        <v>651</v>
      </c>
    </row>
    <row r="43" spans="2:6" x14ac:dyDescent="0.2">
      <c r="B43" s="9" t="s">
        <v>652</v>
      </c>
      <c r="C43" s="14" t="s">
        <v>653</v>
      </c>
      <c r="F43" s="14" t="s">
        <v>654</v>
      </c>
    </row>
    <row r="44" spans="2:6" x14ac:dyDescent="0.2">
      <c r="B44" s="9" t="s">
        <v>655</v>
      </c>
      <c r="C44" s="14" t="s">
        <v>656</v>
      </c>
      <c r="F44" s="14" t="s">
        <v>657</v>
      </c>
    </row>
    <row r="45" spans="2:6" x14ac:dyDescent="0.2">
      <c r="B45" s="9" t="s">
        <v>658</v>
      </c>
      <c r="C45" s="14" t="s">
        <v>659</v>
      </c>
      <c r="F45" s="14" t="s">
        <v>660</v>
      </c>
    </row>
    <row r="46" spans="2:6" x14ac:dyDescent="0.2">
      <c r="B46" s="9" t="s">
        <v>661</v>
      </c>
      <c r="C46" s="14" t="s">
        <v>662</v>
      </c>
      <c r="F46" s="14" t="s">
        <v>663</v>
      </c>
    </row>
    <row r="47" spans="2:6" x14ac:dyDescent="0.2">
      <c r="B47" s="9" t="s">
        <v>664</v>
      </c>
      <c r="C47" s="14" t="s">
        <v>665</v>
      </c>
      <c r="F47" s="14" t="s">
        <v>666</v>
      </c>
    </row>
  </sheetData>
  <conditionalFormatting sqref="D16:D40">
    <cfRule type="cellIs" dxfId="4" priority="2" operator="equal">
      <formula>"À instruire"</formula>
    </cfRule>
    <cfRule type="cellIs" dxfId="3" priority="3" operator="equal">
      <formula>"À examiner"</formula>
    </cfRule>
  </conditionalFormatting>
  <conditionalFormatting sqref="E6:E11">
    <cfRule type="cellIs" dxfId="2" priority="1" operator="equal">
      <formula>"ÉCART"</formula>
    </cfRule>
  </conditionalFormatting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X175"/>
  <sheetViews>
    <sheetView showGridLines="0"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3" width="24" customWidth="1"/>
    <col min="4" max="4" width="14" customWidth="1"/>
    <col min="5" max="5" width="11" customWidth="1"/>
    <col min="6" max="6" width="9" customWidth="1"/>
    <col min="7" max="7" width="14" customWidth="1"/>
    <col min="8" max="8" width="9" customWidth="1"/>
    <col min="9" max="9" width="13" customWidth="1"/>
    <col min="10" max="10" width="15" customWidth="1"/>
    <col min="11" max="11" width="11" customWidth="1"/>
    <col min="12" max="12" width="6" customWidth="1"/>
    <col min="13" max="13" width="11" customWidth="1"/>
    <col min="14" max="14" width="13" customWidth="1"/>
    <col min="15" max="15" width="9" customWidth="1"/>
    <col min="16" max="16" width="34" customWidth="1"/>
    <col min="17" max="17" width="10" customWidth="1"/>
    <col min="18" max="18" width="7" customWidth="1"/>
    <col min="19" max="19" width="10" customWidth="1"/>
    <col min="20" max="21" width="8" customWidth="1"/>
    <col min="22" max="22" width="10" customWidth="1"/>
    <col min="23" max="23" width="11" customWidth="1"/>
    <col min="24" max="24" width="8" customWidth="1"/>
  </cols>
  <sheetData>
    <row r="2" spans="2:24" ht="18" x14ac:dyDescent="0.2">
      <c r="B2" s="1" t="s">
        <v>667</v>
      </c>
    </row>
    <row r="3" spans="2:24" x14ac:dyDescent="0.2">
      <c r="B3" s="2" t="s">
        <v>668</v>
      </c>
    </row>
    <row r="6" spans="2:24" ht="30" customHeight="1" x14ac:dyDescent="0.2">
      <c r="B6" s="3" t="s">
        <v>75</v>
      </c>
      <c r="C6" s="3" t="s">
        <v>76</v>
      </c>
      <c r="D6" s="3" t="s">
        <v>77</v>
      </c>
      <c r="E6" s="3" t="s">
        <v>78</v>
      </c>
      <c r="F6" s="3" t="s">
        <v>79</v>
      </c>
      <c r="G6" s="3" t="s">
        <v>80</v>
      </c>
      <c r="H6" s="3" t="s">
        <v>81</v>
      </c>
      <c r="I6" s="3" t="s">
        <v>82</v>
      </c>
      <c r="J6" s="3" t="s">
        <v>83</v>
      </c>
      <c r="K6" s="3" t="s">
        <v>669</v>
      </c>
      <c r="L6" s="3" t="s">
        <v>670</v>
      </c>
      <c r="M6" s="3" t="s">
        <v>671</v>
      </c>
      <c r="N6" s="3" t="s">
        <v>672</v>
      </c>
      <c r="O6" s="3" t="s">
        <v>673</v>
      </c>
      <c r="P6" s="3" t="s">
        <v>674</v>
      </c>
      <c r="Q6" s="3" t="s">
        <v>85</v>
      </c>
      <c r="R6" s="3" t="s">
        <v>675</v>
      </c>
      <c r="S6" s="3" t="s">
        <v>676</v>
      </c>
      <c r="T6" s="3" t="s">
        <v>677</v>
      </c>
      <c r="U6" s="3" t="s">
        <v>678</v>
      </c>
      <c r="V6" s="3" t="s">
        <v>679</v>
      </c>
      <c r="W6" s="3" t="s">
        <v>649</v>
      </c>
      <c r="X6" s="3" t="s">
        <v>680</v>
      </c>
    </row>
    <row r="7" spans="2:24" x14ac:dyDescent="0.2">
      <c r="B7" s="9" t="s">
        <v>106</v>
      </c>
      <c r="C7" s="9" t="s">
        <v>107</v>
      </c>
      <c r="D7" s="9" t="s">
        <v>108</v>
      </c>
      <c r="E7" s="19">
        <v>47939</v>
      </c>
      <c r="F7" s="20">
        <v>4.25</v>
      </c>
      <c r="G7" s="13">
        <v>19900000</v>
      </c>
      <c r="H7" s="21">
        <v>101.3925</v>
      </c>
      <c r="I7" s="22">
        <v>213175.34</v>
      </c>
      <c r="J7" s="22">
        <v>20390282.84</v>
      </c>
      <c r="K7" s="19">
        <v>45838</v>
      </c>
      <c r="L7" s="34">
        <v>3</v>
      </c>
      <c r="M7" s="9" t="s">
        <v>681</v>
      </c>
      <c r="N7" s="22">
        <v>-1.4551915228366849E-10</v>
      </c>
      <c r="O7" s="9" t="s">
        <v>158</v>
      </c>
      <c r="P7" s="9"/>
      <c r="Q7" s="34">
        <f>IFERROR(INDEX(Positions!$L$7:$L$173,MATCH(B7,Positions!$B$7:$B$173,0)),"")</f>
        <v>167.86978336163961</v>
      </c>
      <c r="R7" s="9" t="str">
        <f t="shared" ref="R7:R38" si="0">IF(E7&lt;=RL_Date,"OUI","")</f>
        <v/>
      </c>
      <c r="S7" s="9" t="str">
        <f t="shared" ref="S7:S38" si="1">IF(OR(H7&lt;=0,J7&lt;=0),"OUI","")</f>
        <v/>
      </c>
      <c r="T7" s="9" t="str">
        <f t="shared" ref="T7:T38" si="2">IF(RL_Date-K7&gt;RL_Age_Prix,"OUI","")</f>
        <v/>
      </c>
      <c r="U7" s="9" t="str">
        <f t="shared" ref="U7:U38" si="3">IF(AND(ISNUMBER(Q7),Q7&gt;RL_Spread_Revue),"OUI","")</f>
        <v/>
      </c>
      <c r="V7" s="9" t="str">
        <f t="shared" ref="V7:V38" si="4">IF(ABS(N7)&gt;0.02,"OUI","")</f>
        <v/>
      </c>
      <c r="W7" s="9" t="str">
        <f t="shared" ref="W7:W38" si="5">IF(OR(R7="OUI",S7="OUI",T7="OUI",V7="OUI"),"À instruire",IF(U7="OUI","À examiner",""))</f>
        <v/>
      </c>
      <c r="X7" s="34" t="str">
        <f>IF(W7="","",COUNTIF($W$7:W7,"?*"))</f>
        <v/>
      </c>
    </row>
    <row r="8" spans="2:24" x14ac:dyDescent="0.2">
      <c r="B8" s="9" t="s">
        <v>110</v>
      </c>
      <c r="C8" s="9" t="s">
        <v>111</v>
      </c>
      <c r="D8" s="9" t="s">
        <v>112</v>
      </c>
      <c r="E8" s="19">
        <v>46104</v>
      </c>
      <c r="F8" s="20">
        <v>0.875</v>
      </c>
      <c r="G8" s="13">
        <v>10200000</v>
      </c>
      <c r="H8" s="21">
        <v>98.808499999999995</v>
      </c>
      <c r="I8" s="22">
        <v>24696.58</v>
      </c>
      <c r="J8" s="22">
        <v>10103163.58</v>
      </c>
      <c r="K8" s="19">
        <v>45838</v>
      </c>
      <c r="L8" s="34">
        <v>3</v>
      </c>
      <c r="M8" s="9" t="s">
        <v>681</v>
      </c>
      <c r="N8" s="22">
        <v>7.2759576141834259E-11</v>
      </c>
      <c r="O8" s="9" t="s">
        <v>158</v>
      </c>
      <c r="P8" s="9"/>
      <c r="Q8" s="34">
        <f>IFERROR(INDEX(Positions!$L$7:$L$173,MATCH(B8,Positions!$B$7:$B$173,0)),"")</f>
        <v>66.119016362633971</v>
      </c>
      <c r="R8" s="9" t="str">
        <f t="shared" si="0"/>
        <v/>
      </c>
      <c r="S8" s="9" t="str">
        <f t="shared" si="1"/>
        <v/>
      </c>
      <c r="T8" s="9" t="str">
        <f t="shared" si="2"/>
        <v/>
      </c>
      <c r="U8" s="9" t="str">
        <f t="shared" si="3"/>
        <v/>
      </c>
      <c r="V8" s="9" t="str">
        <f t="shared" si="4"/>
        <v/>
      </c>
      <c r="W8" s="9" t="str">
        <f t="shared" si="5"/>
        <v/>
      </c>
      <c r="X8" s="34" t="str">
        <f>IF(W8="","",COUNTIF($W$7:W8,"?*"))</f>
        <v/>
      </c>
    </row>
    <row r="9" spans="2:24" x14ac:dyDescent="0.2">
      <c r="B9" s="9" t="s">
        <v>113</v>
      </c>
      <c r="C9" s="9" t="s">
        <v>114</v>
      </c>
      <c r="D9" s="9" t="s">
        <v>112</v>
      </c>
      <c r="E9" s="19">
        <v>49647</v>
      </c>
      <c r="F9" s="20">
        <v>5.5</v>
      </c>
      <c r="G9" s="13">
        <v>21300000</v>
      </c>
      <c r="H9" s="21">
        <v>102.19499999999999</v>
      </c>
      <c r="I9" s="22">
        <v>965288.29</v>
      </c>
      <c r="J9" s="22">
        <v>22732823.289999999</v>
      </c>
      <c r="K9" s="19">
        <v>45838</v>
      </c>
      <c r="L9" s="34">
        <v>3</v>
      </c>
      <c r="M9" s="9" t="s">
        <v>681</v>
      </c>
      <c r="N9" s="22">
        <v>-9.3132257461547852E-10</v>
      </c>
      <c r="O9" s="9" t="s">
        <v>158</v>
      </c>
      <c r="P9" s="9"/>
      <c r="Q9" s="34">
        <f>IFERROR(INDEX(Positions!$L$7:$L$173,MATCH(B9,Positions!$B$7:$B$173,0)),"")</f>
        <v>233.13591012152111</v>
      </c>
      <c r="R9" s="9" t="str">
        <f t="shared" si="0"/>
        <v/>
      </c>
      <c r="S9" s="9" t="str">
        <f t="shared" si="1"/>
        <v/>
      </c>
      <c r="T9" s="9" t="str">
        <f t="shared" si="2"/>
        <v/>
      </c>
      <c r="U9" s="9" t="str">
        <f t="shared" si="3"/>
        <v/>
      </c>
      <c r="V9" s="9" t="str">
        <f t="shared" si="4"/>
        <v/>
      </c>
      <c r="W9" s="9" t="str">
        <f t="shared" si="5"/>
        <v/>
      </c>
      <c r="X9" s="34" t="str">
        <f>IF(W9="","",COUNTIF($W$7:W9,"?*"))</f>
        <v/>
      </c>
    </row>
    <row r="10" spans="2:24" x14ac:dyDescent="0.2">
      <c r="B10" s="9" t="s">
        <v>115</v>
      </c>
      <c r="C10" s="9" t="s">
        <v>116</v>
      </c>
      <c r="D10" s="9" t="s">
        <v>117</v>
      </c>
      <c r="E10" s="19">
        <v>48714</v>
      </c>
      <c r="F10" s="20">
        <v>4</v>
      </c>
      <c r="G10" s="13">
        <v>20000000</v>
      </c>
      <c r="H10" s="21">
        <v>104.15</v>
      </c>
      <c r="I10" s="22">
        <v>105205.48</v>
      </c>
      <c r="J10" s="22">
        <v>20935205.48</v>
      </c>
      <c r="K10" s="19">
        <v>45838</v>
      </c>
      <c r="L10" s="34">
        <v>3</v>
      </c>
      <c r="M10" s="9" t="s">
        <v>681</v>
      </c>
      <c r="N10" s="22">
        <v>4.5110937207937241E-10</v>
      </c>
      <c r="O10" s="9" t="s">
        <v>158</v>
      </c>
      <c r="P10" s="9"/>
      <c r="Q10" s="34">
        <f>IFERROR(INDEX(Positions!$L$7:$L$173,MATCH(B10,Positions!$B$7:$B$173,0)),"")</f>
        <v>91.413756554638326</v>
      </c>
      <c r="R10" s="9" t="str">
        <f t="shared" si="0"/>
        <v/>
      </c>
      <c r="S10" s="9" t="str">
        <f t="shared" si="1"/>
        <v/>
      </c>
      <c r="T10" s="9" t="str">
        <f t="shared" si="2"/>
        <v/>
      </c>
      <c r="U10" s="9" t="str">
        <f t="shared" si="3"/>
        <v/>
      </c>
      <c r="V10" s="9" t="str">
        <f t="shared" si="4"/>
        <v/>
      </c>
      <c r="W10" s="9" t="str">
        <f t="shared" si="5"/>
        <v/>
      </c>
      <c r="X10" s="34" t="str">
        <f>IF(W10="","",COUNTIF($W$7:W10,"?*"))</f>
        <v/>
      </c>
    </row>
    <row r="11" spans="2:24" x14ac:dyDescent="0.2">
      <c r="B11" s="9" t="s">
        <v>118</v>
      </c>
      <c r="C11" s="9" t="s">
        <v>119</v>
      </c>
      <c r="D11" s="9" t="s">
        <v>120</v>
      </c>
      <c r="E11" s="19">
        <v>47562</v>
      </c>
      <c r="F11" s="20">
        <v>4.25</v>
      </c>
      <c r="G11" s="13">
        <v>13300000</v>
      </c>
      <c r="H11" s="21">
        <v>102.4315</v>
      </c>
      <c r="I11" s="22">
        <v>161057.53</v>
      </c>
      <c r="J11" s="22">
        <v>13784447.029999999</v>
      </c>
      <c r="K11" s="19">
        <v>45838</v>
      </c>
      <c r="L11" s="34">
        <v>3</v>
      </c>
      <c r="M11" s="9" t="s">
        <v>681</v>
      </c>
      <c r="N11" s="22">
        <v>-6.6938810050487518E-10</v>
      </c>
      <c r="O11" s="9" t="s">
        <v>158</v>
      </c>
      <c r="P11" s="9"/>
      <c r="Q11" s="34">
        <f>IFERROR(INDEX(Positions!$L$7:$L$173,MATCH(B11,Positions!$B$7:$B$173,0)),"")</f>
        <v>149.2471493669473</v>
      </c>
      <c r="R11" s="9" t="str">
        <f t="shared" si="0"/>
        <v/>
      </c>
      <c r="S11" s="9" t="str">
        <f t="shared" si="1"/>
        <v/>
      </c>
      <c r="T11" s="9" t="str">
        <f t="shared" si="2"/>
        <v/>
      </c>
      <c r="U11" s="9" t="str">
        <f t="shared" si="3"/>
        <v/>
      </c>
      <c r="V11" s="9" t="str">
        <f t="shared" si="4"/>
        <v/>
      </c>
      <c r="W11" s="9" t="str">
        <f t="shared" si="5"/>
        <v/>
      </c>
      <c r="X11" s="34" t="str">
        <f>IF(W11="","",COUNTIF($W$7:W11,"?*"))</f>
        <v/>
      </c>
    </row>
    <row r="12" spans="2:24" x14ac:dyDescent="0.2">
      <c r="B12" s="9" t="s">
        <v>121</v>
      </c>
      <c r="C12" s="9" t="s">
        <v>122</v>
      </c>
      <c r="D12" s="9" t="s">
        <v>123</v>
      </c>
      <c r="E12" s="19">
        <v>49066</v>
      </c>
      <c r="F12" s="20">
        <v>3.875</v>
      </c>
      <c r="G12" s="13">
        <v>10500000</v>
      </c>
      <c r="H12" s="21">
        <v>101.8145</v>
      </c>
      <c r="I12" s="22">
        <v>67998.289999999994</v>
      </c>
      <c r="J12" s="22">
        <v>10758520.789999999</v>
      </c>
      <c r="K12" s="19">
        <v>45838</v>
      </c>
      <c r="L12" s="34">
        <v>3</v>
      </c>
      <c r="M12" s="9" t="s">
        <v>681</v>
      </c>
      <c r="N12" s="22">
        <v>-8.8766682893037796E-10</v>
      </c>
      <c r="O12" s="9" t="s">
        <v>158</v>
      </c>
      <c r="P12" s="9"/>
      <c r="Q12" s="34">
        <f>IFERROR(INDEX(Positions!$L$7:$L$173,MATCH(B12,Positions!$B$7:$B$173,0)),"")</f>
        <v>105.6200707747654</v>
      </c>
      <c r="R12" s="9" t="str">
        <f t="shared" si="0"/>
        <v/>
      </c>
      <c r="S12" s="9" t="str">
        <f t="shared" si="1"/>
        <v/>
      </c>
      <c r="T12" s="9" t="str">
        <f t="shared" si="2"/>
        <v/>
      </c>
      <c r="U12" s="9" t="str">
        <f t="shared" si="3"/>
        <v/>
      </c>
      <c r="V12" s="9" t="str">
        <f t="shared" si="4"/>
        <v/>
      </c>
      <c r="W12" s="9" t="str">
        <f t="shared" si="5"/>
        <v/>
      </c>
      <c r="X12" s="34" t="str">
        <f>IF(W12="","",COUNTIF($W$7:W12,"?*"))</f>
        <v/>
      </c>
    </row>
    <row r="13" spans="2:24" x14ac:dyDescent="0.2">
      <c r="B13" s="9" t="s">
        <v>124</v>
      </c>
      <c r="C13" s="9" t="s">
        <v>125</v>
      </c>
      <c r="D13" s="9" t="s">
        <v>126</v>
      </c>
      <c r="E13" s="19">
        <v>47681</v>
      </c>
      <c r="F13" s="20">
        <v>5.125</v>
      </c>
      <c r="G13" s="13">
        <v>15000000</v>
      </c>
      <c r="H13" s="21">
        <v>106.0515</v>
      </c>
      <c r="I13" s="22">
        <v>737157.53</v>
      </c>
      <c r="J13" s="22">
        <v>16644882.529999999</v>
      </c>
      <c r="K13" s="19">
        <v>45838</v>
      </c>
      <c r="L13" s="34">
        <v>3</v>
      </c>
      <c r="M13" s="9" t="s">
        <v>681</v>
      </c>
      <c r="N13" s="22">
        <v>-6.9849193096160889E-10</v>
      </c>
      <c r="O13" s="9" t="s">
        <v>158</v>
      </c>
      <c r="P13" s="9"/>
      <c r="Q13" s="34">
        <f>IFERROR(INDEX(Positions!$L$7:$L$173,MATCH(B13,Positions!$B$7:$B$173,0)),"")</f>
        <v>156.79600907189791</v>
      </c>
      <c r="R13" s="9" t="str">
        <f t="shared" si="0"/>
        <v/>
      </c>
      <c r="S13" s="9" t="str">
        <f t="shared" si="1"/>
        <v/>
      </c>
      <c r="T13" s="9" t="str">
        <f t="shared" si="2"/>
        <v/>
      </c>
      <c r="U13" s="9" t="str">
        <f t="shared" si="3"/>
        <v/>
      </c>
      <c r="V13" s="9" t="str">
        <f t="shared" si="4"/>
        <v/>
      </c>
      <c r="W13" s="9" t="str">
        <f t="shared" si="5"/>
        <v/>
      </c>
      <c r="X13" s="34" t="str">
        <f>IF(W13="","",COUNTIF($W$7:W13,"?*"))</f>
        <v/>
      </c>
    </row>
    <row r="14" spans="2:24" x14ac:dyDescent="0.2">
      <c r="B14" s="9" t="s">
        <v>127</v>
      </c>
      <c r="C14" s="9" t="s">
        <v>128</v>
      </c>
      <c r="D14" s="9" t="s">
        <v>129</v>
      </c>
      <c r="E14" s="19">
        <v>49233</v>
      </c>
      <c r="F14" s="20">
        <v>3.6320000000000001</v>
      </c>
      <c r="G14" s="13">
        <v>20000000</v>
      </c>
      <c r="H14" s="21">
        <v>100.1425</v>
      </c>
      <c r="I14" s="22">
        <v>515445.48</v>
      </c>
      <c r="J14" s="22">
        <v>20543945.48</v>
      </c>
      <c r="K14" s="19">
        <v>45838</v>
      </c>
      <c r="L14" s="34">
        <v>3</v>
      </c>
      <c r="M14" s="9" t="s">
        <v>681</v>
      </c>
      <c r="N14" s="22">
        <v>4.6566128730773926E-10</v>
      </c>
      <c r="O14" s="9" t="s">
        <v>158</v>
      </c>
      <c r="P14" s="9"/>
      <c r="Q14" s="34">
        <f>IFERROR(INDEX(Positions!$L$7:$L$173,MATCH(B14,Positions!$B$7:$B$173,0)),"")</f>
        <v>99.390855753995339</v>
      </c>
      <c r="R14" s="9" t="str">
        <f t="shared" si="0"/>
        <v/>
      </c>
      <c r="S14" s="9" t="str">
        <f t="shared" si="1"/>
        <v/>
      </c>
      <c r="T14" s="9" t="str">
        <f t="shared" si="2"/>
        <v/>
      </c>
      <c r="U14" s="9" t="str">
        <f t="shared" si="3"/>
        <v/>
      </c>
      <c r="V14" s="9" t="str">
        <f t="shared" si="4"/>
        <v/>
      </c>
      <c r="W14" s="9" t="str">
        <f t="shared" si="5"/>
        <v/>
      </c>
      <c r="X14" s="34" t="str">
        <f>IF(W14="","",COUNTIF($W$7:W14,"?*"))</f>
        <v/>
      </c>
    </row>
    <row r="15" spans="2:24" x14ac:dyDescent="0.2">
      <c r="B15" s="9" t="s">
        <v>130</v>
      </c>
      <c r="C15" s="9" t="s">
        <v>131</v>
      </c>
      <c r="D15" s="9" t="s">
        <v>132</v>
      </c>
      <c r="E15" s="19">
        <v>47815</v>
      </c>
      <c r="F15" s="20">
        <v>4</v>
      </c>
      <c r="G15" s="13">
        <v>22000000</v>
      </c>
      <c r="H15" s="21">
        <v>101.229</v>
      </c>
      <c r="I15" s="22">
        <v>84383.56</v>
      </c>
      <c r="J15" s="22">
        <v>22354763.559999999</v>
      </c>
      <c r="K15" s="19">
        <v>45838</v>
      </c>
      <c r="L15" s="34">
        <v>3</v>
      </c>
      <c r="M15" s="9" t="s">
        <v>681</v>
      </c>
      <c r="N15" s="22">
        <v>-1.33877620100975E-9</v>
      </c>
      <c r="O15" s="9" t="s">
        <v>158</v>
      </c>
      <c r="P15" s="9"/>
      <c r="Q15" s="34">
        <f>IFERROR(INDEX(Positions!$L$7:$L$173,MATCH(B15,Positions!$B$7:$B$173,0)),"")</f>
        <v>188.62034709161429</v>
      </c>
      <c r="R15" s="9" t="str">
        <f t="shared" si="0"/>
        <v/>
      </c>
      <c r="S15" s="9" t="str">
        <f t="shared" si="1"/>
        <v/>
      </c>
      <c r="T15" s="9" t="str">
        <f t="shared" si="2"/>
        <v/>
      </c>
      <c r="U15" s="9" t="str">
        <f t="shared" si="3"/>
        <v/>
      </c>
      <c r="V15" s="9" t="str">
        <f t="shared" si="4"/>
        <v/>
      </c>
      <c r="W15" s="9" t="str">
        <f t="shared" si="5"/>
        <v/>
      </c>
      <c r="X15" s="34" t="str">
        <f>IF(W15="","",COUNTIF($W$7:W15,"?*"))</f>
        <v/>
      </c>
    </row>
    <row r="16" spans="2:24" x14ac:dyDescent="0.2">
      <c r="B16" s="9" t="s">
        <v>133</v>
      </c>
      <c r="C16" s="9" t="s">
        <v>134</v>
      </c>
      <c r="D16" s="9" t="s">
        <v>135</v>
      </c>
      <c r="E16" s="19">
        <v>47216</v>
      </c>
      <c r="F16" s="20">
        <v>1.5</v>
      </c>
      <c r="G16" s="13">
        <v>8100000</v>
      </c>
      <c r="H16" s="21">
        <v>92.007499999999993</v>
      </c>
      <c r="I16" s="22">
        <v>28294.52</v>
      </c>
      <c r="J16" s="22">
        <v>7480902.0199999996</v>
      </c>
      <c r="K16" s="19">
        <v>45838</v>
      </c>
      <c r="L16" s="34">
        <v>3</v>
      </c>
      <c r="M16" s="9" t="s">
        <v>681</v>
      </c>
      <c r="N16" s="22">
        <v>-4.4747139327228069E-10</v>
      </c>
      <c r="O16" s="9" t="s">
        <v>158</v>
      </c>
      <c r="P16" s="9"/>
      <c r="Q16" s="34">
        <f>IFERROR(INDEX(Positions!$L$7:$L$173,MATCH(B16,Positions!$B$7:$B$173,0)),"")</f>
        <v>171.41808092591441</v>
      </c>
      <c r="R16" s="9" t="str">
        <f t="shared" si="0"/>
        <v/>
      </c>
      <c r="S16" s="9" t="str">
        <f t="shared" si="1"/>
        <v/>
      </c>
      <c r="T16" s="9" t="str">
        <f t="shared" si="2"/>
        <v/>
      </c>
      <c r="U16" s="9" t="str">
        <f t="shared" si="3"/>
        <v/>
      </c>
      <c r="V16" s="9" t="str">
        <f t="shared" si="4"/>
        <v/>
      </c>
      <c r="W16" s="9" t="str">
        <f t="shared" si="5"/>
        <v/>
      </c>
      <c r="X16" s="34" t="str">
        <f>IF(W16="","",COUNTIF($W$7:W16,"?*"))</f>
        <v/>
      </c>
    </row>
    <row r="17" spans="2:24" x14ac:dyDescent="0.2">
      <c r="B17" s="9" t="s">
        <v>136</v>
      </c>
      <c r="C17" s="9" t="s">
        <v>137</v>
      </c>
      <c r="D17" s="9" t="s">
        <v>138</v>
      </c>
      <c r="E17" s="19">
        <v>47065</v>
      </c>
      <c r="F17" s="20">
        <v>0.875</v>
      </c>
      <c r="G17" s="13">
        <v>12000000</v>
      </c>
      <c r="H17" s="21">
        <v>92.796999999999997</v>
      </c>
      <c r="I17" s="22">
        <v>67890.41</v>
      </c>
      <c r="J17" s="22">
        <v>11203530.41</v>
      </c>
      <c r="K17" s="19">
        <v>45838</v>
      </c>
      <c r="L17" s="34">
        <v>3</v>
      </c>
      <c r="M17" s="9" t="s">
        <v>681</v>
      </c>
      <c r="N17" s="22">
        <v>1.4551915228366849E-10</v>
      </c>
      <c r="O17" s="9" t="s">
        <v>158</v>
      </c>
      <c r="P17" s="9"/>
      <c r="Q17" s="34">
        <f>IFERROR(INDEX(Positions!$L$7:$L$173,MATCH(B17,Positions!$B$7:$B$173,0)),"")</f>
        <v>113.271595999491</v>
      </c>
      <c r="R17" s="9" t="str">
        <f t="shared" si="0"/>
        <v/>
      </c>
      <c r="S17" s="9" t="str">
        <f t="shared" si="1"/>
        <v/>
      </c>
      <c r="T17" s="9" t="str">
        <f t="shared" si="2"/>
        <v/>
      </c>
      <c r="U17" s="9" t="str">
        <f t="shared" si="3"/>
        <v/>
      </c>
      <c r="V17" s="9" t="str">
        <f t="shared" si="4"/>
        <v/>
      </c>
      <c r="W17" s="9" t="str">
        <f t="shared" si="5"/>
        <v/>
      </c>
      <c r="X17" s="34" t="str">
        <f>IF(W17="","",COUNTIF($W$7:W17,"?*"))</f>
        <v/>
      </c>
    </row>
    <row r="18" spans="2:24" x14ac:dyDescent="0.2">
      <c r="B18" s="9" t="s">
        <v>139</v>
      </c>
      <c r="C18" s="9" t="s">
        <v>140</v>
      </c>
      <c r="D18" s="9" t="s">
        <v>135</v>
      </c>
      <c r="E18" s="19">
        <v>46404</v>
      </c>
      <c r="F18" s="20">
        <v>1.625</v>
      </c>
      <c r="G18" s="13">
        <v>4800000</v>
      </c>
      <c r="H18" s="21">
        <v>98.055499999999995</v>
      </c>
      <c r="I18" s="22">
        <v>35473.97</v>
      </c>
      <c r="J18" s="22">
        <v>4742137.97</v>
      </c>
      <c r="K18" s="19">
        <v>45838</v>
      </c>
      <c r="L18" s="34">
        <v>3</v>
      </c>
      <c r="M18" s="9" t="s">
        <v>681</v>
      </c>
      <c r="N18" s="22">
        <v>-2.6193447411060328E-10</v>
      </c>
      <c r="O18" s="9" t="s">
        <v>158</v>
      </c>
      <c r="P18" s="9"/>
      <c r="Q18" s="34">
        <f>IFERROR(INDEX(Positions!$L$7:$L$173,MATCH(B18,Positions!$B$7:$B$173,0)),"")</f>
        <v>103.1262720386152</v>
      </c>
      <c r="R18" s="9" t="str">
        <f t="shared" si="0"/>
        <v/>
      </c>
      <c r="S18" s="9" t="str">
        <f t="shared" si="1"/>
        <v/>
      </c>
      <c r="T18" s="9" t="str">
        <f t="shared" si="2"/>
        <v/>
      </c>
      <c r="U18" s="9" t="str">
        <f t="shared" si="3"/>
        <v/>
      </c>
      <c r="V18" s="9" t="str">
        <f t="shared" si="4"/>
        <v/>
      </c>
      <c r="W18" s="9" t="str">
        <f t="shared" si="5"/>
        <v/>
      </c>
      <c r="X18" s="34" t="str">
        <f>IF(W18="","",COUNTIF($W$7:W18,"?*"))</f>
        <v/>
      </c>
    </row>
    <row r="19" spans="2:24" x14ac:dyDescent="0.2">
      <c r="B19" s="9" t="s">
        <v>141</v>
      </c>
      <c r="C19" s="9" t="s">
        <v>142</v>
      </c>
      <c r="D19" s="9" t="s">
        <v>143</v>
      </c>
      <c r="E19" s="19">
        <v>48704</v>
      </c>
      <c r="F19" s="20">
        <v>6.75</v>
      </c>
      <c r="G19" s="13">
        <v>8700000</v>
      </c>
      <c r="H19" s="21">
        <v>115.82</v>
      </c>
      <c r="I19" s="22">
        <v>93316.44</v>
      </c>
      <c r="J19" s="22">
        <v>10169656.439999999</v>
      </c>
      <c r="K19" s="19">
        <v>45838</v>
      </c>
      <c r="L19" s="34">
        <v>3</v>
      </c>
      <c r="M19" s="9" t="s">
        <v>681</v>
      </c>
      <c r="N19" s="22">
        <v>-5.2386894822120667E-10</v>
      </c>
      <c r="O19" s="9" t="s">
        <v>158</v>
      </c>
      <c r="P19" s="9"/>
      <c r="Q19" s="34">
        <f>IFERROR(INDEX(Positions!$L$7:$L$173,MATCH(B19,Positions!$B$7:$B$173,0)),"")</f>
        <v>183.97954365949579</v>
      </c>
      <c r="R19" s="9" t="str">
        <f t="shared" si="0"/>
        <v/>
      </c>
      <c r="S19" s="9" t="str">
        <f t="shared" si="1"/>
        <v/>
      </c>
      <c r="T19" s="9" t="str">
        <f t="shared" si="2"/>
        <v/>
      </c>
      <c r="U19" s="9" t="str">
        <f t="shared" si="3"/>
        <v/>
      </c>
      <c r="V19" s="9" t="str">
        <f t="shared" si="4"/>
        <v/>
      </c>
      <c r="W19" s="9" t="str">
        <f t="shared" si="5"/>
        <v/>
      </c>
      <c r="X19" s="34" t="str">
        <f>IF(W19="","",COUNTIF($W$7:W19,"?*"))</f>
        <v/>
      </c>
    </row>
    <row r="20" spans="2:24" x14ac:dyDescent="0.2">
      <c r="B20" s="9" t="s">
        <v>144</v>
      </c>
      <c r="C20" s="9" t="s">
        <v>145</v>
      </c>
      <c r="D20" s="9" t="s">
        <v>146</v>
      </c>
      <c r="E20" s="19">
        <v>49789</v>
      </c>
      <c r="F20" s="20">
        <v>3.875</v>
      </c>
      <c r="G20" s="13">
        <v>20000000</v>
      </c>
      <c r="H20" s="21">
        <v>101.1815</v>
      </c>
      <c r="I20" s="22">
        <v>146506.85</v>
      </c>
      <c r="J20" s="22">
        <v>20382806.850000001</v>
      </c>
      <c r="K20" s="19">
        <v>45838</v>
      </c>
      <c r="L20" s="34">
        <v>3</v>
      </c>
      <c r="M20" s="9" t="s">
        <v>681</v>
      </c>
      <c r="N20" s="22">
        <v>1.4842953532934191E-9</v>
      </c>
      <c r="O20" s="9" t="s">
        <v>158</v>
      </c>
      <c r="P20" s="9"/>
      <c r="Q20" s="34">
        <f>IFERROR(INDEX(Positions!$L$7:$L$173,MATCH(B20,Positions!$B$7:$B$173,0)),"")</f>
        <v>105.0646808863344</v>
      </c>
      <c r="R20" s="9" t="str">
        <f t="shared" si="0"/>
        <v/>
      </c>
      <c r="S20" s="9" t="str">
        <f t="shared" si="1"/>
        <v/>
      </c>
      <c r="T20" s="9" t="str">
        <f t="shared" si="2"/>
        <v/>
      </c>
      <c r="U20" s="9" t="str">
        <f t="shared" si="3"/>
        <v/>
      </c>
      <c r="V20" s="9" t="str">
        <f t="shared" si="4"/>
        <v/>
      </c>
      <c r="W20" s="9" t="str">
        <f t="shared" si="5"/>
        <v/>
      </c>
      <c r="X20" s="34" t="str">
        <f>IF(W20="","",COUNTIF($W$7:W20,"?*"))</f>
        <v/>
      </c>
    </row>
    <row r="21" spans="2:24" x14ac:dyDescent="0.2">
      <c r="B21" s="9" t="s">
        <v>147</v>
      </c>
      <c r="C21" s="9" t="s">
        <v>148</v>
      </c>
      <c r="D21" s="9" t="s">
        <v>149</v>
      </c>
      <c r="E21" s="19">
        <v>49239</v>
      </c>
      <c r="F21" s="20">
        <v>3.625</v>
      </c>
      <c r="G21" s="13">
        <v>20000000</v>
      </c>
      <c r="H21" s="21">
        <v>97.722999999999999</v>
      </c>
      <c r="I21" s="22">
        <v>502534.25</v>
      </c>
      <c r="J21" s="22">
        <v>20047134.25</v>
      </c>
      <c r="K21" s="19">
        <v>45838</v>
      </c>
      <c r="L21" s="34">
        <v>3</v>
      </c>
      <c r="M21" s="9" t="s">
        <v>681</v>
      </c>
      <c r="N21" s="22">
        <v>0</v>
      </c>
      <c r="O21" s="9" t="s">
        <v>158</v>
      </c>
      <c r="P21" s="9"/>
      <c r="Q21" s="34">
        <f>IFERROR(INDEX(Positions!$L$7:$L$173,MATCH(B21,Positions!$B$7:$B$173,0)),"")</f>
        <v>128.9452962915741</v>
      </c>
      <c r="R21" s="9" t="str">
        <f t="shared" si="0"/>
        <v/>
      </c>
      <c r="S21" s="9" t="str">
        <f t="shared" si="1"/>
        <v/>
      </c>
      <c r="T21" s="9" t="str">
        <f t="shared" si="2"/>
        <v/>
      </c>
      <c r="U21" s="9" t="str">
        <f t="shared" si="3"/>
        <v/>
      </c>
      <c r="V21" s="9" t="str">
        <f t="shared" si="4"/>
        <v/>
      </c>
      <c r="W21" s="9" t="str">
        <f t="shared" si="5"/>
        <v/>
      </c>
      <c r="X21" s="34" t="str">
        <f>IF(W21="","",COUNTIF($W$7:W21,"?*"))</f>
        <v/>
      </c>
    </row>
    <row r="22" spans="2:24" x14ac:dyDescent="0.2">
      <c r="B22" s="9" t="s">
        <v>150</v>
      </c>
      <c r="C22" s="9" t="s">
        <v>151</v>
      </c>
      <c r="D22" s="9" t="s">
        <v>143</v>
      </c>
      <c r="E22" s="19">
        <v>49436</v>
      </c>
      <c r="F22" s="20">
        <v>4.75</v>
      </c>
      <c r="G22" s="13">
        <v>15100000</v>
      </c>
      <c r="H22" s="21">
        <v>101.71599999999999</v>
      </c>
      <c r="I22" s="22">
        <v>109579.86</v>
      </c>
      <c r="J22" s="22">
        <v>15468695.859999999</v>
      </c>
      <c r="K22" s="19">
        <v>45838</v>
      </c>
      <c r="L22" s="34">
        <v>3</v>
      </c>
      <c r="M22" s="9" t="s">
        <v>682</v>
      </c>
      <c r="N22" s="22">
        <v>-5.9662852436304092E-10</v>
      </c>
      <c r="O22" s="9" t="s">
        <v>158</v>
      </c>
      <c r="P22" s="9"/>
      <c r="Q22" s="34">
        <f>IFERROR(INDEX(Positions!$L$7:$L$173,MATCH(B22,Positions!$B$7:$B$173,0)),"")</f>
        <v>184.01861126016891</v>
      </c>
      <c r="R22" s="9" t="str">
        <f t="shared" si="0"/>
        <v/>
      </c>
      <c r="S22" s="9" t="str">
        <f t="shared" si="1"/>
        <v/>
      </c>
      <c r="T22" s="9" t="str">
        <f t="shared" si="2"/>
        <v/>
      </c>
      <c r="U22" s="9" t="str">
        <f t="shared" si="3"/>
        <v/>
      </c>
      <c r="V22" s="9" t="str">
        <f t="shared" si="4"/>
        <v/>
      </c>
      <c r="W22" s="9" t="str">
        <f t="shared" si="5"/>
        <v/>
      </c>
      <c r="X22" s="34" t="str">
        <f>IF(W22="","",COUNTIF($W$7:W22,"?*"))</f>
        <v/>
      </c>
    </row>
    <row r="23" spans="2:24" x14ac:dyDescent="0.2">
      <c r="B23" s="9" t="s">
        <v>152</v>
      </c>
      <c r="C23" s="9" t="s">
        <v>153</v>
      </c>
      <c r="D23" s="9" t="s">
        <v>154</v>
      </c>
      <c r="E23" s="19">
        <v>47569</v>
      </c>
      <c r="F23" s="20">
        <v>3.4140000000000001</v>
      </c>
      <c r="G23" s="13">
        <v>14100000</v>
      </c>
      <c r="H23" s="21">
        <v>101.07</v>
      </c>
      <c r="I23" s="22">
        <v>127926.79</v>
      </c>
      <c r="J23" s="22">
        <v>14378796.789999999</v>
      </c>
      <c r="K23" s="19">
        <v>45838</v>
      </c>
      <c r="L23" s="34">
        <v>3</v>
      </c>
      <c r="M23" s="9" t="s">
        <v>681</v>
      </c>
      <c r="N23" s="22">
        <v>-8.8766682893037796E-10</v>
      </c>
      <c r="O23" s="9" t="s">
        <v>158</v>
      </c>
      <c r="P23" s="9"/>
      <c r="Q23" s="34">
        <f>IFERROR(INDEX(Positions!$L$7:$L$173,MATCH(B23,Positions!$B$7:$B$173,0)),"")</f>
        <v>99.487672431725869</v>
      </c>
      <c r="R23" s="9" t="str">
        <f t="shared" si="0"/>
        <v/>
      </c>
      <c r="S23" s="9" t="str">
        <f t="shared" si="1"/>
        <v/>
      </c>
      <c r="T23" s="9" t="str">
        <f t="shared" si="2"/>
        <v/>
      </c>
      <c r="U23" s="9" t="str">
        <f t="shared" si="3"/>
        <v/>
      </c>
      <c r="V23" s="9" t="str">
        <f t="shared" si="4"/>
        <v/>
      </c>
      <c r="W23" s="9" t="str">
        <f t="shared" si="5"/>
        <v/>
      </c>
      <c r="X23" s="34" t="str">
        <f>IF(W23="","",COUNTIF($W$7:W23,"?*"))</f>
        <v/>
      </c>
    </row>
    <row r="24" spans="2:24" x14ac:dyDescent="0.2">
      <c r="B24" s="9" t="s">
        <v>155</v>
      </c>
      <c r="C24" s="9" t="s">
        <v>156</v>
      </c>
      <c r="D24" s="9" t="s">
        <v>157</v>
      </c>
      <c r="E24" s="19">
        <v>47345</v>
      </c>
      <c r="F24" s="20">
        <v>0</v>
      </c>
      <c r="G24" s="13">
        <v>209900000</v>
      </c>
      <c r="H24" s="21">
        <v>91.968000000000004</v>
      </c>
      <c r="I24" s="22">
        <v>0</v>
      </c>
      <c r="J24" s="22">
        <v>193040832</v>
      </c>
      <c r="K24" s="19">
        <v>45838</v>
      </c>
      <c r="L24" s="34">
        <v>3</v>
      </c>
      <c r="M24" s="9" t="s">
        <v>681</v>
      </c>
      <c r="N24" s="22">
        <v>0</v>
      </c>
      <c r="O24" s="9" t="s">
        <v>158</v>
      </c>
      <c r="P24" s="9"/>
      <c r="Q24" s="34">
        <f>IFERROR(INDEX(Positions!$L$7:$L$173,MATCH(B24,Positions!$B$7:$B$173,0)),"")</f>
        <v>-3.5988870150518468</v>
      </c>
      <c r="R24" s="9" t="str">
        <f t="shared" si="0"/>
        <v/>
      </c>
      <c r="S24" s="9" t="str">
        <f t="shared" si="1"/>
        <v/>
      </c>
      <c r="T24" s="9" t="str">
        <f t="shared" si="2"/>
        <v/>
      </c>
      <c r="U24" s="9" t="str">
        <f t="shared" si="3"/>
        <v/>
      </c>
      <c r="V24" s="9" t="str">
        <f t="shared" si="4"/>
        <v/>
      </c>
      <c r="W24" s="9" t="str">
        <f t="shared" si="5"/>
        <v/>
      </c>
      <c r="X24" s="34" t="str">
        <f>IF(W24="","",COUNTIF($W$7:W24,"?*"))</f>
        <v/>
      </c>
    </row>
    <row r="25" spans="2:24" x14ac:dyDescent="0.2">
      <c r="B25" s="9" t="s">
        <v>159</v>
      </c>
      <c r="C25" s="9" t="s">
        <v>160</v>
      </c>
      <c r="D25" s="9" t="s">
        <v>161</v>
      </c>
      <c r="E25" s="19">
        <v>46547</v>
      </c>
      <c r="F25" s="20">
        <v>2.625</v>
      </c>
      <c r="G25" s="13">
        <v>15100000</v>
      </c>
      <c r="H25" s="21">
        <v>99.72</v>
      </c>
      <c r="I25" s="22">
        <v>24977.05</v>
      </c>
      <c r="J25" s="22">
        <v>15082697.050000001</v>
      </c>
      <c r="K25" s="19">
        <v>45838</v>
      </c>
      <c r="L25" s="34">
        <v>3</v>
      </c>
      <c r="M25" s="9" t="s">
        <v>681</v>
      </c>
      <c r="N25" s="22">
        <v>7.4578565545380116E-10</v>
      </c>
      <c r="O25" s="9" t="s">
        <v>158</v>
      </c>
      <c r="P25" s="9"/>
      <c r="Q25" s="34">
        <f>IFERROR(INDEX(Positions!$L$7:$L$173,MATCH(B25,Positions!$B$7:$B$173,0)),"")</f>
        <v>88.569291154863492</v>
      </c>
      <c r="R25" s="9" t="str">
        <f t="shared" si="0"/>
        <v/>
      </c>
      <c r="S25" s="9" t="str">
        <f t="shared" si="1"/>
        <v/>
      </c>
      <c r="T25" s="9" t="str">
        <f t="shared" si="2"/>
        <v/>
      </c>
      <c r="U25" s="9" t="str">
        <f t="shared" si="3"/>
        <v/>
      </c>
      <c r="V25" s="9" t="str">
        <f t="shared" si="4"/>
        <v/>
      </c>
      <c r="W25" s="9" t="str">
        <f t="shared" si="5"/>
        <v/>
      </c>
      <c r="X25" s="34" t="str">
        <f>IF(W25="","",COUNTIF($W$7:W25,"?*"))</f>
        <v/>
      </c>
    </row>
    <row r="26" spans="2:24" x14ac:dyDescent="0.2">
      <c r="B26" s="9" t="s">
        <v>162</v>
      </c>
      <c r="C26" s="9" t="s">
        <v>163</v>
      </c>
      <c r="D26" s="9" t="s">
        <v>164</v>
      </c>
      <c r="E26" s="19">
        <v>47810</v>
      </c>
      <c r="F26" s="20">
        <v>5</v>
      </c>
      <c r="G26" s="13">
        <v>12000000</v>
      </c>
      <c r="H26" s="21">
        <v>108.36</v>
      </c>
      <c r="I26" s="22">
        <v>363287.67</v>
      </c>
      <c r="J26" s="22">
        <v>13366487.67</v>
      </c>
      <c r="K26" s="19">
        <v>45838</v>
      </c>
      <c r="L26" s="34">
        <v>3</v>
      </c>
      <c r="M26" s="9" t="s">
        <v>681</v>
      </c>
      <c r="N26" s="22">
        <v>-5.8207660913467407E-11</v>
      </c>
      <c r="O26" s="9" t="s">
        <v>158</v>
      </c>
      <c r="P26" s="9"/>
      <c r="Q26" s="34">
        <f>IFERROR(INDEX(Positions!$L$7:$L$173,MATCH(B26,Positions!$B$7:$B$173,0)),"")</f>
        <v>104.85314502784379</v>
      </c>
      <c r="R26" s="9" t="str">
        <f t="shared" si="0"/>
        <v/>
      </c>
      <c r="S26" s="9" t="str">
        <f t="shared" si="1"/>
        <v/>
      </c>
      <c r="T26" s="9" t="str">
        <f t="shared" si="2"/>
        <v/>
      </c>
      <c r="U26" s="9" t="str">
        <f t="shared" si="3"/>
        <v/>
      </c>
      <c r="V26" s="9" t="str">
        <f t="shared" si="4"/>
        <v/>
      </c>
      <c r="W26" s="9" t="str">
        <f t="shared" si="5"/>
        <v/>
      </c>
      <c r="X26" s="34" t="str">
        <f>IF(W26="","",COUNTIF($W$7:W26,"?*"))</f>
        <v/>
      </c>
    </row>
    <row r="27" spans="2:24" x14ac:dyDescent="0.2">
      <c r="B27" s="9" t="s">
        <v>165</v>
      </c>
      <c r="C27" s="9" t="s">
        <v>166</v>
      </c>
      <c r="D27" s="9" t="s">
        <v>167</v>
      </c>
      <c r="E27" s="19">
        <v>47862</v>
      </c>
      <c r="F27" s="20">
        <v>3.75</v>
      </c>
      <c r="G27" s="13">
        <v>9000000</v>
      </c>
      <c r="H27" s="21">
        <v>100.968</v>
      </c>
      <c r="I27" s="22">
        <v>156267.12</v>
      </c>
      <c r="J27" s="22">
        <v>9243387.1199999992</v>
      </c>
      <c r="K27" s="19">
        <v>45838</v>
      </c>
      <c r="L27" s="34">
        <v>3</v>
      </c>
      <c r="M27" s="9" t="s">
        <v>681</v>
      </c>
      <c r="N27" s="22">
        <v>-8.149072527885437E-10</v>
      </c>
      <c r="O27" s="9" t="s">
        <v>158</v>
      </c>
      <c r="P27" s="9"/>
      <c r="Q27" s="34">
        <f>IFERROR(INDEX(Positions!$L$7:$L$173,MATCH(B27,Positions!$B$7:$B$173,0)),"")</f>
        <v>129.20310036735759</v>
      </c>
      <c r="R27" s="9" t="str">
        <f t="shared" si="0"/>
        <v/>
      </c>
      <c r="S27" s="9" t="str">
        <f t="shared" si="1"/>
        <v/>
      </c>
      <c r="T27" s="9" t="str">
        <f t="shared" si="2"/>
        <v/>
      </c>
      <c r="U27" s="9" t="str">
        <f t="shared" si="3"/>
        <v/>
      </c>
      <c r="V27" s="9" t="str">
        <f t="shared" si="4"/>
        <v/>
      </c>
      <c r="W27" s="9" t="str">
        <f t="shared" si="5"/>
        <v/>
      </c>
      <c r="X27" s="34" t="str">
        <f>IF(W27="","",COUNTIF($W$7:W27,"?*"))</f>
        <v/>
      </c>
    </row>
    <row r="28" spans="2:24" x14ac:dyDescent="0.2">
      <c r="B28" s="9" t="s">
        <v>168</v>
      </c>
      <c r="C28" s="9" t="s">
        <v>169</v>
      </c>
      <c r="D28" s="9" t="s">
        <v>167</v>
      </c>
      <c r="E28" s="19">
        <v>46889</v>
      </c>
      <c r="F28" s="20">
        <v>4.25</v>
      </c>
      <c r="G28" s="13">
        <v>10000000</v>
      </c>
      <c r="H28" s="21">
        <v>103.8275</v>
      </c>
      <c r="I28" s="22">
        <v>54726.03</v>
      </c>
      <c r="J28" s="22">
        <v>10437476.029999999</v>
      </c>
      <c r="K28" s="19">
        <v>45838</v>
      </c>
      <c r="L28" s="34">
        <v>3</v>
      </c>
      <c r="M28" s="9" t="s">
        <v>681</v>
      </c>
      <c r="N28" s="22">
        <v>-6.6938810050487518E-10</v>
      </c>
      <c r="O28" s="9" t="s">
        <v>158</v>
      </c>
      <c r="P28" s="9"/>
      <c r="Q28" s="34">
        <f>IFERROR(INDEX(Positions!$L$7:$L$173,MATCH(B28,Positions!$B$7:$B$173,0)),"")</f>
        <v>86.242179188190065</v>
      </c>
      <c r="R28" s="9" t="str">
        <f t="shared" si="0"/>
        <v/>
      </c>
      <c r="S28" s="9" t="str">
        <f t="shared" si="1"/>
        <v/>
      </c>
      <c r="T28" s="9" t="str">
        <f t="shared" si="2"/>
        <v/>
      </c>
      <c r="U28" s="9" t="str">
        <f t="shared" si="3"/>
        <v/>
      </c>
      <c r="V28" s="9" t="str">
        <f t="shared" si="4"/>
        <v/>
      </c>
      <c r="W28" s="9" t="str">
        <f t="shared" si="5"/>
        <v/>
      </c>
      <c r="X28" s="34" t="str">
        <f>IF(W28="","",COUNTIF($W$7:W28,"?*"))</f>
        <v/>
      </c>
    </row>
    <row r="29" spans="2:24" x14ac:dyDescent="0.2">
      <c r="B29" s="9" t="s">
        <v>170</v>
      </c>
      <c r="C29" s="9" t="s">
        <v>171</v>
      </c>
      <c r="D29" s="9" t="s">
        <v>172</v>
      </c>
      <c r="E29" s="19">
        <v>47240</v>
      </c>
      <c r="F29" s="20">
        <v>4.75</v>
      </c>
      <c r="G29" s="13">
        <v>14800000</v>
      </c>
      <c r="H29" s="21">
        <v>105.7135</v>
      </c>
      <c r="I29" s="22">
        <v>117487.67</v>
      </c>
      <c r="J29" s="22">
        <v>15763085.67</v>
      </c>
      <c r="K29" s="19">
        <v>45838</v>
      </c>
      <c r="L29" s="34">
        <v>3</v>
      </c>
      <c r="M29" s="9" t="s">
        <v>681</v>
      </c>
      <c r="N29" s="22">
        <v>-7.2759576141834259E-11</v>
      </c>
      <c r="O29" s="9" t="s">
        <v>158</v>
      </c>
      <c r="P29" s="9"/>
      <c r="Q29" s="34">
        <f>IFERROR(INDEX(Positions!$L$7:$L$173,MATCH(B29,Positions!$B$7:$B$173,0)),"")</f>
        <v>106.24468887203049</v>
      </c>
      <c r="R29" s="9" t="str">
        <f t="shared" si="0"/>
        <v/>
      </c>
      <c r="S29" s="9" t="str">
        <f t="shared" si="1"/>
        <v/>
      </c>
      <c r="T29" s="9" t="str">
        <f t="shared" si="2"/>
        <v/>
      </c>
      <c r="U29" s="9" t="str">
        <f t="shared" si="3"/>
        <v/>
      </c>
      <c r="V29" s="9" t="str">
        <f t="shared" si="4"/>
        <v/>
      </c>
      <c r="W29" s="9" t="str">
        <f t="shared" si="5"/>
        <v/>
      </c>
      <c r="X29" s="34" t="str">
        <f>IF(W29="","",COUNTIF($W$7:W29,"?*"))</f>
        <v/>
      </c>
    </row>
    <row r="30" spans="2:24" x14ac:dyDescent="0.2">
      <c r="B30" s="9" t="s">
        <v>173</v>
      </c>
      <c r="C30" s="9" t="s">
        <v>174</v>
      </c>
      <c r="D30" s="9" t="s">
        <v>172</v>
      </c>
      <c r="E30" s="19">
        <v>46958</v>
      </c>
      <c r="F30" s="20">
        <v>4.5</v>
      </c>
      <c r="G30" s="13">
        <v>4400000</v>
      </c>
      <c r="H30" s="21">
        <v>103.35550000000001</v>
      </c>
      <c r="I30" s="22">
        <v>186065.75</v>
      </c>
      <c r="J30" s="22">
        <v>4733707.75</v>
      </c>
      <c r="K30" s="19">
        <v>45838</v>
      </c>
      <c r="L30" s="34">
        <v>3</v>
      </c>
      <c r="M30" s="9" t="s">
        <v>681</v>
      </c>
      <c r="N30" s="22">
        <v>0</v>
      </c>
      <c r="O30" s="9" t="s">
        <v>158</v>
      </c>
      <c r="P30" s="9"/>
      <c r="Q30" s="34">
        <f>IFERROR(INDEX(Positions!$L$7:$L$173,MATCH(B30,Positions!$B$7:$B$173,0)),"")</f>
        <v>131.54107053606819</v>
      </c>
      <c r="R30" s="9" t="str">
        <f t="shared" si="0"/>
        <v/>
      </c>
      <c r="S30" s="9" t="str">
        <f t="shared" si="1"/>
        <v/>
      </c>
      <c r="T30" s="9" t="str">
        <f t="shared" si="2"/>
        <v/>
      </c>
      <c r="U30" s="9" t="str">
        <f t="shared" si="3"/>
        <v/>
      </c>
      <c r="V30" s="9" t="str">
        <f t="shared" si="4"/>
        <v/>
      </c>
      <c r="W30" s="9" t="str">
        <f t="shared" si="5"/>
        <v/>
      </c>
      <c r="X30" s="34" t="str">
        <f>IF(W30="","",COUNTIF($W$7:W30,"?*"))</f>
        <v/>
      </c>
    </row>
    <row r="31" spans="2:24" x14ac:dyDescent="0.2">
      <c r="B31" s="9" t="s">
        <v>175</v>
      </c>
      <c r="C31" s="9" t="s">
        <v>176</v>
      </c>
      <c r="D31" s="9" t="s">
        <v>172</v>
      </c>
      <c r="E31" s="19">
        <v>46829</v>
      </c>
      <c r="F31" s="20">
        <v>3.5</v>
      </c>
      <c r="G31" s="13">
        <v>15000000</v>
      </c>
      <c r="H31" s="21">
        <v>101.711</v>
      </c>
      <c r="I31" s="22">
        <v>153904.10999999999</v>
      </c>
      <c r="J31" s="22">
        <v>15410554.109999999</v>
      </c>
      <c r="K31" s="19">
        <v>45838</v>
      </c>
      <c r="L31" s="34">
        <v>3</v>
      </c>
      <c r="M31" s="9" t="s">
        <v>681</v>
      </c>
      <c r="N31" s="22">
        <v>-5.8207660913467407E-10</v>
      </c>
      <c r="O31" s="9" t="s">
        <v>158</v>
      </c>
      <c r="P31" s="9"/>
      <c r="Q31" s="34">
        <f>IFERROR(INDEX(Positions!$L$7:$L$173,MATCH(B31,Positions!$B$7:$B$173,0)),"")</f>
        <v>86.794963993073182</v>
      </c>
      <c r="R31" s="9" t="str">
        <f t="shared" si="0"/>
        <v/>
      </c>
      <c r="S31" s="9" t="str">
        <f t="shared" si="1"/>
        <v/>
      </c>
      <c r="T31" s="9" t="str">
        <f t="shared" si="2"/>
        <v/>
      </c>
      <c r="U31" s="9" t="str">
        <f t="shared" si="3"/>
        <v/>
      </c>
      <c r="V31" s="9" t="str">
        <f t="shared" si="4"/>
        <v/>
      </c>
      <c r="W31" s="9" t="str">
        <f t="shared" si="5"/>
        <v/>
      </c>
      <c r="X31" s="34" t="str">
        <f>IF(W31="","",COUNTIF($W$7:W31,"?*"))</f>
        <v/>
      </c>
    </row>
    <row r="32" spans="2:24" x14ac:dyDescent="0.2">
      <c r="B32" s="9" t="s">
        <v>177</v>
      </c>
      <c r="C32" s="9" t="s">
        <v>178</v>
      </c>
      <c r="D32" s="9" t="s">
        <v>179</v>
      </c>
      <c r="E32" s="19">
        <v>47057</v>
      </c>
      <c r="F32" s="20">
        <v>7.125</v>
      </c>
      <c r="G32" s="13">
        <v>16400000</v>
      </c>
      <c r="H32" s="21">
        <v>106.867</v>
      </c>
      <c r="I32" s="22">
        <v>781134.25</v>
      </c>
      <c r="J32" s="22">
        <v>18307322.25</v>
      </c>
      <c r="K32" s="19">
        <v>45838</v>
      </c>
      <c r="L32" s="34">
        <v>4</v>
      </c>
      <c r="M32" s="9" t="s">
        <v>681</v>
      </c>
      <c r="N32" s="22">
        <v>0</v>
      </c>
      <c r="O32" s="9" t="s">
        <v>158</v>
      </c>
      <c r="P32" s="9"/>
      <c r="Q32" s="34">
        <f>IFERROR(INDEX(Positions!$L$7:$L$173,MATCH(B32,Positions!$B$7:$B$173,0)),"")</f>
        <v>273.54105439449711</v>
      </c>
      <c r="R32" s="9" t="str">
        <f t="shared" si="0"/>
        <v/>
      </c>
      <c r="S32" s="9" t="str">
        <f t="shared" si="1"/>
        <v/>
      </c>
      <c r="T32" s="9" t="str">
        <f t="shared" si="2"/>
        <v/>
      </c>
      <c r="U32" s="9" t="str">
        <f t="shared" si="3"/>
        <v/>
      </c>
      <c r="V32" s="9" t="str">
        <f t="shared" si="4"/>
        <v/>
      </c>
      <c r="W32" s="9" t="str">
        <f t="shared" si="5"/>
        <v/>
      </c>
      <c r="X32" s="34" t="str">
        <f>IF(W32="","",COUNTIF($W$7:W32,"?*"))</f>
        <v/>
      </c>
    </row>
    <row r="33" spans="2:24" x14ac:dyDescent="0.2">
      <c r="B33" s="9" t="s">
        <v>180</v>
      </c>
      <c r="C33" s="9" t="s">
        <v>181</v>
      </c>
      <c r="D33" s="9" t="s">
        <v>182</v>
      </c>
      <c r="E33" s="19">
        <v>47137</v>
      </c>
      <c r="F33" s="20">
        <v>4.625</v>
      </c>
      <c r="G33" s="13">
        <v>28100000</v>
      </c>
      <c r="H33" s="21">
        <v>105.6865</v>
      </c>
      <c r="I33" s="22">
        <v>583941.1</v>
      </c>
      <c r="J33" s="22">
        <v>30281847.600000001</v>
      </c>
      <c r="K33" s="19">
        <v>45838</v>
      </c>
      <c r="L33" s="34">
        <v>4</v>
      </c>
      <c r="M33" s="9" t="s">
        <v>681</v>
      </c>
      <c r="N33" s="22">
        <v>1.513399183750153E-9</v>
      </c>
      <c r="O33" s="9" t="s">
        <v>158</v>
      </c>
      <c r="P33" s="9"/>
      <c r="Q33" s="34">
        <f>IFERROR(INDEX(Positions!$L$7:$L$173,MATCH(B33,Positions!$B$7:$B$173,0)),"")</f>
        <v>86.591106476178496</v>
      </c>
      <c r="R33" s="9" t="str">
        <f t="shared" si="0"/>
        <v/>
      </c>
      <c r="S33" s="9" t="str">
        <f t="shared" si="1"/>
        <v/>
      </c>
      <c r="T33" s="9" t="str">
        <f t="shared" si="2"/>
        <v/>
      </c>
      <c r="U33" s="9" t="str">
        <f t="shared" si="3"/>
        <v/>
      </c>
      <c r="V33" s="9" t="str">
        <f t="shared" si="4"/>
        <v/>
      </c>
      <c r="W33" s="9" t="str">
        <f t="shared" si="5"/>
        <v/>
      </c>
      <c r="X33" s="34" t="str">
        <f>IF(W33="","",COUNTIF($W$7:W33,"?*"))</f>
        <v/>
      </c>
    </row>
    <row r="34" spans="2:24" x14ac:dyDescent="0.2">
      <c r="B34" s="9" t="s">
        <v>183</v>
      </c>
      <c r="C34" s="9" t="s">
        <v>184</v>
      </c>
      <c r="D34" s="9" t="s">
        <v>185</v>
      </c>
      <c r="E34" s="19">
        <v>48699</v>
      </c>
      <c r="F34" s="20">
        <v>3.9</v>
      </c>
      <c r="G34" s="13">
        <v>20000000</v>
      </c>
      <c r="H34" s="21">
        <v>104.0715</v>
      </c>
      <c r="I34" s="22">
        <v>134630.14000000001</v>
      </c>
      <c r="J34" s="22">
        <v>20948930.140000001</v>
      </c>
      <c r="K34" s="19">
        <v>45838</v>
      </c>
      <c r="L34" s="34">
        <v>4</v>
      </c>
      <c r="M34" s="9" t="s">
        <v>681</v>
      </c>
      <c r="N34" s="22">
        <v>5.8207660913467407E-10</v>
      </c>
      <c r="O34" s="9" t="s">
        <v>158</v>
      </c>
      <c r="P34" s="9"/>
      <c r="Q34" s="34">
        <f>IFERROR(INDEX(Positions!$L$7:$L$173,MATCH(B34,Positions!$B$7:$B$173,0)),"")</f>
        <v>83.077207598025765</v>
      </c>
      <c r="R34" s="9" t="str">
        <f t="shared" si="0"/>
        <v/>
      </c>
      <c r="S34" s="9" t="str">
        <f t="shared" si="1"/>
        <v/>
      </c>
      <c r="T34" s="9" t="str">
        <f t="shared" si="2"/>
        <v/>
      </c>
      <c r="U34" s="9" t="str">
        <f t="shared" si="3"/>
        <v/>
      </c>
      <c r="V34" s="9" t="str">
        <f t="shared" si="4"/>
        <v/>
      </c>
      <c r="W34" s="9" t="str">
        <f t="shared" si="5"/>
        <v/>
      </c>
      <c r="X34" s="34" t="str">
        <f>IF(W34="","",COUNTIF($W$7:W34,"?*"))</f>
        <v/>
      </c>
    </row>
    <row r="35" spans="2:24" x14ac:dyDescent="0.2">
      <c r="B35" s="9" t="s">
        <v>683</v>
      </c>
      <c r="C35" s="9" t="s">
        <v>684</v>
      </c>
      <c r="D35" s="9" t="s">
        <v>685</v>
      </c>
      <c r="E35" s="19">
        <v>43796</v>
      </c>
      <c r="F35" s="20">
        <v>5</v>
      </c>
      <c r="G35" s="13">
        <v>1800000</v>
      </c>
      <c r="H35" s="21">
        <v>0</v>
      </c>
      <c r="I35" s="22">
        <v>0</v>
      </c>
      <c r="J35" s="22">
        <v>0</v>
      </c>
      <c r="K35" s="19">
        <v>43815</v>
      </c>
      <c r="L35" s="34">
        <v>4</v>
      </c>
      <c r="M35" s="9" t="s">
        <v>681</v>
      </c>
      <c r="N35" s="22">
        <v>0</v>
      </c>
      <c r="O35" s="9" t="s">
        <v>109</v>
      </c>
      <c r="P35" s="9" t="s">
        <v>686</v>
      </c>
      <c r="Q35" s="34" t="str">
        <f>IFERROR(INDEX(Positions!$L$7:$L$173,MATCH(B35,Positions!$B$7:$B$173,0)),"")</f>
        <v/>
      </c>
      <c r="R35" s="9" t="str">
        <f t="shared" si="0"/>
        <v>OUI</v>
      </c>
      <c r="S35" s="9" t="str">
        <f t="shared" si="1"/>
        <v>OUI</v>
      </c>
      <c r="T35" s="9" t="str">
        <f t="shared" si="2"/>
        <v>OUI</v>
      </c>
      <c r="U35" s="9" t="str">
        <f t="shared" si="3"/>
        <v/>
      </c>
      <c r="V35" s="9" t="str">
        <f t="shared" si="4"/>
        <v/>
      </c>
      <c r="W35" s="9" t="str">
        <f t="shared" si="5"/>
        <v>À instruire</v>
      </c>
      <c r="X35" s="34">
        <f>IF(W35="","",COUNTIF($W$7:W35,"?*"))</f>
        <v>1</v>
      </c>
    </row>
    <row r="36" spans="2:24" x14ac:dyDescent="0.2">
      <c r="B36" s="9" t="s">
        <v>186</v>
      </c>
      <c r="C36" s="9" t="s">
        <v>187</v>
      </c>
      <c r="D36" s="9" t="s">
        <v>188</v>
      </c>
      <c r="E36" s="19">
        <v>46364</v>
      </c>
      <c r="F36" s="20">
        <v>5.375</v>
      </c>
      <c r="G36" s="13">
        <v>10700000</v>
      </c>
      <c r="H36" s="21">
        <v>102.788</v>
      </c>
      <c r="I36" s="22">
        <v>324591.09999999998</v>
      </c>
      <c r="J36" s="22">
        <v>11322907.1</v>
      </c>
      <c r="K36" s="19">
        <v>45838</v>
      </c>
      <c r="L36" s="34">
        <v>4</v>
      </c>
      <c r="M36" s="9" t="s">
        <v>681</v>
      </c>
      <c r="N36" s="22">
        <v>-3.4924596548080439E-10</v>
      </c>
      <c r="O36" s="9" t="s">
        <v>158</v>
      </c>
      <c r="P36" s="9"/>
      <c r="Q36" s="34">
        <f>IFERROR(INDEX(Positions!$L$7:$L$173,MATCH(B36,Positions!$B$7:$B$173,0)),"")</f>
        <v>142.80038337123531</v>
      </c>
      <c r="R36" s="9" t="str">
        <f t="shared" si="0"/>
        <v/>
      </c>
      <c r="S36" s="9" t="str">
        <f t="shared" si="1"/>
        <v/>
      </c>
      <c r="T36" s="9" t="str">
        <f t="shared" si="2"/>
        <v/>
      </c>
      <c r="U36" s="9" t="str">
        <f t="shared" si="3"/>
        <v/>
      </c>
      <c r="V36" s="9" t="str">
        <f t="shared" si="4"/>
        <v/>
      </c>
      <c r="W36" s="9" t="str">
        <f t="shared" si="5"/>
        <v/>
      </c>
      <c r="X36" s="34" t="str">
        <f>IF(W36="","",COUNTIF($W$7:W36,"?*"))</f>
        <v/>
      </c>
    </row>
    <row r="37" spans="2:24" x14ac:dyDescent="0.2">
      <c r="B37" s="9" t="s">
        <v>189</v>
      </c>
      <c r="C37" s="9" t="s">
        <v>190</v>
      </c>
      <c r="D37" s="9" t="s">
        <v>191</v>
      </c>
      <c r="E37" s="19">
        <v>46410</v>
      </c>
      <c r="F37" s="20">
        <v>6</v>
      </c>
      <c r="G37" s="13">
        <v>8700000</v>
      </c>
      <c r="H37" s="21">
        <v>104.95350000000001</v>
      </c>
      <c r="I37" s="22">
        <v>228821.92</v>
      </c>
      <c r="J37" s="22">
        <v>9359776.4199999999</v>
      </c>
      <c r="K37" s="19">
        <v>45838</v>
      </c>
      <c r="L37" s="34">
        <v>4</v>
      </c>
      <c r="M37" s="9" t="s">
        <v>681</v>
      </c>
      <c r="N37" s="22">
        <v>-8.7311491370201111E-11</v>
      </c>
      <c r="O37" s="9" t="s">
        <v>158</v>
      </c>
      <c r="P37" s="9"/>
      <c r="Q37" s="34">
        <f>IFERROR(INDEX(Positions!$L$7:$L$173,MATCH(B37,Positions!$B$7:$B$173,0)),"")</f>
        <v>81.612174944488061</v>
      </c>
      <c r="R37" s="9" t="str">
        <f t="shared" si="0"/>
        <v/>
      </c>
      <c r="S37" s="9" t="str">
        <f t="shared" si="1"/>
        <v/>
      </c>
      <c r="T37" s="9" t="str">
        <f t="shared" si="2"/>
        <v/>
      </c>
      <c r="U37" s="9" t="str">
        <f t="shared" si="3"/>
        <v/>
      </c>
      <c r="V37" s="9" t="str">
        <f t="shared" si="4"/>
        <v/>
      </c>
      <c r="W37" s="9" t="str">
        <f t="shared" si="5"/>
        <v/>
      </c>
      <c r="X37" s="34" t="str">
        <f>IF(W37="","",COUNTIF($W$7:W37,"?*"))</f>
        <v/>
      </c>
    </row>
    <row r="38" spans="2:24" x14ac:dyDescent="0.2">
      <c r="B38" s="9" t="s">
        <v>192</v>
      </c>
      <c r="C38" s="9" t="s">
        <v>193</v>
      </c>
      <c r="D38" s="9" t="s">
        <v>194</v>
      </c>
      <c r="E38" s="19">
        <v>47301</v>
      </c>
      <c r="F38" s="20">
        <v>1.625</v>
      </c>
      <c r="G38" s="13">
        <v>8000000</v>
      </c>
      <c r="H38" s="21">
        <v>94.48</v>
      </c>
      <c r="I38" s="22">
        <v>0</v>
      </c>
      <c r="J38" s="22">
        <v>7558400</v>
      </c>
      <c r="K38" s="19">
        <v>45838</v>
      </c>
      <c r="L38" s="34">
        <v>4</v>
      </c>
      <c r="M38" s="9" t="s">
        <v>681</v>
      </c>
      <c r="N38" s="22">
        <v>0</v>
      </c>
      <c r="O38" s="9" t="s">
        <v>158</v>
      </c>
      <c r="P38" s="9"/>
      <c r="Q38" s="34">
        <f>IFERROR(INDEX(Positions!$L$7:$L$173,MATCH(B38,Positions!$B$7:$B$173,0)),"")</f>
        <v>145.7342634893061</v>
      </c>
      <c r="R38" s="9" t="str">
        <f t="shared" si="0"/>
        <v/>
      </c>
      <c r="S38" s="9" t="str">
        <f t="shared" si="1"/>
        <v/>
      </c>
      <c r="T38" s="9" t="str">
        <f t="shared" si="2"/>
        <v/>
      </c>
      <c r="U38" s="9" t="str">
        <f t="shared" si="3"/>
        <v/>
      </c>
      <c r="V38" s="9" t="str">
        <f t="shared" si="4"/>
        <v/>
      </c>
      <c r="W38" s="9" t="str">
        <f t="shared" si="5"/>
        <v/>
      </c>
      <c r="X38" s="34" t="str">
        <f>IF(W38="","",COUNTIF($W$7:W38,"?*"))</f>
        <v/>
      </c>
    </row>
    <row r="39" spans="2:24" x14ac:dyDescent="0.2">
      <c r="B39" s="9" t="s">
        <v>195</v>
      </c>
      <c r="C39" s="9" t="s">
        <v>196</v>
      </c>
      <c r="D39" s="9" t="s">
        <v>197</v>
      </c>
      <c r="E39" s="19">
        <v>46769</v>
      </c>
      <c r="F39" s="20">
        <v>1.875</v>
      </c>
      <c r="G39" s="13">
        <v>12600000</v>
      </c>
      <c r="H39" s="21">
        <v>96.507999999999996</v>
      </c>
      <c r="I39" s="22">
        <v>107445.21</v>
      </c>
      <c r="J39" s="22">
        <v>12267453.210000001</v>
      </c>
      <c r="K39" s="19">
        <v>45838</v>
      </c>
      <c r="L39" s="34">
        <v>4</v>
      </c>
      <c r="M39" s="9" t="s">
        <v>681</v>
      </c>
      <c r="N39" s="22">
        <v>8.8766682893037796E-10</v>
      </c>
      <c r="O39" s="9" t="s">
        <v>158</v>
      </c>
      <c r="P39" s="9"/>
      <c r="Q39" s="34">
        <f>IFERROR(INDEX(Positions!$L$7:$L$173,MATCH(B39,Positions!$B$7:$B$173,0)),"")</f>
        <v>136.5405340880215</v>
      </c>
      <c r="R39" s="9" t="str">
        <f t="shared" ref="R39:R70" si="6">IF(E39&lt;=RL_Date,"OUI","")</f>
        <v/>
      </c>
      <c r="S39" s="9" t="str">
        <f t="shared" ref="S39:S70" si="7">IF(OR(H39&lt;=0,J39&lt;=0),"OUI","")</f>
        <v/>
      </c>
      <c r="T39" s="9" t="str">
        <f t="shared" ref="T39:T70" si="8">IF(RL_Date-K39&gt;RL_Age_Prix,"OUI","")</f>
        <v/>
      </c>
      <c r="U39" s="9" t="str">
        <f t="shared" ref="U39:U70" si="9">IF(AND(ISNUMBER(Q39),Q39&gt;RL_Spread_Revue),"OUI","")</f>
        <v/>
      </c>
      <c r="V39" s="9" t="str">
        <f t="shared" ref="V39:V70" si="10">IF(ABS(N39)&gt;0.02,"OUI","")</f>
        <v/>
      </c>
      <c r="W39" s="9" t="str">
        <f t="shared" ref="W39:W70" si="11">IF(OR(R39="OUI",S39="OUI",T39="OUI",V39="OUI"),"À instruire",IF(U39="OUI","À examiner",""))</f>
        <v/>
      </c>
      <c r="X39" s="34" t="str">
        <f>IF(W39="","",COUNTIF($W$7:W39,"?*"))</f>
        <v/>
      </c>
    </row>
    <row r="40" spans="2:24" x14ac:dyDescent="0.2">
      <c r="B40" s="9" t="s">
        <v>198</v>
      </c>
      <c r="C40" s="9" t="s">
        <v>199</v>
      </c>
      <c r="D40" s="9" t="s">
        <v>200</v>
      </c>
      <c r="E40" s="19">
        <v>47415</v>
      </c>
      <c r="F40" s="20">
        <v>4</v>
      </c>
      <c r="G40" s="13">
        <v>200000</v>
      </c>
      <c r="H40" s="21">
        <v>99.760999999999996</v>
      </c>
      <c r="I40" s="22">
        <v>5501.37</v>
      </c>
      <c r="J40" s="22">
        <v>205023.37</v>
      </c>
      <c r="K40" s="19">
        <v>45838</v>
      </c>
      <c r="L40" s="34">
        <v>4</v>
      </c>
      <c r="M40" s="9" t="s">
        <v>681</v>
      </c>
      <c r="N40" s="22">
        <v>-4.5474735088646412E-12</v>
      </c>
      <c r="O40" s="9" t="s">
        <v>158</v>
      </c>
      <c r="P40" s="9"/>
      <c r="Q40" s="34">
        <f>IFERROR(INDEX(Positions!$L$7:$L$173,MATCH(B40,Positions!$B$7:$B$173,0)),"")</f>
        <v>189.75706850047121</v>
      </c>
      <c r="R40" s="9" t="str">
        <f t="shared" si="6"/>
        <v/>
      </c>
      <c r="S40" s="9" t="str">
        <f t="shared" si="7"/>
        <v/>
      </c>
      <c r="T40" s="9" t="str">
        <f t="shared" si="8"/>
        <v/>
      </c>
      <c r="U40" s="9" t="str">
        <f t="shared" si="9"/>
        <v/>
      </c>
      <c r="V40" s="9" t="str">
        <f t="shared" si="10"/>
        <v/>
      </c>
      <c r="W40" s="9" t="str">
        <f t="shared" si="11"/>
        <v/>
      </c>
      <c r="X40" s="34" t="str">
        <f>IF(W40="","",COUNTIF($W$7:W40,"?*"))</f>
        <v/>
      </c>
    </row>
    <row r="41" spans="2:24" x14ac:dyDescent="0.2">
      <c r="B41" s="9" t="s">
        <v>201</v>
      </c>
      <c r="C41" s="9" t="s">
        <v>202</v>
      </c>
      <c r="D41" s="9" t="s">
        <v>203</v>
      </c>
      <c r="E41" s="19">
        <v>48022</v>
      </c>
      <c r="F41" s="20">
        <v>2.125</v>
      </c>
      <c r="G41" s="13">
        <v>6300000</v>
      </c>
      <c r="H41" s="21">
        <v>92.840999999999994</v>
      </c>
      <c r="I41" s="22">
        <v>3301.02</v>
      </c>
      <c r="J41" s="22">
        <v>5852284.0199999996</v>
      </c>
      <c r="K41" s="19">
        <v>45838</v>
      </c>
      <c r="L41" s="34">
        <v>4</v>
      </c>
      <c r="M41" s="9" t="s">
        <v>687</v>
      </c>
      <c r="N41" s="22">
        <v>-4.4701664592139418E-10</v>
      </c>
      <c r="O41" s="9" t="s">
        <v>158</v>
      </c>
      <c r="P41" s="9"/>
      <c r="Q41" s="34">
        <f>IFERROR(INDEX(Positions!$L$7:$L$173,MATCH(B41,Positions!$B$7:$B$173,0)),"")</f>
        <v>116.5009250437902</v>
      </c>
      <c r="R41" s="9" t="str">
        <f t="shared" si="6"/>
        <v/>
      </c>
      <c r="S41" s="9" t="str">
        <f t="shared" si="7"/>
        <v/>
      </c>
      <c r="T41" s="9" t="str">
        <f t="shared" si="8"/>
        <v/>
      </c>
      <c r="U41" s="9" t="str">
        <f t="shared" si="9"/>
        <v/>
      </c>
      <c r="V41" s="9" t="str">
        <f t="shared" si="10"/>
        <v/>
      </c>
      <c r="W41" s="9" t="str">
        <f t="shared" si="11"/>
        <v/>
      </c>
      <c r="X41" s="34" t="str">
        <f>IF(W41="","",COUNTIF($W$7:W41,"?*"))</f>
        <v/>
      </c>
    </row>
    <row r="42" spans="2:24" x14ac:dyDescent="0.2">
      <c r="B42" s="9" t="s">
        <v>204</v>
      </c>
      <c r="C42" s="9" t="s">
        <v>205</v>
      </c>
      <c r="D42" s="9" t="s">
        <v>206</v>
      </c>
      <c r="E42" s="19">
        <v>47681</v>
      </c>
      <c r="F42" s="20">
        <v>2</v>
      </c>
      <c r="G42" s="13">
        <v>14000000</v>
      </c>
      <c r="H42" s="21">
        <v>93.531499999999994</v>
      </c>
      <c r="I42" s="22">
        <v>268493.15000000002</v>
      </c>
      <c r="J42" s="22">
        <v>13362903.15</v>
      </c>
      <c r="K42" s="19">
        <v>45838</v>
      </c>
      <c r="L42" s="34">
        <v>4</v>
      </c>
      <c r="M42" s="9" t="s">
        <v>681</v>
      </c>
      <c r="N42" s="22">
        <v>3.4924596548080439E-10</v>
      </c>
      <c r="O42" s="9" t="s">
        <v>158</v>
      </c>
      <c r="P42" s="9"/>
      <c r="Q42" s="34">
        <f>IFERROR(INDEX(Positions!$L$7:$L$173,MATCH(B42,Positions!$B$7:$B$173,0)),"")</f>
        <v>120.5313774837702</v>
      </c>
      <c r="R42" s="9" t="str">
        <f t="shared" si="6"/>
        <v/>
      </c>
      <c r="S42" s="9" t="str">
        <f t="shared" si="7"/>
        <v/>
      </c>
      <c r="T42" s="9" t="str">
        <f t="shared" si="8"/>
        <v/>
      </c>
      <c r="U42" s="9" t="str">
        <f t="shared" si="9"/>
        <v/>
      </c>
      <c r="V42" s="9" t="str">
        <f t="shared" si="10"/>
        <v/>
      </c>
      <c r="W42" s="9" t="str">
        <f t="shared" si="11"/>
        <v/>
      </c>
      <c r="X42" s="34" t="str">
        <f>IF(W42="","",COUNTIF($W$7:W42,"?*"))</f>
        <v/>
      </c>
    </row>
    <row r="43" spans="2:24" x14ac:dyDescent="0.2">
      <c r="B43" s="9" t="s">
        <v>207</v>
      </c>
      <c r="C43" s="9" t="s">
        <v>208</v>
      </c>
      <c r="D43" s="9" t="s">
        <v>209</v>
      </c>
      <c r="E43" s="19">
        <v>46953</v>
      </c>
      <c r="F43" s="20">
        <v>0.25</v>
      </c>
      <c r="G43" s="13">
        <v>15000000</v>
      </c>
      <c r="H43" s="21">
        <v>92.91</v>
      </c>
      <c r="I43" s="22">
        <v>35753.42</v>
      </c>
      <c r="J43" s="22">
        <v>13972253.42</v>
      </c>
      <c r="K43" s="19">
        <v>45838</v>
      </c>
      <c r="L43" s="34">
        <v>4</v>
      </c>
      <c r="M43" s="9" t="s">
        <v>681</v>
      </c>
      <c r="N43" s="22">
        <v>-7.2759576141834259E-11</v>
      </c>
      <c r="O43" s="9" t="s">
        <v>158</v>
      </c>
      <c r="P43" s="9"/>
      <c r="Q43" s="34">
        <f>IFERROR(INDEX(Positions!$L$7:$L$173,MATCH(B43,Positions!$B$7:$B$173,0)),"")</f>
        <v>71.060844565653625</v>
      </c>
      <c r="R43" s="9" t="str">
        <f t="shared" si="6"/>
        <v/>
      </c>
      <c r="S43" s="9" t="str">
        <f t="shared" si="7"/>
        <v/>
      </c>
      <c r="T43" s="9" t="str">
        <f t="shared" si="8"/>
        <v/>
      </c>
      <c r="U43" s="9" t="str">
        <f t="shared" si="9"/>
        <v/>
      </c>
      <c r="V43" s="9" t="str">
        <f t="shared" si="10"/>
        <v/>
      </c>
      <c r="W43" s="9" t="str">
        <f t="shared" si="11"/>
        <v/>
      </c>
      <c r="X43" s="34" t="str">
        <f>IF(W43="","",COUNTIF($W$7:W43,"?*"))</f>
        <v/>
      </c>
    </row>
    <row r="44" spans="2:24" x14ac:dyDescent="0.2">
      <c r="B44" s="9" t="s">
        <v>210</v>
      </c>
      <c r="C44" s="9" t="s">
        <v>211</v>
      </c>
      <c r="D44" s="9" t="s">
        <v>212</v>
      </c>
      <c r="E44" s="19">
        <v>47326</v>
      </c>
      <c r="F44" s="20">
        <v>1</v>
      </c>
      <c r="G44" s="13">
        <v>3600000</v>
      </c>
      <c r="H44" s="21">
        <v>91.560500000000005</v>
      </c>
      <c r="I44" s="22">
        <v>33534.25</v>
      </c>
      <c r="J44" s="22">
        <v>3329712.25</v>
      </c>
      <c r="K44" s="19">
        <v>45838</v>
      </c>
      <c r="L44" s="34">
        <v>4</v>
      </c>
      <c r="M44" s="9" t="s">
        <v>681</v>
      </c>
      <c r="N44" s="22">
        <v>0</v>
      </c>
      <c r="O44" s="9" t="s">
        <v>158</v>
      </c>
      <c r="P44" s="9"/>
      <c r="Q44" s="34">
        <f>IFERROR(INDEX(Positions!$L$7:$L$173,MATCH(B44,Positions!$B$7:$B$173,0)),"")</f>
        <v>113.42163768665409</v>
      </c>
      <c r="R44" s="9" t="str">
        <f t="shared" si="6"/>
        <v/>
      </c>
      <c r="S44" s="9" t="str">
        <f t="shared" si="7"/>
        <v/>
      </c>
      <c r="T44" s="9" t="str">
        <f t="shared" si="8"/>
        <v/>
      </c>
      <c r="U44" s="9" t="str">
        <f t="shared" si="9"/>
        <v/>
      </c>
      <c r="V44" s="9" t="str">
        <f t="shared" si="10"/>
        <v/>
      </c>
      <c r="W44" s="9" t="str">
        <f t="shared" si="11"/>
        <v/>
      </c>
      <c r="X44" s="34" t="str">
        <f>IF(W44="","",COUNTIF($W$7:W44,"?*"))</f>
        <v/>
      </c>
    </row>
    <row r="45" spans="2:24" x14ac:dyDescent="0.2">
      <c r="B45" s="9" t="s">
        <v>213</v>
      </c>
      <c r="C45" s="9" t="s">
        <v>214</v>
      </c>
      <c r="D45" s="9" t="s">
        <v>215</v>
      </c>
      <c r="E45" s="19">
        <v>47453</v>
      </c>
      <c r="F45" s="20">
        <v>1.75</v>
      </c>
      <c r="G45" s="13">
        <v>6000000</v>
      </c>
      <c r="H45" s="21">
        <v>93.975999999999999</v>
      </c>
      <c r="I45" s="22">
        <v>61273.97</v>
      </c>
      <c r="J45" s="22">
        <v>5699833.9699999997</v>
      </c>
      <c r="K45" s="19">
        <v>45838</v>
      </c>
      <c r="L45" s="34">
        <v>4</v>
      </c>
      <c r="M45" s="9" t="s">
        <v>681</v>
      </c>
      <c r="N45" s="22">
        <v>-2.6193447411060328E-10</v>
      </c>
      <c r="O45" s="9" t="s">
        <v>158</v>
      </c>
      <c r="P45" s="9"/>
      <c r="Q45" s="34">
        <f>IFERROR(INDEX(Positions!$L$7:$L$173,MATCH(B45,Positions!$B$7:$B$173,0)),"")</f>
        <v>108.82367667998859</v>
      </c>
      <c r="R45" s="9" t="str">
        <f t="shared" si="6"/>
        <v/>
      </c>
      <c r="S45" s="9" t="str">
        <f t="shared" si="7"/>
        <v/>
      </c>
      <c r="T45" s="9" t="str">
        <f t="shared" si="8"/>
        <v/>
      </c>
      <c r="U45" s="9" t="str">
        <f t="shared" si="9"/>
        <v/>
      </c>
      <c r="V45" s="9" t="str">
        <f t="shared" si="10"/>
        <v/>
      </c>
      <c r="W45" s="9" t="str">
        <f t="shared" si="11"/>
        <v/>
      </c>
      <c r="X45" s="34" t="str">
        <f>IF(W45="","",COUNTIF($W$7:W45,"?*"))</f>
        <v/>
      </c>
    </row>
    <row r="46" spans="2:24" x14ac:dyDescent="0.2">
      <c r="B46" s="9" t="s">
        <v>216</v>
      </c>
      <c r="C46" s="9" t="s">
        <v>217</v>
      </c>
      <c r="D46" s="9" t="s">
        <v>218</v>
      </c>
      <c r="E46" s="19">
        <v>47145</v>
      </c>
      <c r="F46" s="20">
        <v>1.25</v>
      </c>
      <c r="G46" s="13">
        <v>10900000</v>
      </c>
      <c r="H46" s="21">
        <v>94.210499999999996</v>
      </c>
      <c r="I46" s="22">
        <v>58232.88</v>
      </c>
      <c r="J46" s="22">
        <v>10327177.380000001</v>
      </c>
      <c r="K46" s="19">
        <v>45838</v>
      </c>
      <c r="L46" s="34">
        <v>4</v>
      </c>
      <c r="M46" s="9" t="s">
        <v>681</v>
      </c>
      <c r="N46" s="22">
        <v>8.2218321040272713E-10</v>
      </c>
      <c r="O46" s="9" t="s">
        <v>158</v>
      </c>
      <c r="P46" s="9"/>
      <c r="Q46" s="34">
        <f>IFERROR(INDEX(Positions!$L$7:$L$173,MATCH(B46,Positions!$B$7:$B$173,0)),"")</f>
        <v>92.631787678473387</v>
      </c>
      <c r="R46" s="9" t="str">
        <f t="shared" si="6"/>
        <v/>
      </c>
      <c r="S46" s="9" t="str">
        <f t="shared" si="7"/>
        <v/>
      </c>
      <c r="T46" s="9" t="str">
        <f t="shared" si="8"/>
        <v/>
      </c>
      <c r="U46" s="9" t="str">
        <f t="shared" si="9"/>
        <v/>
      </c>
      <c r="V46" s="9" t="str">
        <f t="shared" si="10"/>
        <v/>
      </c>
      <c r="W46" s="9" t="str">
        <f t="shared" si="11"/>
        <v/>
      </c>
      <c r="X46" s="34" t="str">
        <f>IF(W46="","",COUNTIF($W$7:W46,"?*"))</f>
        <v/>
      </c>
    </row>
    <row r="47" spans="2:24" x14ac:dyDescent="0.2">
      <c r="B47" s="9" t="s">
        <v>219</v>
      </c>
      <c r="C47" s="9" t="s">
        <v>220</v>
      </c>
      <c r="D47" s="9" t="s">
        <v>221</v>
      </c>
      <c r="E47" s="19">
        <v>47177</v>
      </c>
      <c r="F47" s="20">
        <v>2.5</v>
      </c>
      <c r="G47" s="13">
        <v>5000000</v>
      </c>
      <c r="H47" s="21">
        <v>97.833500000000001</v>
      </c>
      <c r="I47" s="22">
        <v>42465.75</v>
      </c>
      <c r="J47" s="22">
        <v>4934140.75</v>
      </c>
      <c r="K47" s="19">
        <v>45838</v>
      </c>
      <c r="L47" s="34">
        <v>4</v>
      </c>
      <c r="M47" s="9" t="s">
        <v>681</v>
      </c>
      <c r="N47" s="22">
        <v>0</v>
      </c>
      <c r="O47" s="9" t="s">
        <v>158</v>
      </c>
      <c r="P47" s="9"/>
      <c r="Q47" s="34">
        <f>IFERROR(INDEX(Positions!$L$7:$L$173,MATCH(B47,Positions!$B$7:$B$173,0)),"")</f>
        <v>106.7143186929034</v>
      </c>
      <c r="R47" s="9" t="str">
        <f t="shared" si="6"/>
        <v/>
      </c>
      <c r="S47" s="9" t="str">
        <f t="shared" si="7"/>
        <v/>
      </c>
      <c r="T47" s="9" t="str">
        <f t="shared" si="8"/>
        <v/>
      </c>
      <c r="U47" s="9" t="str">
        <f t="shared" si="9"/>
        <v/>
      </c>
      <c r="V47" s="9" t="str">
        <f t="shared" si="10"/>
        <v/>
      </c>
      <c r="W47" s="9" t="str">
        <f t="shared" si="11"/>
        <v/>
      </c>
      <c r="X47" s="34" t="str">
        <f>IF(W47="","",COUNTIF($W$7:W47,"?*"))</f>
        <v/>
      </c>
    </row>
    <row r="48" spans="2:24" x14ac:dyDescent="0.2">
      <c r="B48" s="9" t="s">
        <v>222</v>
      </c>
      <c r="C48" s="9" t="s">
        <v>223</v>
      </c>
      <c r="D48" s="9" t="s">
        <v>224</v>
      </c>
      <c r="E48" s="19">
        <v>46666</v>
      </c>
      <c r="F48" s="20">
        <v>7</v>
      </c>
      <c r="G48" s="13">
        <v>2400000</v>
      </c>
      <c r="H48" s="21">
        <v>104.666</v>
      </c>
      <c r="I48" s="22">
        <v>123813.7</v>
      </c>
      <c r="J48" s="22">
        <v>2635797.7000000002</v>
      </c>
      <c r="K48" s="19">
        <v>45838</v>
      </c>
      <c r="L48" s="34">
        <v>4</v>
      </c>
      <c r="M48" s="9" t="s">
        <v>681</v>
      </c>
      <c r="N48" s="22">
        <v>1.891748979687691E-10</v>
      </c>
      <c r="O48" s="9" t="s">
        <v>158</v>
      </c>
      <c r="P48" s="9"/>
      <c r="Q48" s="34">
        <f>IFERROR(INDEX(Positions!$L$7:$L$173,MATCH(B48,Positions!$B$7:$B$173,0)),"")</f>
        <v>277.10411638541279</v>
      </c>
      <c r="R48" s="9" t="str">
        <f t="shared" si="6"/>
        <v/>
      </c>
      <c r="S48" s="9" t="str">
        <f t="shared" si="7"/>
        <v/>
      </c>
      <c r="T48" s="9" t="str">
        <f t="shared" si="8"/>
        <v/>
      </c>
      <c r="U48" s="9" t="str">
        <f t="shared" si="9"/>
        <v/>
      </c>
      <c r="V48" s="9" t="str">
        <f t="shared" si="10"/>
        <v/>
      </c>
      <c r="W48" s="9" t="str">
        <f t="shared" si="11"/>
        <v/>
      </c>
      <c r="X48" s="34" t="str">
        <f>IF(W48="","",COUNTIF($W$7:W48,"?*"))</f>
        <v/>
      </c>
    </row>
    <row r="49" spans="2:24" x14ac:dyDescent="0.2">
      <c r="B49" s="9" t="s">
        <v>225</v>
      </c>
      <c r="C49" s="9" t="s">
        <v>226</v>
      </c>
      <c r="D49" s="9" t="s">
        <v>227</v>
      </c>
      <c r="E49" s="19">
        <v>46522</v>
      </c>
      <c r="F49" s="20">
        <v>5.375</v>
      </c>
      <c r="G49" s="13">
        <v>6600000</v>
      </c>
      <c r="H49" s="21">
        <v>104.44499999999999</v>
      </c>
      <c r="I49" s="22">
        <v>46652.05</v>
      </c>
      <c r="J49" s="22">
        <v>6940022.0499999998</v>
      </c>
      <c r="K49" s="19">
        <v>45838</v>
      </c>
      <c r="L49" s="34">
        <v>4</v>
      </c>
      <c r="M49" s="9" t="s">
        <v>681</v>
      </c>
      <c r="N49" s="22">
        <v>-1.891748979687691E-10</v>
      </c>
      <c r="O49" s="9" t="s">
        <v>158</v>
      </c>
      <c r="P49" s="9"/>
      <c r="Q49" s="34">
        <f>IFERROR(INDEX(Positions!$L$7:$L$173,MATCH(B49,Positions!$B$7:$B$173,0)),"")</f>
        <v>99.958026492417275</v>
      </c>
      <c r="R49" s="9" t="str">
        <f t="shared" si="6"/>
        <v/>
      </c>
      <c r="S49" s="9" t="str">
        <f t="shared" si="7"/>
        <v/>
      </c>
      <c r="T49" s="9" t="str">
        <f t="shared" si="8"/>
        <v/>
      </c>
      <c r="U49" s="9" t="str">
        <f t="shared" si="9"/>
        <v/>
      </c>
      <c r="V49" s="9" t="str">
        <f t="shared" si="10"/>
        <v/>
      </c>
      <c r="W49" s="9" t="str">
        <f t="shared" si="11"/>
        <v/>
      </c>
      <c r="X49" s="34" t="str">
        <f>IF(W49="","",COUNTIF($W$7:W49,"?*"))</f>
        <v/>
      </c>
    </row>
    <row r="50" spans="2:24" x14ac:dyDescent="0.2">
      <c r="B50" s="9" t="s">
        <v>228</v>
      </c>
      <c r="C50" s="9" t="s">
        <v>229</v>
      </c>
      <c r="D50" s="9" t="s">
        <v>230</v>
      </c>
      <c r="E50" s="19">
        <v>46405</v>
      </c>
      <c r="F50" s="20">
        <v>4.25</v>
      </c>
      <c r="G50" s="13">
        <v>8000000</v>
      </c>
      <c r="H50" s="21">
        <v>102.72450000000001</v>
      </c>
      <c r="I50" s="22">
        <v>153698.63</v>
      </c>
      <c r="J50" s="22">
        <v>8371658.6299999999</v>
      </c>
      <c r="K50" s="19">
        <v>45838</v>
      </c>
      <c r="L50" s="34">
        <v>4</v>
      </c>
      <c r="M50" s="9" t="s">
        <v>681</v>
      </c>
      <c r="N50" s="22">
        <v>-1.164153218269348E-10</v>
      </c>
      <c r="O50" s="9" t="s">
        <v>158</v>
      </c>
      <c r="P50" s="9"/>
      <c r="Q50" s="34">
        <f>IFERROR(INDEX(Positions!$L$7:$L$173,MATCH(B50,Positions!$B$7:$B$173,0)),"")</f>
        <v>54.605290474783963</v>
      </c>
      <c r="R50" s="9" t="str">
        <f t="shared" si="6"/>
        <v/>
      </c>
      <c r="S50" s="9" t="str">
        <f t="shared" si="7"/>
        <v/>
      </c>
      <c r="T50" s="9" t="str">
        <f t="shared" si="8"/>
        <v/>
      </c>
      <c r="U50" s="9" t="str">
        <f t="shared" si="9"/>
        <v/>
      </c>
      <c r="V50" s="9" t="str">
        <f t="shared" si="10"/>
        <v/>
      </c>
      <c r="W50" s="9" t="str">
        <f t="shared" si="11"/>
        <v/>
      </c>
      <c r="X50" s="34" t="str">
        <f>IF(W50="","",COUNTIF($W$7:W50,"?*"))</f>
        <v/>
      </c>
    </row>
    <row r="51" spans="2:24" x14ac:dyDescent="0.2">
      <c r="B51" s="9" t="s">
        <v>231</v>
      </c>
      <c r="C51" s="9" t="s">
        <v>232</v>
      </c>
      <c r="D51" s="9" t="s">
        <v>233</v>
      </c>
      <c r="E51" s="19">
        <v>48012</v>
      </c>
      <c r="F51" s="20">
        <v>3.625</v>
      </c>
      <c r="G51" s="13">
        <v>21500000</v>
      </c>
      <c r="H51" s="21">
        <v>101.494</v>
      </c>
      <c r="I51" s="22">
        <v>40570.21</v>
      </c>
      <c r="J51" s="22">
        <v>21861780.210000001</v>
      </c>
      <c r="K51" s="19">
        <v>45838</v>
      </c>
      <c r="L51" s="34">
        <v>4</v>
      </c>
      <c r="M51" s="9" t="s">
        <v>681</v>
      </c>
      <c r="N51" s="22">
        <v>8.9494278654456139E-10</v>
      </c>
      <c r="O51" s="9" t="s">
        <v>158</v>
      </c>
      <c r="P51" s="9"/>
      <c r="Q51" s="34">
        <f>IFERROR(INDEX(Positions!$L$7:$L$173,MATCH(B51,Positions!$B$7:$B$173,0)),"")</f>
        <v>105.0977573441268</v>
      </c>
      <c r="R51" s="9" t="str">
        <f t="shared" si="6"/>
        <v/>
      </c>
      <c r="S51" s="9" t="str">
        <f t="shared" si="7"/>
        <v/>
      </c>
      <c r="T51" s="9" t="str">
        <f t="shared" si="8"/>
        <v/>
      </c>
      <c r="U51" s="9" t="str">
        <f t="shared" si="9"/>
        <v/>
      </c>
      <c r="V51" s="9" t="str">
        <f t="shared" si="10"/>
        <v/>
      </c>
      <c r="W51" s="9" t="str">
        <f t="shared" si="11"/>
        <v/>
      </c>
      <c r="X51" s="34" t="str">
        <f>IF(W51="","",COUNTIF($W$7:W51,"?*"))</f>
        <v/>
      </c>
    </row>
    <row r="52" spans="2:24" x14ac:dyDescent="0.2">
      <c r="B52" s="9" t="s">
        <v>234</v>
      </c>
      <c r="C52" s="9" t="s">
        <v>235</v>
      </c>
      <c r="D52" s="9" t="s">
        <v>236</v>
      </c>
      <c r="E52" s="19">
        <v>49494</v>
      </c>
      <c r="F52" s="20">
        <v>3.75</v>
      </c>
      <c r="G52" s="13">
        <v>18800000</v>
      </c>
      <c r="H52" s="21">
        <v>100.9665</v>
      </c>
      <c r="I52" s="22">
        <v>701136.99</v>
      </c>
      <c r="J52" s="22">
        <v>19682838.989999998</v>
      </c>
      <c r="K52" s="19">
        <v>45838</v>
      </c>
      <c r="L52" s="34">
        <v>4</v>
      </c>
      <c r="M52" s="9" t="s">
        <v>681</v>
      </c>
      <c r="N52" s="22">
        <v>-1.629814505577087E-9</v>
      </c>
      <c r="O52" s="9" t="s">
        <v>158</v>
      </c>
      <c r="P52" s="9"/>
      <c r="Q52" s="34">
        <f>IFERROR(INDEX(Positions!$L$7:$L$173,MATCH(B52,Positions!$B$7:$B$173,0)),"")</f>
        <v>95.069104144510845</v>
      </c>
      <c r="R52" s="9" t="str">
        <f t="shared" si="6"/>
        <v/>
      </c>
      <c r="S52" s="9" t="str">
        <f t="shared" si="7"/>
        <v/>
      </c>
      <c r="T52" s="9" t="str">
        <f t="shared" si="8"/>
        <v/>
      </c>
      <c r="U52" s="9" t="str">
        <f t="shared" si="9"/>
        <v/>
      </c>
      <c r="V52" s="9" t="str">
        <f t="shared" si="10"/>
        <v/>
      </c>
      <c r="W52" s="9" t="str">
        <f t="shared" si="11"/>
        <v/>
      </c>
      <c r="X52" s="34" t="str">
        <f>IF(W52="","",COUNTIF($W$7:W52,"?*"))</f>
        <v/>
      </c>
    </row>
    <row r="53" spans="2:24" x14ac:dyDescent="0.2">
      <c r="B53" s="9" t="s">
        <v>237</v>
      </c>
      <c r="C53" s="9" t="s">
        <v>238</v>
      </c>
      <c r="D53" s="9" t="s">
        <v>239</v>
      </c>
      <c r="E53" s="19">
        <v>47556</v>
      </c>
      <c r="F53" s="20">
        <v>6.625</v>
      </c>
      <c r="G53" s="13">
        <v>4300000</v>
      </c>
      <c r="H53" s="21">
        <v>111.526</v>
      </c>
      <c r="I53" s="22">
        <v>85852.74</v>
      </c>
      <c r="J53" s="22">
        <v>4881470.74</v>
      </c>
      <c r="K53" s="19">
        <v>45838</v>
      </c>
      <c r="L53" s="34">
        <v>4</v>
      </c>
      <c r="M53" s="9" t="s">
        <v>681</v>
      </c>
      <c r="N53" s="22">
        <v>2.182787284255028E-10</v>
      </c>
      <c r="O53" s="9" t="s">
        <v>158</v>
      </c>
      <c r="P53" s="9"/>
      <c r="Q53" s="34">
        <f>IFERROR(INDEX(Positions!$L$7:$L$173,MATCH(B53,Positions!$B$7:$B$173,0)),"")</f>
        <v>170.48138773698531</v>
      </c>
      <c r="R53" s="9" t="str">
        <f t="shared" si="6"/>
        <v/>
      </c>
      <c r="S53" s="9" t="str">
        <f t="shared" si="7"/>
        <v/>
      </c>
      <c r="T53" s="9" t="str">
        <f t="shared" si="8"/>
        <v/>
      </c>
      <c r="U53" s="9" t="str">
        <f t="shared" si="9"/>
        <v/>
      </c>
      <c r="V53" s="9" t="str">
        <f t="shared" si="10"/>
        <v/>
      </c>
      <c r="W53" s="9" t="str">
        <f t="shared" si="11"/>
        <v/>
      </c>
      <c r="X53" s="34" t="str">
        <f>IF(W53="","",COUNTIF($W$7:W53,"?*"))</f>
        <v/>
      </c>
    </row>
    <row r="54" spans="2:24" x14ac:dyDescent="0.2">
      <c r="B54" s="9" t="s">
        <v>240</v>
      </c>
      <c r="C54" s="9" t="s">
        <v>241</v>
      </c>
      <c r="D54" s="9" t="s">
        <v>242</v>
      </c>
      <c r="E54" s="19">
        <v>48139</v>
      </c>
      <c r="F54" s="20">
        <v>4.25</v>
      </c>
      <c r="G54" s="13">
        <v>14300000</v>
      </c>
      <c r="H54" s="21">
        <v>106.29</v>
      </c>
      <c r="I54" s="22">
        <v>427922.6</v>
      </c>
      <c r="J54" s="22">
        <v>15627392.6</v>
      </c>
      <c r="K54" s="19">
        <v>45838</v>
      </c>
      <c r="L54" s="34">
        <v>4</v>
      </c>
      <c r="M54" s="9" t="s">
        <v>681</v>
      </c>
      <c r="N54" s="22">
        <v>-3.4924596548080439E-10</v>
      </c>
      <c r="O54" s="9" t="s">
        <v>158</v>
      </c>
      <c r="P54" s="9"/>
      <c r="Q54" s="34">
        <f>IFERROR(INDEX(Positions!$L$7:$L$173,MATCH(B54,Positions!$B$7:$B$173,0)),"")</f>
        <v>81.560378017697843</v>
      </c>
      <c r="R54" s="9" t="str">
        <f t="shared" si="6"/>
        <v/>
      </c>
      <c r="S54" s="9" t="str">
        <f t="shared" si="7"/>
        <v/>
      </c>
      <c r="T54" s="9" t="str">
        <f t="shared" si="8"/>
        <v/>
      </c>
      <c r="U54" s="9" t="str">
        <f t="shared" si="9"/>
        <v/>
      </c>
      <c r="V54" s="9" t="str">
        <f t="shared" si="10"/>
        <v/>
      </c>
      <c r="W54" s="9" t="str">
        <f t="shared" si="11"/>
        <v/>
      </c>
      <c r="X54" s="34" t="str">
        <f>IF(W54="","",COUNTIF($W$7:W54,"?*"))</f>
        <v/>
      </c>
    </row>
    <row r="55" spans="2:24" x14ac:dyDescent="0.2">
      <c r="B55" s="9" t="s">
        <v>243</v>
      </c>
      <c r="C55" s="9" t="s">
        <v>244</v>
      </c>
      <c r="D55" s="9" t="s">
        <v>245</v>
      </c>
      <c r="E55" s="19">
        <v>47591</v>
      </c>
      <c r="F55" s="20">
        <v>4.5</v>
      </c>
      <c r="G55" s="13">
        <v>15000000</v>
      </c>
      <c r="H55" s="21">
        <v>105.3835</v>
      </c>
      <c r="I55" s="22">
        <v>138698.63</v>
      </c>
      <c r="J55" s="22">
        <v>15946223.630000001</v>
      </c>
      <c r="K55" s="19">
        <v>45838</v>
      </c>
      <c r="L55" s="34">
        <v>4</v>
      </c>
      <c r="M55" s="9" t="s">
        <v>681</v>
      </c>
      <c r="N55" s="22">
        <v>8.149072527885437E-10</v>
      </c>
      <c r="O55" s="9" t="s">
        <v>158</v>
      </c>
      <c r="P55" s="9"/>
      <c r="Q55" s="34">
        <f>IFERROR(INDEX(Positions!$L$7:$L$173,MATCH(B55,Positions!$B$7:$B$173,0)),"")</f>
        <v>109.0457984410307</v>
      </c>
      <c r="R55" s="9" t="str">
        <f t="shared" si="6"/>
        <v/>
      </c>
      <c r="S55" s="9" t="str">
        <f t="shared" si="7"/>
        <v/>
      </c>
      <c r="T55" s="9" t="str">
        <f t="shared" si="8"/>
        <v/>
      </c>
      <c r="U55" s="9" t="str">
        <f t="shared" si="9"/>
        <v/>
      </c>
      <c r="V55" s="9" t="str">
        <f t="shared" si="10"/>
        <v/>
      </c>
      <c r="W55" s="9" t="str">
        <f t="shared" si="11"/>
        <v/>
      </c>
      <c r="X55" s="34" t="str">
        <f>IF(W55="","",COUNTIF($W$7:W55,"?*"))</f>
        <v/>
      </c>
    </row>
    <row r="56" spans="2:24" x14ac:dyDescent="0.2">
      <c r="B56" s="9" t="s">
        <v>246</v>
      </c>
      <c r="C56" s="9" t="s">
        <v>247</v>
      </c>
      <c r="D56" s="9" t="s">
        <v>248</v>
      </c>
      <c r="E56" s="19">
        <v>48950</v>
      </c>
      <c r="F56" s="20">
        <v>3.125</v>
      </c>
      <c r="G56" s="13">
        <v>13000000</v>
      </c>
      <c r="H56" s="21">
        <v>97.590500000000006</v>
      </c>
      <c r="I56" s="22">
        <v>197003.42</v>
      </c>
      <c r="J56" s="22">
        <v>12883768.42</v>
      </c>
      <c r="K56" s="19">
        <v>45838</v>
      </c>
      <c r="L56" s="34">
        <v>4</v>
      </c>
      <c r="M56" s="9" t="s">
        <v>681</v>
      </c>
      <c r="N56" s="22">
        <v>-8.7311491370201111E-11</v>
      </c>
      <c r="O56" s="9" t="s">
        <v>158</v>
      </c>
      <c r="P56" s="9"/>
      <c r="Q56" s="34">
        <f>IFERROR(INDEX(Positions!$L$7:$L$173,MATCH(B56,Positions!$B$7:$B$173,0)),"")</f>
        <v>90.857336959281014</v>
      </c>
      <c r="R56" s="9" t="str">
        <f t="shared" si="6"/>
        <v/>
      </c>
      <c r="S56" s="9" t="str">
        <f t="shared" si="7"/>
        <v/>
      </c>
      <c r="T56" s="9" t="str">
        <f t="shared" si="8"/>
        <v/>
      </c>
      <c r="U56" s="9" t="str">
        <f t="shared" si="9"/>
        <v/>
      </c>
      <c r="V56" s="9" t="str">
        <f t="shared" si="10"/>
        <v/>
      </c>
      <c r="W56" s="9" t="str">
        <f t="shared" si="11"/>
        <v/>
      </c>
      <c r="X56" s="34" t="str">
        <f>IF(W56="","",COUNTIF($W$7:W56,"?*"))</f>
        <v/>
      </c>
    </row>
    <row r="57" spans="2:24" x14ac:dyDescent="0.2">
      <c r="B57" s="9" t="s">
        <v>249</v>
      </c>
      <c r="C57" s="9" t="s">
        <v>250</v>
      </c>
      <c r="D57" s="9" t="s">
        <v>251</v>
      </c>
      <c r="E57" s="19">
        <v>47321</v>
      </c>
      <c r="F57" s="20">
        <v>5.75</v>
      </c>
      <c r="G57" s="13">
        <v>25800000</v>
      </c>
      <c r="H57" s="21">
        <v>107.0205</v>
      </c>
      <c r="I57" s="22">
        <v>1402212.33</v>
      </c>
      <c r="J57" s="22">
        <v>29013501.329999998</v>
      </c>
      <c r="K57" s="19">
        <v>45838</v>
      </c>
      <c r="L57" s="34">
        <v>4</v>
      </c>
      <c r="M57" s="9" t="s">
        <v>681</v>
      </c>
      <c r="N57" s="22">
        <v>-1.862645149230957E-9</v>
      </c>
      <c r="O57" s="9" t="s">
        <v>158</v>
      </c>
      <c r="P57" s="9"/>
      <c r="Q57" s="34">
        <f>IFERROR(INDEX(Positions!$L$7:$L$173,MATCH(B57,Positions!$B$7:$B$173,0)),"")</f>
        <v>172.22895837710851</v>
      </c>
      <c r="R57" s="9" t="str">
        <f t="shared" si="6"/>
        <v/>
      </c>
      <c r="S57" s="9" t="str">
        <f t="shared" si="7"/>
        <v/>
      </c>
      <c r="T57" s="9" t="str">
        <f t="shared" si="8"/>
        <v/>
      </c>
      <c r="U57" s="9" t="str">
        <f t="shared" si="9"/>
        <v/>
      </c>
      <c r="V57" s="9" t="str">
        <f t="shared" si="10"/>
        <v/>
      </c>
      <c r="W57" s="9" t="str">
        <f t="shared" si="11"/>
        <v/>
      </c>
      <c r="X57" s="34" t="str">
        <f>IF(W57="","",COUNTIF($W$7:W57,"?*"))</f>
        <v/>
      </c>
    </row>
    <row r="58" spans="2:24" x14ac:dyDescent="0.2">
      <c r="B58" s="9" t="s">
        <v>252</v>
      </c>
      <c r="C58" s="9" t="s">
        <v>253</v>
      </c>
      <c r="D58" s="9" t="s">
        <v>254</v>
      </c>
      <c r="E58" s="19">
        <v>47330</v>
      </c>
      <c r="F58" s="20">
        <v>6.65</v>
      </c>
      <c r="G58" s="13">
        <v>12000000</v>
      </c>
      <c r="H58" s="21">
        <v>100.59350000000001</v>
      </c>
      <c r="I58" s="22">
        <v>744800</v>
      </c>
      <c r="J58" s="22">
        <v>12816020</v>
      </c>
      <c r="K58" s="19">
        <v>45838</v>
      </c>
      <c r="L58" s="34">
        <v>4</v>
      </c>
      <c r="M58" s="9" t="s">
        <v>688</v>
      </c>
      <c r="N58" s="22">
        <v>0</v>
      </c>
      <c r="O58" s="9" t="s">
        <v>158</v>
      </c>
      <c r="P58" s="9"/>
      <c r="Q58" s="34">
        <f>IFERROR(INDEX(Positions!$L$7:$L$173,MATCH(B58,Positions!$B$7:$B$173,0)),"")</f>
        <v>419.66785765269111</v>
      </c>
      <c r="R58" s="9" t="str">
        <f t="shared" si="6"/>
        <v/>
      </c>
      <c r="S58" s="9" t="str">
        <f t="shared" si="7"/>
        <v/>
      </c>
      <c r="T58" s="9" t="str">
        <f t="shared" si="8"/>
        <v/>
      </c>
      <c r="U58" s="9" t="str">
        <f t="shared" si="9"/>
        <v/>
      </c>
      <c r="V58" s="9" t="str">
        <f t="shared" si="10"/>
        <v/>
      </c>
      <c r="W58" s="9" t="str">
        <f t="shared" si="11"/>
        <v/>
      </c>
      <c r="X58" s="34" t="str">
        <f>IF(W58="","",COUNTIF($W$7:W58,"?*"))</f>
        <v/>
      </c>
    </row>
    <row r="59" spans="2:24" x14ac:dyDescent="0.2">
      <c r="B59" s="9" t="s">
        <v>255</v>
      </c>
      <c r="C59" s="9" t="s">
        <v>256</v>
      </c>
      <c r="D59" s="9" t="s">
        <v>257</v>
      </c>
      <c r="E59" s="19">
        <v>49204</v>
      </c>
      <c r="F59" s="20">
        <v>4</v>
      </c>
      <c r="G59" s="13">
        <v>32000000</v>
      </c>
      <c r="H59" s="21">
        <v>101.065</v>
      </c>
      <c r="I59" s="22">
        <v>1009972.6</v>
      </c>
      <c r="J59" s="22">
        <v>33350772.600000001</v>
      </c>
      <c r="K59" s="19">
        <v>45838</v>
      </c>
      <c r="L59" s="34">
        <v>4</v>
      </c>
      <c r="M59" s="9" t="s">
        <v>681</v>
      </c>
      <c r="N59" s="22">
        <v>1.513399183750153E-9</v>
      </c>
      <c r="O59" s="9" t="s">
        <v>158</v>
      </c>
      <c r="P59" s="9"/>
      <c r="Q59" s="34">
        <f>IFERROR(INDEX(Positions!$L$7:$L$173,MATCH(B59,Positions!$B$7:$B$173,0)),"")</f>
        <v>124.38066065382741</v>
      </c>
      <c r="R59" s="9" t="str">
        <f t="shared" si="6"/>
        <v/>
      </c>
      <c r="S59" s="9" t="str">
        <f t="shared" si="7"/>
        <v/>
      </c>
      <c r="T59" s="9" t="str">
        <f t="shared" si="8"/>
        <v/>
      </c>
      <c r="U59" s="9" t="str">
        <f t="shared" si="9"/>
        <v/>
      </c>
      <c r="V59" s="9" t="str">
        <f t="shared" si="10"/>
        <v/>
      </c>
      <c r="W59" s="9" t="str">
        <f t="shared" si="11"/>
        <v/>
      </c>
      <c r="X59" s="34" t="str">
        <f>IF(W59="","",COUNTIF($W$7:W59,"?*"))</f>
        <v/>
      </c>
    </row>
    <row r="60" spans="2:24" x14ac:dyDescent="0.2">
      <c r="B60" s="9" t="s">
        <v>258</v>
      </c>
      <c r="C60" s="9" t="s">
        <v>259</v>
      </c>
      <c r="D60" s="9" t="s">
        <v>200</v>
      </c>
      <c r="E60" s="19">
        <v>49220</v>
      </c>
      <c r="F60" s="20">
        <v>5.375</v>
      </c>
      <c r="G60" s="13">
        <v>29900000</v>
      </c>
      <c r="H60" s="21">
        <v>105.3835</v>
      </c>
      <c r="I60" s="22">
        <v>1197638.3600000001</v>
      </c>
      <c r="J60" s="22">
        <v>32707304.859999999</v>
      </c>
      <c r="K60" s="19">
        <v>45838</v>
      </c>
      <c r="L60" s="34">
        <v>4</v>
      </c>
      <c r="M60" s="9" t="s">
        <v>681</v>
      </c>
      <c r="N60" s="22">
        <v>-6.9849193096160889E-10</v>
      </c>
      <c r="O60" s="9" t="s">
        <v>158</v>
      </c>
      <c r="P60" s="9"/>
      <c r="Q60" s="34">
        <f>IFERROR(INDEX(Positions!$L$7:$L$173,MATCH(B60,Positions!$B$7:$B$173,0)),"")</f>
        <v>200.89445014065561</v>
      </c>
      <c r="R60" s="9" t="str">
        <f t="shared" si="6"/>
        <v/>
      </c>
      <c r="S60" s="9" t="str">
        <f t="shared" si="7"/>
        <v/>
      </c>
      <c r="T60" s="9" t="str">
        <f t="shared" si="8"/>
        <v/>
      </c>
      <c r="U60" s="9" t="str">
        <f t="shared" si="9"/>
        <v/>
      </c>
      <c r="V60" s="9" t="str">
        <f t="shared" si="10"/>
        <v/>
      </c>
      <c r="W60" s="9" t="str">
        <f t="shared" si="11"/>
        <v/>
      </c>
      <c r="X60" s="34" t="str">
        <f>IF(W60="","",COUNTIF($W$7:W60,"?*"))</f>
        <v/>
      </c>
    </row>
    <row r="61" spans="2:24" x14ac:dyDescent="0.2">
      <c r="B61" s="9" t="s">
        <v>260</v>
      </c>
      <c r="C61" s="9" t="s">
        <v>261</v>
      </c>
      <c r="D61" s="9" t="s">
        <v>262</v>
      </c>
      <c r="E61" s="19">
        <v>47808</v>
      </c>
      <c r="F61" s="20">
        <v>3</v>
      </c>
      <c r="G61" s="13">
        <v>22000000</v>
      </c>
      <c r="H61" s="21">
        <v>99.448499999999996</v>
      </c>
      <c r="I61" s="22">
        <v>403232.88</v>
      </c>
      <c r="J61" s="22">
        <v>22281902.879999999</v>
      </c>
      <c r="K61" s="19">
        <v>45838</v>
      </c>
      <c r="L61" s="34">
        <v>4</v>
      </c>
      <c r="M61" s="9" t="s">
        <v>681</v>
      </c>
      <c r="N61" s="22">
        <v>-1.0477378964424129E-9</v>
      </c>
      <c r="O61" s="9" t="s">
        <v>158</v>
      </c>
      <c r="P61" s="9"/>
      <c r="Q61" s="34">
        <f>IFERROR(INDEX(Positions!$L$7:$L$173,MATCH(B61,Positions!$B$7:$B$173,0)),"")</f>
        <v>87.708967119581771</v>
      </c>
      <c r="R61" s="9" t="str">
        <f t="shared" si="6"/>
        <v/>
      </c>
      <c r="S61" s="9" t="str">
        <f t="shared" si="7"/>
        <v/>
      </c>
      <c r="T61" s="9" t="str">
        <f t="shared" si="8"/>
        <v/>
      </c>
      <c r="U61" s="9" t="str">
        <f t="shared" si="9"/>
        <v/>
      </c>
      <c r="V61" s="9" t="str">
        <f t="shared" si="10"/>
        <v/>
      </c>
      <c r="W61" s="9" t="str">
        <f t="shared" si="11"/>
        <v/>
      </c>
      <c r="X61" s="34" t="str">
        <f>IF(W61="","",COUNTIF($W$7:W61,"?*"))</f>
        <v/>
      </c>
    </row>
    <row r="62" spans="2:24" x14ac:dyDescent="0.2">
      <c r="B62" s="9" t="s">
        <v>263</v>
      </c>
      <c r="C62" s="9" t="s">
        <v>264</v>
      </c>
      <c r="D62" s="9" t="s">
        <v>265</v>
      </c>
      <c r="E62" s="19">
        <v>47505</v>
      </c>
      <c r="F62" s="20">
        <v>3.75</v>
      </c>
      <c r="G62" s="13">
        <v>15300000</v>
      </c>
      <c r="H62" s="21">
        <v>101.5545</v>
      </c>
      <c r="I62" s="22">
        <v>253078.77</v>
      </c>
      <c r="J62" s="22">
        <v>15790917.27</v>
      </c>
      <c r="K62" s="19">
        <v>45838</v>
      </c>
      <c r="L62" s="34">
        <v>4</v>
      </c>
      <c r="M62" s="9" t="s">
        <v>681</v>
      </c>
      <c r="N62" s="22">
        <v>-4.3655745685100561E-10</v>
      </c>
      <c r="O62" s="9" t="s">
        <v>158</v>
      </c>
      <c r="P62" s="9"/>
      <c r="Q62" s="34">
        <f>IFERROR(INDEX(Positions!$L$7:$L$173,MATCH(B62,Positions!$B$7:$B$173,0)),"")</f>
        <v>121.4118012531622</v>
      </c>
      <c r="R62" s="9" t="str">
        <f t="shared" si="6"/>
        <v/>
      </c>
      <c r="S62" s="9" t="str">
        <f t="shared" si="7"/>
        <v/>
      </c>
      <c r="T62" s="9" t="str">
        <f t="shared" si="8"/>
        <v/>
      </c>
      <c r="U62" s="9" t="str">
        <f t="shared" si="9"/>
        <v/>
      </c>
      <c r="V62" s="9" t="str">
        <f t="shared" si="10"/>
        <v/>
      </c>
      <c r="W62" s="9" t="str">
        <f t="shared" si="11"/>
        <v/>
      </c>
      <c r="X62" s="34" t="str">
        <f>IF(W62="","",COUNTIF($W$7:W62,"?*"))</f>
        <v/>
      </c>
    </row>
    <row r="63" spans="2:24" x14ac:dyDescent="0.2">
      <c r="B63" s="9" t="s">
        <v>266</v>
      </c>
      <c r="C63" s="9" t="s">
        <v>267</v>
      </c>
      <c r="D63" s="9" t="s">
        <v>251</v>
      </c>
      <c r="E63" s="19">
        <v>47512</v>
      </c>
      <c r="F63" s="20">
        <v>4.125</v>
      </c>
      <c r="G63" s="13">
        <v>7200000</v>
      </c>
      <c r="H63" s="21">
        <v>101.431</v>
      </c>
      <c r="I63" s="22">
        <v>125309.59</v>
      </c>
      <c r="J63" s="22">
        <v>7428341.5899999999</v>
      </c>
      <c r="K63" s="19">
        <v>45838</v>
      </c>
      <c r="L63" s="34">
        <v>4</v>
      </c>
      <c r="M63" s="9" t="s">
        <v>681</v>
      </c>
      <c r="N63" s="22">
        <v>-1.4551915228366849E-10</v>
      </c>
      <c r="O63" s="9" t="s">
        <v>158</v>
      </c>
      <c r="P63" s="9"/>
      <c r="Q63" s="34">
        <f>IFERROR(INDEX(Positions!$L$7:$L$173,MATCH(B63,Positions!$B$7:$B$173,0)),"")</f>
        <v>160.0637809345663</v>
      </c>
      <c r="R63" s="9" t="str">
        <f t="shared" si="6"/>
        <v/>
      </c>
      <c r="S63" s="9" t="str">
        <f t="shared" si="7"/>
        <v/>
      </c>
      <c r="T63" s="9" t="str">
        <f t="shared" si="8"/>
        <v/>
      </c>
      <c r="U63" s="9" t="str">
        <f t="shared" si="9"/>
        <v/>
      </c>
      <c r="V63" s="9" t="str">
        <f t="shared" si="10"/>
        <v/>
      </c>
      <c r="W63" s="9" t="str">
        <f t="shared" si="11"/>
        <v/>
      </c>
      <c r="X63" s="34" t="str">
        <f>IF(W63="","",COUNTIF($W$7:W63,"?*"))</f>
        <v/>
      </c>
    </row>
    <row r="64" spans="2:24" x14ac:dyDescent="0.2">
      <c r="B64" s="9" t="s">
        <v>268</v>
      </c>
      <c r="C64" s="9" t="s">
        <v>269</v>
      </c>
      <c r="D64" s="9" t="s">
        <v>239</v>
      </c>
      <c r="E64" s="19">
        <v>47946</v>
      </c>
      <c r="F64" s="20">
        <v>4.25</v>
      </c>
      <c r="G64" s="13">
        <v>17600000</v>
      </c>
      <c r="H64" s="21">
        <v>101.36799999999999</v>
      </c>
      <c r="I64" s="22">
        <v>174191.78</v>
      </c>
      <c r="J64" s="22">
        <v>18014959.780000001</v>
      </c>
      <c r="K64" s="19">
        <v>45838</v>
      </c>
      <c r="L64" s="34">
        <v>4</v>
      </c>
      <c r="M64" s="9" t="s">
        <v>681</v>
      </c>
      <c r="N64" s="22">
        <v>1.1932570487260821E-9</v>
      </c>
      <c r="O64" s="9" t="s">
        <v>158</v>
      </c>
      <c r="P64" s="9"/>
      <c r="Q64" s="34">
        <f>IFERROR(INDEX(Positions!$L$7:$L$173,MATCH(B64,Positions!$B$7:$B$173,0)),"")</f>
        <v>168.2420156839475</v>
      </c>
      <c r="R64" s="9" t="str">
        <f t="shared" si="6"/>
        <v/>
      </c>
      <c r="S64" s="9" t="str">
        <f t="shared" si="7"/>
        <v/>
      </c>
      <c r="T64" s="9" t="str">
        <f t="shared" si="8"/>
        <v/>
      </c>
      <c r="U64" s="9" t="str">
        <f t="shared" si="9"/>
        <v/>
      </c>
      <c r="V64" s="9" t="str">
        <f t="shared" si="10"/>
        <v/>
      </c>
      <c r="W64" s="9" t="str">
        <f t="shared" si="11"/>
        <v/>
      </c>
      <c r="X64" s="34" t="str">
        <f>IF(W64="","",COUNTIF($W$7:W64,"?*"))</f>
        <v/>
      </c>
    </row>
    <row r="65" spans="2:24" x14ac:dyDescent="0.2">
      <c r="B65" s="9" t="s">
        <v>270</v>
      </c>
      <c r="C65" s="9" t="s">
        <v>271</v>
      </c>
      <c r="D65" s="9" t="s">
        <v>272</v>
      </c>
      <c r="E65" s="19">
        <v>47646</v>
      </c>
      <c r="F65" s="20">
        <v>4.75</v>
      </c>
      <c r="G65" s="13">
        <v>30000000</v>
      </c>
      <c r="H65" s="21">
        <v>101.16549999999999</v>
      </c>
      <c r="I65" s="22">
        <v>78082.19</v>
      </c>
      <c r="J65" s="22">
        <v>30427732.190000001</v>
      </c>
      <c r="K65" s="19">
        <v>45838</v>
      </c>
      <c r="L65" s="34">
        <v>4</v>
      </c>
      <c r="M65" s="9" t="s">
        <v>681</v>
      </c>
      <c r="N65" s="22">
        <v>1.33877620100975E-9</v>
      </c>
      <c r="O65" s="9" t="s">
        <v>158</v>
      </c>
      <c r="P65" s="9"/>
      <c r="Q65" s="34">
        <f>IFERROR(INDEX(Positions!$L$7:$L$173,MATCH(B65,Positions!$B$7:$B$173,0)),"")</f>
        <v>224.55326278344069</v>
      </c>
      <c r="R65" s="9" t="str">
        <f t="shared" si="6"/>
        <v/>
      </c>
      <c r="S65" s="9" t="str">
        <f t="shared" si="7"/>
        <v/>
      </c>
      <c r="T65" s="9" t="str">
        <f t="shared" si="8"/>
        <v/>
      </c>
      <c r="U65" s="9" t="str">
        <f t="shared" si="9"/>
        <v/>
      </c>
      <c r="V65" s="9" t="str">
        <f t="shared" si="10"/>
        <v/>
      </c>
      <c r="W65" s="9" t="str">
        <f t="shared" si="11"/>
        <v/>
      </c>
      <c r="X65" s="34" t="str">
        <f>IF(W65="","",COUNTIF($W$7:W65,"?*"))</f>
        <v/>
      </c>
    </row>
    <row r="66" spans="2:24" x14ac:dyDescent="0.2">
      <c r="B66" s="9" t="s">
        <v>273</v>
      </c>
      <c r="C66" s="9" t="s">
        <v>274</v>
      </c>
      <c r="D66" s="9" t="s">
        <v>275</v>
      </c>
      <c r="E66" s="19">
        <v>49728</v>
      </c>
      <c r="F66" s="20">
        <v>4.625</v>
      </c>
      <c r="G66" s="13">
        <v>14600000</v>
      </c>
      <c r="H66" s="21">
        <v>100.4885</v>
      </c>
      <c r="I66" s="22">
        <v>74000</v>
      </c>
      <c r="J66" s="22">
        <v>14745321</v>
      </c>
      <c r="K66" s="19">
        <v>45838</v>
      </c>
      <c r="L66" s="34">
        <v>4</v>
      </c>
      <c r="M66" s="9" t="s">
        <v>681</v>
      </c>
      <c r="N66" s="22">
        <v>0</v>
      </c>
      <c r="O66" s="9" t="s">
        <v>158</v>
      </c>
      <c r="P66" s="9"/>
      <c r="Q66" s="34">
        <f>IFERROR(INDEX(Positions!$L$7:$L$173,MATCH(B66,Positions!$B$7:$B$173,0)),"")</f>
        <v>198.6486613512084</v>
      </c>
      <c r="R66" s="9" t="str">
        <f t="shared" si="6"/>
        <v/>
      </c>
      <c r="S66" s="9" t="str">
        <f t="shared" si="7"/>
        <v/>
      </c>
      <c r="T66" s="9" t="str">
        <f t="shared" si="8"/>
        <v/>
      </c>
      <c r="U66" s="9" t="str">
        <f t="shared" si="9"/>
        <v/>
      </c>
      <c r="V66" s="9" t="str">
        <f t="shared" si="10"/>
        <v/>
      </c>
      <c r="W66" s="9" t="str">
        <f t="shared" si="11"/>
        <v/>
      </c>
      <c r="X66" s="34" t="str">
        <f>IF(W66="","",COUNTIF($W$7:W66,"?*"))</f>
        <v/>
      </c>
    </row>
    <row r="67" spans="2:24" x14ac:dyDescent="0.2">
      <c r="B67" s="9" t="s">
        <v>276</v>
      </c>
      <c r="C67" s="9" t="s">
        <v>277</v>
      </c>
      <c r="D67" s="9" t="s">
        <v>278</v>
      </c>
      <c r="E67" s="19">
        <v>49480</v>
      </c>
      <c r="F67" s="20">
        <v>4.5</v>
      </c>
      <c r="G67" s="13">
        <v>35700000</v>
      </c>
      <c r="H67" s="21">
        <v>100.50149999999999</v>
      </c>
      <c r="I67" s="22">
        <v>52816.44</v>
      </c>
      <c r="J67" s="22">
        <v>35931851.939999998</v>
      </c>
      <c r="K67" s="19">
        <v>45838</v>
      </c>
      <c r="L67" s="34">
        <v>4</v>
      </c>
      <c r="M67" s="9" t="s">
        <v>681</v>
      </c>
      <c r="N67" s="22">
        <v>5.0640664994716636E-9</v>
      </c>
      <c r="O67" s="9" t="s">
        <v>158</v>
      </c>
      <c r="P67" s="9"/>
      <c r="Q67" s="34">
        <f>IFERROR(INDEX(Positions!$L$7:$L$173,MATCH(B67,Positions!$B$7:$B$173,0)),"")</f>
        <v>173.74430931268361</v>
      </c>
      <c r="R67" s="9" t="str">
        <f t="shared" si="6"/>
        <v/>
      </c>
      <c r="S67" s="9" t="str">
        <f t="shared" si="7"/>
        <v/>
      </c>
      <c r="T67" s="9" t="str">
        <f t="shared" si="8"/>
        <v/>
      </c>
      <c r="U67" s="9" t="str">
        <f t="shared" si="9"/>
        <v/>
      </c>
      <c r="V67" s="9" t="str">
        <f t="shared" si="10"/>
        <v/>
      </c>
      <c r="W67" s="9" t="str">
        <f t="shared" si="11"/>
        <v/>
      </c>
      <c r="X67" s="34" t="str">
        <f>IF(W67="","",COUNTIF($W$7:W67,"?*"))</f>
        <v/>
      </c>
    </row>
    <row r="68" spans="2:24" x14ac:dyDescent="0.2">
      <c r="B68" s="9" t="s">
        <v>55</v>
      </c>
      <c r="C68" s="9" t="s">
        <v>279</v>
      </c>
      <c r="D68" s="9" t="s">
        <v>188</v>
      </c>
      <c r="E68" s="19">
        <v>49493</v>
      </c>
      <c r="F68" s="20">
        <v>5.07</v>
      </c>
      <c r="G68" s="13">
        <v>25000000</v>
      </c>
      <c r="H68" s="21">
        <v>100.2115</v>
      </c>
      <c r="I68" s="22">
        <v>0</v>
      </c>
      <c r="J68" s="22">
        <v>25052875</v>
      </c>
      <c r="K68" s="19">
        <v>45838</v>
      </c>
      <c r="L68" s="34">
        <v>4</v>
      </c>
      <c r="M68" s="9" t="s">
        <v>681</v>
      </c>
      <c r="N68" s="22">
        <v>0</v>
      </c>
      <c r="O68" s="9" t="s">
        <v>158</v>
      </c>
      <c r="P68" s="9"/>
      <c r="Q68" s="34">
        <f>IFERROR(INDEX(Positions!$L$7:$L$173,MATCH(B68,Positions!$B$7:$B$173,0)),"")</f>
        <v>296.67828190604251</v>
      </c>
      <c r="R68" s="9" t="str">
        <f t="shared" si="6"/>
        <v/>
      </c>
      <c r="S68" s="9" t="str">
        <f t="shared" si="7"/>
        <v/>
      </c>
      <c r="T68" s="9" t="str">
        <f t="shared" si="8"/>
        <v/>
      </c>
      <c r="U68" s="9" t="str">
        <f t="shared" si="9"/>
        <v/>
      </c>
      <c r="V68" s="9" t="str">
        <f t="shared" si="10"/>
        <v/>
      </c>
      <c r="W68" s="9" t="str">
        <f t="shared" si="11"/>
        <v/>
      </c>
      <c r="X68" s="34" t="str">
        <f>IF(W68="","",COUNTIF($W$7:W68,"?*"))</f>
        <v/>
      </c>
    </row>
    <row r="69" spans="2:24" x14ac:dyDescent="0.2">
      <c r="B69" s="9" t="s">
        <v>689</v>
      </c>
      <c r="C69" s="9" t="s">
        <v>690</v>
      </c>
      <c r="D69" s="9" t="s">
        <v>691</v>
      </c>
      <c r="E69" s="19">
        <v>46387</v>
      </c>
      <c r="F69" s="20">
        <v>2</v>
      </c>
      <c r="G69" s="13">
        <v>671283</v>
      </c>
      <c r="H69" s="21">
        <v>0</v>
      </c>
      <c r="I69" s="22">
        <v>0</v>
      </c>
      <c r="J69" s="22">
        <v>0</v>
      </c>
      <c r="K69" s="19">
        <v>45838</v>
      </c>
      <c r="L69" s="34">
        <v>4</v>
      </c>
      <c r="M69" s="9" t="s">
        <v>692</v>
      </c>
      <c r="N69" s="22">
        <v>0</v>
      </c>
      <c r="O69" s="9" t="s">
        <v>109</v>
      </c>
      <c r="P69" s="9" t="s">
        <v>676</v>
      </c>
      <c r="Q69" s="34" t="str">
        <f>IFERROR(INDEX(Positions!$L$7:$L$173,MATCH(B69,Positions!$B$7:$B$173,0)),"")</f>
        <v/>
      </c>
      <c r="R69" s="9" t="str">
        <f t="shared" si="6"/>
        <v/>
      </c>
      <c r="S69" s="9" t="str">
        <f t="shared" si="7"/>
        <v>OUI</v>
      </c>
      <c r="T69" s="9" t="str">
        <f t="shared" si="8"/>
        <v/>
      </c>
      <c r="U69" s="9" t="str">
        <f t="shared" si="9"/>
        <v/>
      </c>
      <c r="V69" s="9" t="str">
        <f t="shared" si="10"/>
        <v/>
      </c>
      <c r="W69" s="9" t="str">
        <f t="shared" si="11"/>
        <v>À instruire</v>
      </c>
      <c r="X69" s="34">
        <f>IF(W69="","",COUNTIF($W$7:W69,"?*"))</f>
        <v>2</v>
      </c>
    </row>
    <row r="70" spans="2:24" x14ac:dyDescent="0.2">
      <c r="B70" s="9" t="s">
        <v>280</v>
      </c>
      <c r="C70" s="9" t="s">
        <v>281</v>
      </c>
      <c r="D70" s="9" t="s">
        <v>282</v>
      </c>
      <c r="E70" s="19">
        <v>47009</v>
      </c>
      <c r="F70" s="20">
        <v>6.875</v>
      </c>
      <c r="G70" s="13">
        <v>23250000</v>
      </c>
      <c r="H70" s="21">
        <v>110.47150000000001</v>
      </c>
      <c r="I70" s="22">
        <v>1278750</v>
      </c>
      <c r="J70" s="22">
        <v>26963373.75</v>
      </c>
      <c r="K70" s="19">
        <v>45838</v>
      </c>
      <c r="L70" s="34">
        <v>4</v>
      </c>
      <c r="M70" s="9" t="s">
        <v>681</v>
      </c>
      <c r="N70" s="22">
        <v>0</v>
      </c>
      <c r="O70" s="9" t="s">
        <v>158</v>
      </c>
      <c r="P70" s="9"/>
      <c r="Q70" s="34">
        <f>IFERROR(INDEX(Positions!$L$7:$L$173,MATCH(B70,Positions!$B$7:$B$173,0)),"")</f>
        <v>133.86665585831679</v>
      </c>
      <c r="R70" s="9" t="str">
        <f t="shared" si="6"/>
        <v/>
      </c>
      <c r="S70" s="9" t="str">
        <f t="shared" si="7"/>
        <v/>
      </c>
      <c r="T70" s="9" t="str">
        <f t="shared" si="8"/>
        <v/>
      </c>
      <c r="U70" s="9" t="str">
        <f t="shared" si="9"/>
        <v/>
      </c>
      <c r="V70" s="9" t="str">
        <f t="shared" si="10"/>
        <v/>
      </c>
      <c r="W70" s="9" t="str">
        <f t="shared" si="11"/>
        <v/>
      </c>
      <c r="X70" s="34" t="str">
        <f>IF(W70="","",COUNTIF($W$7:W70,"?*"))</f>
        <v/>
      </c>
    </row>
    <row r="71" spans="2:24" x14ac:dyDescent="0.2">
      <c r="B71" s="9" t="s">
        <v>283</v>
      </c>
      <c r="C71" s="9" t="s">
        <v>284</v>
      </c>
      <c r="D71" s="9" t="s">
        <v>282</v>
      </c>
      <c r="E71" s="19">
        <v>47176</v>
      </c>
      <c r="F71" s="20">
        <v>5.5</v>
      </c>
      <c r="G71" s="13">
        <v>2000000</v>
      </c>
      <c r="H71" s="21">
        <v>106.553</v>
      </c>
      <c r="I71" s="22">
        <v>37671.230000000003</v>
      </c>
      <c r="J71" s="22">
        <v>2168731.23</v>
      </c>
      <c r="K71" s="19">
        <v>45838</v>
      </c>
      <c r="L71" s="34">
        <v>4</v>
      </c>
      <c r="M71" s="9" t="s">
        <v>681</v>
      </c>
      <c r="N71" s="22">
        <v>-2.1827872842550281E-11</v>
      </c>
      <c r="O71" s="9" t="s">
        <v>158</v>
      </c>
      <c r="P71" s="9"/>
      <c r="Q71" s="34">
        <f>IFERROR(INDEX(Positions!$L$7:$L$173,MATCH(B71,Positions!$B$7:$B$173,0)),"")</f>
        <v>147.63675206861291</v>
      </c>
      <c r="R71" s="9" t="str">
        <f t="shared" ref="R71:R102" si="12">IF(E71&lt;=RL_Date,"OUI","")</f>
        <v/>
      </c>
      <c r="S71" s="9" t="str">
        <f t="shared" ref="S71:S102" si="13">IF(OR(H71&lt;=0,J71&lt;=0),"OUI","")</f>
        <v/>
      </c>
      <c r="T71" s="9" t="str">
        <f t="shared" ref="T71:T102" si="14">IF(RL_Date-K71&gt;RL_Age_Prix,"OUI","")</f>
        <v/>
      </c>
      <c r="U71" s="9" t="str">
        <f t="shared" ref="U71:U102" si="15">IF(AND(ISNUMBER(Q71),Q71&gt;RL_Spread_Revue),"OUI","")</f>
        <v/>
      </c>
      <c r="V71" s="9" t="str">
        <f t="shared" ref="V71:V102" si="16">IF(ABS(N71)&gt;0.02,"OUI","")</f>
        <v/>
      </c>
      <c r="W71" s="9" t="str">
        <f t="shared" ref="W71:W102" si="17">IF(OR(R71="OUI",S71="OUI",T71="OUI",V71="OUI"),"À instruire",IF(U71="OUI","À examiner",""))</f>
        <v/>
      </c>
      <c r="X71" s="34" t="str">
        <f>IF(W71="","",COUNTIF($W$7:W71,"?*"))</f>
        <v/>
      </c>
    </row>
    <row r="72" spans="2:24" x14ac:dyDescent="0.2">
      <c r="B72" s="9" t="s">
        <v>285</v>
      </c>
      <c r="C72" s="9" t="s">
        <v>286</v>
      </c>
      <c r="D72" s="9" t="s">
        <v>287</v>
      </c>
      <c r="E72" s="19">
        <v>48095</v>
      </c>
      <c r="F72" s="20">
        <v>3.875</v>
      </c>
      <c r="G72" s="13">
        <v>20000000</v>
      </c>
      <c r="H72" s="21">
        <v>102.8965</v>
      </c>
      <c r="I72" s="22">
        <v>639109.59</v>
      </c>
      <c r="J72" s="22">
        <v>21218409.59</v>
      </c>
      <c r="K72" s="19">
        <v>45838</v>
      </c>
      <c r="L72" s="34">
        <v>4</v>
      </c>
      <c r="M72" s="9" t="s">
        <v>681</v>
      </c>
      <c r="N72" s="22">
        <v>-1.164153218269348E-10</v>
      </c>
      <c r="O72" s="9" t="s">
        <v>158</v>
      </c>
      <c r="P72" s="9"/>
      <c r="Q72" s="34">
        <f>IFERROR(INDEX(Positions!$L$7:$L$173,MATCH(B72,Positions!$B$7:$B$173,0)),"")</f>
        <v>103.3378875869185</v>
      </c>
      <c r="R72" s="9" t="str">
        <f t="shared" si="12"/>
        <v/>
      </c>
      <c r="S72" s="9" t="str">
        <f t="shared" si="13"/>
        <v/>
      </c>
      <c r="T72" s="9" t="str">
        <f t="shared" si="14"/>
        <v/>
      </c>
      <c r="U72" s="9" t="str">
        <f t="shared" si="15"/>
        <v/>
      </c>
      <c r="V72" s="9" t="str">
        <f t="shared" si="16"/>
        <v/>
      </c>
      <c r="W72" s="9" t="str">
        <f t="shared" si="17"/>
        <v/>
      </c>
      <c r="X72" s="34" t="str">
        <f>IF(W72="","",COUNTIF($W$7:W72,"?*"))</f>
        <v/>
      </c>
    </row>
    <row r="73" spans="2:24" x14ac:dyDescent="0.2">
      <c r="B73" s="9" t="s">
        <v>288</v>
      </c>
      <c r="C73" s="9" t="s">
        <v>289</v>
      </c>
      <c r="D73" s="9" t="s">
        <v>290</v>
      </c>
      <c r="E73" s="19">
        <v>46937</v>
      </c>
      <c r="F73" s="20">
        <v>4.875</v>
      </c>
      <c r="G73" s="13">
        <v>18300000</v>
      </c>
      <c r="H73" s="21">
        <v>104.68300000000001</v>
      </c>
      <c r="I73" s="22">
        <v>889680.82</v>
      </c>
      <c r="J73" s="22">
        <v>20046669.82</v>
      </c>
      <c r="K73" s="19">
        <v>45838</v>
      </c>
      <c r="L73" s="34">
        <v>4</v>
      </c>
      <c r="M73" s="9" t="s">
        <v>681</v>
      </c>
      <c r="N73" s="22">
        <v>-3.37604433298111E-9</v>
      </c>
      <c r="O73" s="9" t="s">
        <v>158</v>
      </c>
      <c r="P73" s="9"/>
      <c r="Q73" s="34">
        <f>IFERROR(INDEX(Positions!$L$7:$L$173,MATCH(B73,Positions!$B$7:$B$173,0)),"")</f>
        <v>121.1848802803971</v>
      </c>
      <c r="R73" s="9" t="str">
        <f t="shared" si="12"/>
        <v/>
      </c>
      <c r="S73" s="9" t="str">
        <f t="shared" si="13"/>
        <v/>
      </c>
      <c r="T73" s="9" t="str">
        <f t="shared" si="14"/>
        <v/>
      </c>
      <c r="U73" s="9" t="str">
        <f t="shared" si="15"/>
        <v/>
      </c>
      <c r="V73" s="9" t="str">
        <f t="shared" si="16"/>
        <v/>
      </c>
      <c r="W73" s="9" t="str">
        <f t="shared" si="17"/>
        <v/>
      </c>
      <c r="X73" s="34" t="str">
        <f>IF(W73="","",COUNTIF($W$7:W73,"?*"))</f>
        <v/>
      </c>
    </row>
    <row r="74" spans="2:24" x14ac:dyDescent="0.2">
      <c r="B74" s="9" t="s">
        <v>291</v>
      </c>
      <c r="C74" s="9" t="s">
        <v>292</v>
      </c>
      <c r="D74" s="9" t="s">
        <v>209</v>
      </c>
      <c r="E74" s="19">
        <v>46105</v>
      </c>
      <c r="F74" s="20">
        <v>2.375</v>
      </c>
      <c r="G74" s="13">
        <v>5000000</v>
      </c>
      <c r="H74" s="21">
        <v>100.003</v>
      </c>
      <c r="I74" s="22">
        <v>32534.25</v>
      </c>
      <c r="J74" s="22">
        <v>5032684.25</v>
      </c>
      <c r="K74" s="19">
        <v>45838</v>
      </c>
      <c r="L74" s="34">
        <v>4</v>
      </c>
      <c r="M74" s="9" t="s">
        <v>681</v>
      </c>
      <c r="N74" s="22">
        <v>0</v>
      </c>
      <c r="O74" s="9" t="s">
        <v>158</v>
      </c>
      <c r="P74" s="9"/>
      <c r="Q74" s="34">
        <f>IFERROR(INDEX(Positions!$L$7:$L$173,MATCH(B74,Positions!$B$7:$B$173,0)),"")</f>
        <v>47.4749242233761</v>
      </c>
      <c r="R74" s="9" t="str">
        <f t="shared" si="12"/>
        <v/>
      </c>
      <c r="S74" s="9" t="str">
        <f t="shared" si="13"/>
        <v/>
      </c>
      <c r="T74" s="9" t="str">
        <f t="shared" si="14"/>
        <v/>
      </c>
      <c r="U74" s="9" t="str">
        <f t="shared" si="15"/>
        <v/>
      </c>
      <c r="V74" s="9" t="str">
        <f t="shared" si="16"/>
        <v/>
      </c>
      <c r="W74" s="9" t="str">
        <f t="shared" si="17"/>
        <v/>
      </c>
      <c r="X74" s="34" t="str">
        <f>IF(W74="","",COUNTIF($W$7:W74,"?*"))</f>
        <v/>
      </c>
    </row>
    <row r="75" spans="2:24" x14ac:dyDescent="0.2">
      <c r="B75" s="9" t="s">
        <v>293</v>
      </c>
      <c r="C75" s="9" t="s">
        <v>294</v>
      </c>
      <c r="D75" s="9" t="s">
        <v>295</v>
      </c>
      <c r="E75" s="19">
        <v>46280</v>
      </c>
      <c r="F75" s="20">
        <v>1.25</v>
      </c>
      <c r="G75" s="13">
        <v>6100000</v>
      </c>
      <c r="H75" s="21">
        <v>98.711500000000001</v>
      </c>
      <c r="I75" s="22">
        <v>60582.19</v>
      </c>
      <c r="J75" s="22">
        <v>6081983.6900000004</v>
      </c>
      <c r="K75" s="19">
        <v>45838</v>
      </c>
      <c r="L75" s="34">
        <v>4</v>
      </c>
      <c r="M75" s="9" t="s">
        <v>681</v>
      </c>
      <c r="N75" s="22">
        <v>4.074536263942719E-10</v>
      </c>
      <c r="O75" s="9" t="s">
        <v>158</v>
      </c>
      <c r="P75" s="9"/>
      <c r="Q75" s="34">
        <f>IFERROR(INDEX(Positions!$L$7:$L$173,MATCH(B75,Positions!$B$7:$B$173,0)),"")</f>
        <v>46.353200031884363</v>
      </c>
      <c r="R75" s="9" t="str">
        <f t="shared" si="12"/>
        <v/>
      </c>
      <c r="S75" s="9" t="str">
        <f t="shared" si="13"/>
        <v/>
      </c>
      <c r="T75" s="9" t="str">
        <f t="shared" si="14"/>
        <v/>
      </c>
      <c r="U75" s="9" t="str">
        <f t="shared" si="15"/>
        <v/>
      </c>
      <c r="V75" s="9" t="str">
        <f t="shared" si="16"/>
        <v/>
      </c>
      <c r="W75" s="9" t="str">
        <f t="shared" si="17"/>
        <v/>
      </c>
      <c r="X75" s="34" t="str">
        <f>IF(W75="","",COUNTIF($W$7:W75,"?*"))</f>
        <v/>
      </c>
    </row>
    <row r="76" spans="2:24" x14ac:dyDescent="0.2">
      <c r="B76" s="9" t="s">
        <v>296</v>
      </c>
      <c r="C76" s="9" t="s">
        <v>297</v>
      </c>
      <c r="D76" s="9" t="s">
        <v>298</v>
      </c>
      <c r="E76" s="19">
        <v>46841</v>
      </c>
      <c r="F76" s="20">
        <v>2.75</v>
      </c>
      <c r="G76" s="13">
        <v>4300000</v>
      </c>
      <c r="H76" s="21">
        <v>99.388000000000005</v>
      </c>
      <c r="I76" s="22">
        <v>30777.4</v>
      </c>
      <c r="J76" s="22">
        <v>4304461.4000000004</v>
      </c>
      <c r="K76" s="19">
        <v>45838</v>
      </c>
      <c r="L76" s="34">
        <v>4</v>
      </c>
      <c r="M76" s="9" t="s">
        <v>681</v>
      </c>
      <c r="N76" s="22">
        <v>3.7107383832335472E-10</v>
      </c>
      <c r="O76" s="9" t="s">
        <v>158</v>
      </c>
      <c r="P76" s="9"/>
      <c r="Q76" s="34">
        <f>IFERROR(INDEX(Positions!$L$7:$L$173,MATCH(B76,Positions!$B$7:$B$173,0)),"")</f>
        <v>101.2085671168887</v>
      </c>
      <c r="R76" s="9" t="str">
        <f t="shared" si="12"/>
        <v/>
      </c>
      <c r="S76" s="9" t="str">
        <f t="shared" si="13"/>
        <v/>
      </c>
      <c r="T76" s="9" t="str">
        <f t="shared" si="14"/>
        <v/>
      </c>
      <c r="U76" s="9" t="str">
        <f t="shared" si="15"/>
        <v/>
      </c>
      <c r="V76" s="9" t="str">
        <f t="shared" si="16"/>
        <v/>
      </c>
      <c r="W76" s="9" t="str">
        <f t="shared" si="17"/>
        <v/>
      </c>
      <c r="X76" s="34" t="str">
        <f>IF(W76="","",COUNTIF($W$7:W76,"?*"))</f>
        <v/>
      </c>
    </row>
    <row r="77" spans="2:24" x14ac:dyDescent="0.2">
      <c r="B77" s="9" t="s">
        <v>299</v>
      </c>
      <c r="C77" s="9" t="s">
        <v>300</v>
      </c>
      <c r="D77" s="9" t="s">
        <v>301</v>
      </c>
      <c r="E77" s="19">
        <v>46164</v>
      </c>
      <c r="F77" s="20">
        <v>1.375</v>
      </c>
      <c r="G77" s="13">
        <v>9600000</v>
      </c>
      <c r="H77" s="21">
        <v>98.838499999999996</v>
      </c>
      <c r="I77" s="22">
        <v>14827.4</v>
      </c>
      <c r="J77" s="22">
        <v>9503323.4000000004</v>
      </c>
      <c r="K77" s="19">
        <v>45838</v>
      </c>
      <c r="L77" s="34">
        <v>4</v>
      </c>
      <c r="M77" s="9" t="s">
        <v>681</v>
      </c>
      <c r="N77" s="22">
        <v>3.7289282772690058E-10</v>
      </c>
      <c r="O77" s="9" t="s">
        <v>158</v>
      </c>
      <c r="P77" s="9"/>
      <c r="Q77" s="34">
        <f>IFERROR(INDEX(Positions!$L$7:$L$173,MATCH(B77,Positions!$B$7:$B$173,0)),"")</f>
        <v>81.916807522308261</v>
      </c>
      <c r="R77" s="9" t="str">
        <f t="shared" si="12"/>
        <v/>
      </c>
      <c r="S77" s="9" t="str">
        <f t="shared" si="13"/>
        <v/>
      </c>
      <c r="T77" s="9" t="str">
        <f t="shared" si="14"/>
        <v/>
      </c>
      <c r="U77" s="9" t="str">
        <f t="shared" si="15"/>
        <v/>
      </c>
      <c r="V77" s="9" t="str">
        <f t="shared" si="16"/>
        <v/>
      </c>
      <c r="W77" s="9" t="str">
        <f t="shared" si="17"/>
        <v/>
      </c>
      <c r="X77" s="34" t="str">
        <f>IF(W77="","",COUNTIF($W$7:W77,"?*"))</f>
        <v/>
      </c>
    </row>
    <row r="78" spans="2:24" x14ac:dyDescent="0.2">
      <c r="B78" s="9" t="s">
        <v>302</v>
      </c>
      <c r="C78" s="9" t="s">
        <v>303</v>
      </c>
      <c r="D78" s="9" t="s">
        <v>304</v>
      </c>
      <c r="E78" s="19">
        <v>46583</v>
      </c>
      <c r="F78" s="20">
        <v>1.625</v>
      </c>
      <c r="G78" s="13">
        <v>3500000</v>
      </c>
      <c r="H78" s="21">
        <v>97.531499999999994</v>
      </c>
      <c r="I78" s="22">
        <v>54849.32</v>
      </c>
      <c r="J78" s="22">
        <v>3468451.82</v>
      </c>
      <c r="K78" s="19">
        <v>45838</v>
      </c>
      <c r="L78" s="34">
        <v>4</v>
      </c>
      <c r="M78" s="9" t="s">
        <v>681</v>
      </c>
      <c r="N78" s="22">
        <v>-1.673470251262188E-10</v>
      </c>
      <c r="O78" s="9" t="s">
        <v>158</v>
      </c>
      <c r="P78" s="9"/>
      <c r="Q78" s="34">
        <f>IFERROR(INDEX(Positions!$L$7:$L$173,MATCH(B78,Positions!$B$7:$B$173,0)),"")</f>
        <v>99.484823534174879</v>
      </c>
      <c r="R78" s="9" t="str">
        <f t="shared" si="12"/>
        <v/>
      </c>
      <c r="S78" s="9" t="str">
        <f t="shared" si="13"/>
        <v/>
      </c>
      <c r="T78" s="9" t="str">
        <f t="shared" si="14"/>
        <v/>
      </c>
      <c r="U78" s="9" t="str">
        <f t="shared" si="15"/>
        <v/>
      </c>
      <c r="V78" s="9" t="str">
        <f t="shared" si="16"/>
        <v/>
      </c>
      <c r="W78" s="9" t="str">
        <f t="shared" si="17"/>
        <v/>
      </c>
      <c r="X78" s="34" t="str">
        <f>IF(W78="","",COUNTIF($W$7:W78,"?*"))</f>
        <v/>
      </c>
    </row>
    <row r="79" spans="2:24" x14ac:dyDescent="0.2">
      <c r="B79" s="9" t="s">
        <v>305</v>
      </c>
      <c r="C79" s="9" t="s">
        <v>306</v>
      </c>
      <c r="D79" s="9" t="s">
        <v>307</v>
      </c>
      <c r="E79" s="19">
        <v>47164</v>
      </c>
      <c r="F79" s="20">
        <v>3.4</v>
      </c>
      <c r="G79" s="13">
        <v>19900000</v>
      </c>
      <c r="H79" s="21">
        <v>101.23950000000001</v>
      </c>
      <c r="I79" s="22">
        <v>257483.89</v>
      </c>
      <c r="J79" s="22">
        <v>20404144.390000001</v>
      </c>
      <c r="K79" s="19">
        <v>45838</v>
      </c>
      <c r="L79" s="34">
        <v>4</v>
      </c>
      <c r="M79" s="9" t="s">
        <v>682</v>
      </c>
      <c r="N79" s="22">
        <v>-3.14321368932724E-9</v>
      </c>
      <c r="O79" s="9" t="s">
        <v>158</v>
      </c>
      <c r="P79" s="9"/>
      <c r="Q79" s="34">
        <f>IFERROR(INDEX(Positions!$L$7:$L$173,MATCH(B79,Positions!$B$7:$B$173,0)),"")</f>
        <v>96.738385984330634</v>
      </c>
      <c r="R79" s="9" t="str">
        <f t="shared" si="12"/>
        <v/>
      </c>
      <c r="S79" s="9" t="str">
        <f t="shared" si="13"/>
        <v/>
      </c>
      <c r="T79" s="9" t="str">
        <f t="shared" si="14"/>
        <v/>
      </c>
      <c r="U79" s="9" t="str">
        <f t="shared" si="15"/>
        <v/>
      </c>
      <c r="V79" s="9" t="str">
        <f t="shared" si="16"/>
        <v/>
      </c>
      <c r="W79" s="9" t="str">
        <f t="shared" si="17"/>
        <v/>
      </c>
      <c r="X79" s="34" t="str">
        <f>IF(W79="","",COUNTIF($W$7:W79,"?*"))</f>
        <v/>
      </c>
    </row>
    <row r="80" spans="2:24" x14ac:dyDescent="0.2">
      <c r="B80" s="9" t="s">
        <v>308</v>
      </c>
      <c r="C80" s="9" t="s">
        <v>309</v>
      </c>
      <c r="D80" s="9" t="s">
        <v>310</v>
      </c>
      <c r="E80" s="19">
        <v>46582</v>
      </c>
      <c r="F80" s="20">
        <v>3.375</v>
      </c>
      <c r="G80" s="13">
        <v>5000000</v>
      </c>
      <c r="H80" s="21">
        <v>100.8305</v>
      </c>
      <c r="I80" s="22">
        <v>163202.04999999999</v>
      </c>
      <c r="J80" s="22">
        <v>5204727.05</v>
      </c>
      <c r="K80" s="19">
        <v>45838</v>
      </c>
      <c r="L80" s="34">
        <v>5</v>
      </c>
      <c r="M80" s="9" t="s">
        <v>681</v>
      </c>
      <c r="N80" s="22">
        <v>-1.746229827404022E-10</v>
      </c>
      <c r="O80" s="9" t="s">
        <v>158</v>
      </c>
      <c r="P80" s="9"/>
      <c r="Q80" s="34">
        <f>IFERROR(INDEX(Positions!$L$7:$L$173,MATCH(B80,Positions!$B$7:$B$173,0)),"")</f>
        <v>104.98355256899811</v>
      </c>
      <c r="R80" s="9" t="str">
        <f t="shared" si="12"/>
        <v/>
      </c>
      <c r="S80" s="9" t="str">
        <f t="shared" si="13"/>
        <v/>
      </c>
      <c r="T80" s="9" t="str">
        <f t="shared" si="14"/>
        <v/>
      </c>
      <c r="U80" s="9" t="str">
        <f t="shared" si="15"/>
        <v/>
      </c>
      <c r="V80" s="9" t="str">
        <f t="shared" si="16"/>
        <v/>
      </c>
      <c r="W80" s="9" t="str">
        <f t="shared" si="17"/>
        <v/>
      </c>
      <c r="X80" s="34" t="str">
        <f>IF(W80="","",COUNTIF($W$7:W80,"?*"))</f>
        <v/>
      </c>
    </row>
    <row r="81" spans="2:24" x14ac:dyDescent="0.2">
      <c r="B81" s="9" t="s">
        <v>311</v>
      </c>
      <c r="C81" s="9" t="s">
        <v>312</v>
      </c>
      <c r="D81" s="9" t="s">
        <v>313</v>
      </c>
      <c r="E81" s="19">
        <v>47749</v>
      </c>
      <c r="F81" s="20">
        <v>1.026</v>
      </c>
      <c r="G81" s="13">
        <v>6700000</v>
      </c>
      <c r="H81" s="21">
        <v>83.936499999999995</v>
      </c>
      <c r="I81" s="22">
        <v>53110.26</v>
      </c>
      <c r="J81" s="22">
        <v>5676855.7599999998</v>
      </c>
      <c r="K81" s="19">
        <v>45838</v>
      </c>
      <c r="L81" s="34">
        <v>5</v>
      </c>
      <c r="M81" s="9" t="s">
        <v>681</v>
      </c>
      <c r="N81" s="22">
        <v>-2.255546860396862E-10</v>
      </c>
      <c r="O81" s="9" t="s">
        <v>158</v>
      </c>
      <c r="P81" s="9"/>
      <c r="Q81" s="34">
        <f>IFERROR(INDEX(Positions!$L$7:$L$173,MATCH(B81,Positions!$B$7:$B$173,0)),"")</f>
        <v>226.6953249231976</v>
      </c>
      <c r="R81" s="9" t="str">
        <f t="shared" si="12"/>
        <v/>
      </c>
      <c r="S81" s="9" t="str">
        <f t="shared" si="13"/>
        <v/>
      </c>
      <c r="T81" s="9" t="str">
        <f t="shared" si="14"/>
        <v/>
      </c>
      <c r="U81" s="9" t="str">
        <f t="shared" si="15"/>
        <v/>
      </c>
      <c r="V81" s="9" t="str">
        <f t="shared" si="16"/>
        <v/>
      </c>
      <c r="W81" s="9" t="str">
        <f t="shared" si="17"/>
        <v/>
      </c>
      <c r="X81" s="34" t="str">
        <f>IF(W81="","",COUNTIF($W$7:W81,"?*"))</f>
        <v/>
      </c>
    </row>
    <row r="82" spans="2:24" x14ac:dyDescent="0.2">
      <c r="B82" s="9" t="s">
        <v>314</v>
      </c>
      <c r="C82" s="9" t="s">
        <v>315</v>
      </c>
      <c r="D82" s="9" t="s">
        <v>316</v>
      </c>
      <c r="E82" s="19">
        <v>46675</v>
      </c>
      <c r="F82" s="20">
        <v>2.5</v>
      </c>
      <c r="G82" s="13">
        <v>4500000</v>
      </c>
      <c r="H82" s="21">
        <v>92.392499999999998</v>
      </c>
      <c r="I82" s="22">
        <v>80136.990000000005</v>
      </c>
      <c r="J82" s="22">
        <v>4237799.49</v>
      </c>
      <c r="K82" s="19">
        <v>45838</v>
      </c>
      <c r="L82" s="34">
        <v>5</v>
      </c>
      <c r="M82" s="9" t="s">
        <v>681</v>
      </c>
      <c r="N82" s="22">
        <v>2.182787284255028E-10</v>
      </c>
      <c r="O82" s="9" t="s">
        <v>158</v>
      </c>
      <c r="P82" s="9"/>
      <c r="Q82" s="34">
        <f>IFERROR(INDEX(Positions!$L$7:$L$173,MATCH(B82,Positions!$B$7:$B$173,0)),"")</f>
        <v>409.15123971956012</v>
      </c>
      <c r="R82" s="9" t="str">
        <f t="shared" si="12"/>
        <v/>
      </c>
      <c r="S82" s="9" t="str">
        <f t="shared" si="13"/>
        <v/>
      </c>
      <c r="T82" s="9" t="str">
        <f t="shared" si="14"/>
        <v/>
      </c>
      <c r="U82" s="9" t="str">
        <f t="shared" si="15"/>
        <v/>
      </c>
      <c r="V82" s="9" t="str">
        <f t="shared" si="16"/>
        <v/>
      </c>
      <c r="W82" s="9" t="str">
        <f t="shared" si="17"/>
        <v/>
      </c>
      <c r="X82" s="34" t="str">
        <f>IF(W82="","",COUNTIF($W$7:W82,"?*"))</f>
        <v/>
      </c>
    </row>
    <row r="83" spans="2:24" x14ac:dyDescent="0.2">
      <c r="B83" s="9" t="s">
        <v>317</v>
      </c>
      <c r="C83" s="9" t="s">
        <v>318</v>
      </c>
      <c r="D83" s="9" t="s">
        <v>319</v>
      </c>
      <c r="E83" s="19">
        <v>47046</v>
      </c>
      <c r="F83" s="20">
        <v>1.625</v>
      </c>
      <c r="G83" s="13">
        <v>4450000</v>
      </c>
      <c r="H83" s="21">
        <v>95.778999999999996</v>
      </c>
      <c r="I83" s="22">
        <v>50321.58</v>
      </c>
      <c r="J83" s="22">
        <v>4312487.08</v>
      </c>
      <c r="K83" s="19">
        <v>45838</v>
      </c>
      <c r="L83" s="34">
        <v>5</v>
      </c>
      <c r="M83" s="9" t="s">
        <v>681</v>
      </c>
      <c r="N83" s="22">
        <v>7.2759576141834259E-11</v>
      </c>
      <c r="O83" s="9" t="s">
        <v>158</v>
      </c>
      <c r="P83" s="9"/>
      <c r="Q83" s="34">
        <f>IFERROR(INDEX(Positions!$L$7:$L$173,MATCH(B83,Positions!$B$7:$B$173,0)),"")</f>
        <v>95.91169465736391</v>
      </c>
      <c r="R83" s="9" t="str">
        <f t="shared" si="12"/>
        <v/>
      </c>
      <c r="S83" s="9" t="str">
        <f t="shared" si="13"/>
        <v/>
      </c>
      <c r="T83" s="9" t="str">
        <f t="shared" si="14"/>
        <v/>
      </c>
      <c r="U83" s="9" t="str">
        <f t="shared" si="15"/>
        <v/>
      </c>
      <c r="V83" s="9" t="str">
        <f t="shared" si="16"/>
        <v/>
      </c>
      <c r="W83" s="9" t="str">
        <f t="shared" si="17"/>
        <v/>
      </c>
      <c r="X83" s="34" t="str">
        <f>IF(W83="","",COUNTIF($W$7:W83,"?*"))</f>
        <v/>
      </c>
    </row>
    <row r="84" spans="2:24" x14ac:dyDescent="0.2">
      <c r="B84" s="9" t="s">
        <v>320</v>
      </c>
      <c r="C84" s="9" t="s">
        <v>321</v>
      </c>
      <c r="D84" s="9" t="s">
        <v>322</v>
      </c>
      <c r="E84" s="19">
        <v>46503</v>
      </c>
      <c r="F84" s="20">
        <v>1.25</v>
      </c>
      <c r="G84" s="13">
        <v>10000000</v>
      </c>
      <c r="H84" s="21">
        <v>97.229500000000002</v>
      </c>
      <c r="I84" s="22">
        <v>22945.21</v>
      </c>
      <c r="J84" s="22">
        <v>9745895.2100000009</v>
      </c>
      <c r="K84" s="19">
        <v>45838</v>
      </c>
      <c r="L84" s="34">
        <v>5</v>
      </c>
      <c r="M84" s="9" t="s">
        <v>681</v>
      </c>
      <c r="N84" s="22">
        <v>8.9494278654456139E-10</v>
      </c>
      <c r="O84" s="9" t="s">
        <v>158</v>
      </c>
      <c r="P84" s="9"/>
      <c r="Q84" s="34">
        <f>IFERROR(INDEX(Positions!$L$7:$L$173,MATCH(B84,Positions!$B$7:$B$173,0)),"")</f>
        <v>94.396817061765603</v>
      </c>
      <c r="R84" s="9" t="str">
        <f t="shared" si="12"/>
        <v/>
      </c>
      <c r="S84" s="9" t="str">
        <f t="shared" si="13"/>
        <v/>
      </c>
      <c r="T84" s="9" t="str">
        <f t="shared" si="14"/>
        <v/>
      </c>
      <c r="U84" s="9" t="str">
        <f t="shared" si="15"/>
        <v/>
      </c>
      <c r="V84" s="9" t="str">
        <f t="shared" si="16"/>
        <v/>
      </c>
      <c r="W84" s="9" t="str">
        <f t="shared" si="17"/>
        <v/>
      </c>
      <c r="X84" s="34" t="str">
        <f>IF(W84="","",COUNTIF($W$7:W84,"?*"))</f>
        <v/>
      </c>
    </row>
    <row r="85" spans="2:24" x14ac:dyDescent="0.2">
      <c r="B85" s="9" t="s">
        <v>323</v>
      </c>
      <c r="C85" s="9" t="s">
        <v>324</v>
      </c>
      <c r="D85" s="9" t="s">
        <v>325</v>
      </c>
      <c r="E85" s="19">
        <v>47091</v>
      </c>
      <c r="F85" s="20">
        <v>2</v>
      </c>
      <c r="G85" s="13">
        <v>4500000</v>
      </c>
      <c r="H85" s="21">
        <v>97.171000000000006</v>
      </c>
      <c r="I85" s="22">
        <v>51780.82</v>
      </c>
      <c r="J85" s="22">
        <v>4424475.82</v>
      </c>
      <c r="K85" s="19">
        <v>45838</v>
      </c>
      <c r="L85" s="34">
        <v>5</v>
      </c>
      <c r="M85" s="9" t="s">
        <v>681</v>
      </c>
      <c r="N85" s="22">
        <v>2.9831426218152051E-10</v>
      </c>
      <c r="O85" s="9" t="s">
        <v>158</v>
      </c>
      <c r="P85" s="9"/>
      <c r="Q85" s="34">
        <f>IFERROR(INDEX(Positions!$L$7:$L$173,MATCH(B85,Positions!$B$7:$B$173,0)),"")</f>
        <v>84.138564152850577</v>
      </c>
      <c r="R85" s="9" t="str">
        <f t="shared" si="12"/>
        <v/>
      </c>
      <c r="S85" s="9" t="str">
        <f t="shared" si="13"/>
        <v/>
      </c>
      <c r="T85" s="9" t="str">
        <f t="shared" si="14"/>
        <v/>
      </c>
      <c r="U85" s="9" t="str">
        <f t="shared" si="15"/>
        <v/>
      </c>
      <c r="V85" s="9" t="str">
        <f t="shared" si="16"/>
        <v/>
      </c>
      <c r="W85" s="9" t="str">
        <f t="shared" si="17"/>
        <v/>
      </c>
      <c r="X85" s="34" t="str">
        <f>IF(W85="","",COUNTIF($W$7:W85,"?*"))</f>
        <v/>
      </c>
    </row>
    <row r="86" spans="2:24" x14ac:dyDescent="0.2">
      <c r="B86" s="9" t="s">
        <v>326</v>
      </c>
      <c r="C86" s="9" t="s">
        <v>327</v>
      </c>
      <c r="D86" s="9" t="s">
        <v>304</v>
      </c>
      <c r="E86" s="19">
        <v>47862</v>
      </c>
      <c r="F86" s="20">
        <v>0.875</v>
      </c>
      <c r="G86" s="13">
        <v>4900000</v>
      </c>
      <c r="H86" s="21">
        <v>86.045000000000002</v>
      </c>
      <c r="I86" s="22">
        <v>19851.71</v>
      </c>
      <c r="J86" s="22">
        <v>4236056.71</v>
      </c>
      <c r="K86" s="19">
        <v>45838</v>
      </c>
      <c r="L86" s="34">
        <v>5</v>
      </c>
      <c r="M86" s="9" t="s">
        <v>681</v>
      </c>
      <c r="N86" s="22">
        <v>-3.637978807091713E-11</v>
      </c>
      <c r="O86" s="9" t="s">
        <v>158</v>
      </c>
      <c r="P86" s="9"/>
      <c r="Q86" s="34">
        <f>IFERROR(INDEX(Positions!$L$7:$L$173,MATCH(B86,Positions!$B$7:$B$173,0)),"")</f>
        <v>143.03961170850241</v>
      </c>
      <c r="R86" s="9" t="str">
        <f t="shared" si="12"/>
        <v/>
      </c>
      <c r="S86" s="9" t="str">
        <f t="shared" si="13"/>
        <v/>
      </c>
      <c r="T86" s="9" t="str">
        <f t="shared" si="14"/>
        <v/>
      </c>
      <c r="U86" s="9" t="str">
        <f t="shared" si="15"/>
        <v/>
      </c>
      <c r="V86" s="9" t="str">
        <f t="shared" si="16"/>
        <v/>
      </c>
      <c r="W86" s="9" t="str">
        <f t="shared" si="17"/>
        <v/>
      </c>
      <c r="X86" s="34" t="str">
        <f>IF(W86="","",COUNTIF($W$7:W86,"?*"))</f>
        <v/>
      </c>
    </row>
    <row r="87" spans="2:24" x14ac:dyDescent="0.2">
      <c r="B87" s="9" t="s">
        <v>328</v>
      </c>
      <c r="C87" s="9" t="s">
        <v>329</v>
      </c>
      <c r="D87" s="9" t="s">
        <v>330</v>
      </c>
      <c r="E87" s="19">
        <v>46055</v>
      </c>
      <c r="F87" s="20">
        <v>3.875</v>
      </c>
      <c r="G87" s="13">
        <v>25050000</v>
      </c>
      <c r="H87" s="21">
        <v>100.093</v>
      </c>
      <c r="I87" s="22">
        <v>398912.67</v>
      </c>
      <c r="J87" s="22">
        <v>25472209.170000002</v>
      </c>
      <c r="K87" s="19">
        <v>45838</v>
      </c>
      <c r="L87" s="34">
        <v>5</v>
      </c>
      <c r="M87" s="9" t="s">
        <v>681</v>
      </c>
      <c r="N87" s="22">
        <v>1.80443748831749E-9</v>
      </c>
      <c r="O87" s="9" t="s">
        <v>158</v>
      </c>
      <c r="P87" s="9"/>
      <c r="Q87" s="34">
        <f>IFERROR(INDEX(Positions!$L$7:$L$173,MATCH(B87,Positions!$B$7:$B$173,0)),"")</f>
        <v>174.0924778109393</v>
      </c>
      <c r="R87" s="9" t="str">
        <f t="shared" si="12"/>
        <v/>
      </c>
      <c r="S87" s="9" t="str">
        <f t="shared" si="13"/>
        <v/>
      </c>
      <c r="T87" s="9" t="str">
        <f t="shared" si="14"/>
        <v/>
      </c>
      <c r="U87" s="9" t="str">
        <f t="shared" si="15"/>
        <v/>
      </c>
      <c r="V87" s="9" t="str">
        <f t="shared" si="16"/>
        <v/>
      </c>
      <c r="W87" s="9" t="str">
        <f t="shared" si="17"/>
        <v/>
      </c>
      <c r="X87" s="34" t="str">
        <f>IF(W87="","",COUNTIF($W$7:W87,"?*"))</f>
        <v/>
      </c>
    </row>
    <row r="88" spans="2:24" x14ac:dyDescent="0.2">
      <c r="B88" s="9" t="s">
        <v>331</v>
      </c>
      <c r="C88" s="9" t="s">
        <v>332</v>
      </c>
      <c r="D88" s="9" t="s">
        <v>333</v>
      </c>
      <c r="E88" s="19">
        <v>46635</v>
      </c>
      <c r="F88" s="20">
        <v>2.625</v>
      </c>
      <c r="G88" s="13">
        <v>1500000</v>
      </c>
      <c r="H88" s="21">
        <v>92.04</v>
      </c>
      <c r="I88" s="22">
        <v>32363.01</v>
      </c>
      <c r="J88" s="22">
        <v>1412963.01</v>
      </c>
      <c r="K88" s="19">
        <v>45838</v>
      </c>
      <c r="L88" s="34">
        <v>5</v>
      </c>
      <c r="M88" s="9" t="s">
        <v>681</v>
      </c>
      <c r="N88" s="22">
        <v>1.091393642127514E-11</v>
      </c>
      <c r="O88" s="9" t="s">
        <v>158</v>
      </c>
      <c r="P88" s="9"/>
      <c r="Q88" s="34">
        <f>IFERROR(INDEX(Positions!$L$7:$L$173,MATCH(B88,Positions!$B$7:$B$173,0)),"")</f>
        <v>457.66281174596691</v>
      </c>
      <c r="R88" s="9" t="str">
        <f t="shared" si="12"/>
        <v/>
      </c>
      <c r="S88" s="9" t="str">
        <f t="shared" si="13"/>
        <v/>
      </c>
      <c r="T88" s="9" t="str">
        <f t="shared" si="14"/>
        <v/>
      </c>
      <c r="U88" s="9" t="str">
        <f t="shared" si="15"/>
        <v/>
      </c>
      <c r="V88" s="9" t="str">
        <f t="shared" si="16"/>
        <v/>
      </c>
      <c r="W88" s="9" t="str">
        <f t="shared" si="17"/>
        <v/>
      </c>
      <c r="X88" s="34" t="str">
        <f>IF(W88="","",COUNTIF($W$7:W88,"?*"))</f>
        <v/>
      </c>
    </row>
    <row r="89" spans="2:24" x14ac:dyDescent="0.2">
      <c r="B89" s="9" t="s">
        <v>334</v>
      </c>
      <c r="C89" s="9" t="s">
        <v>335</v>
      </c>
      <c r="D89" s="9" t="s">
        <v>336</v>
      </c>
      <c r="E89" s="19">
        <v>47133</v>
      </c>
      <c r="F89" s="20">
        <v>1.25</v>
      </c>
      <c r="G89" s="13">
        <v>14400000</v>
      </c>
      <c r="H89" s="21">
        <v>94.454499999999996</v>
      </c>
      <c r="I89" s="22">
        <v>82849.320000000007</v>
      </c>
      <c r="J89" s="22">
        <v>13684297.32</v>
      </c>
      <c r="K89" s="19">
        <v>45838</v>
      </c>
      <c r="L89" s="34">
        <v>5</v>
      </c>
      <c r="M89" s="9" t="s">
        <v>681</v>
      </c>
      <c r="N89" s="22">
        <v>2.9103830456733698E-10</v>
      </c>
      <c r="O89" s="9" t="s">
        <v>158</v>
      </c>
      <c r="P89" s="9"/>
      <c r="Q89" s="34">
        <f>IFERROR(INDEX(Positions!$L$7:$L$173,MATCH(B89,Positions!$B$7:$B$173,0)),"")</f>
        <v>87.083079699353661</v>
      </c>
      <c r="R89" s="9" t="str">
        <f t="shared" si="12"/>
        <v/>
      </c>
      <c r="S89" s="9" t="str">
        <f t="shared" si="13"/>
        <v/>
      </c>
      <c r="T89" s="9" t="str">
        <f t="shared" si="14"/>
        <v/>
      </c>
      <c r="U89" s="9" t="str">
        <f t="shared" si="15"/>
        <v/>
      </c>
      <c r="V89" s="9" t="str">
        <f t="shared" si="16"/>
        <v/>
      </c>
      <c r="W89" s="9" t="str">
        <f t="shared" si="17"/>
        <v/>
      </c>
      <c r="X89" s="34" t="str">
        <f>IF(W89="","",COUNTIF($W$7:W89,"?*"))</f>
        <v/>
      </c>
    </row>
    <row r="90" spans="2:24" x14ac:dyDescent="0.2">
      <c r="B90" s="9" t="s">
        <v>337</v>
      </c>
      <c r="C90" s="9" t="s">
        <v>338</v>
      </c>
      <c r="D90" s="9" t="s">
        <v>336</v>
      </c>
      <c r="E90" s="19">
        <v>48625</v>
      </c>
      <c r="F90" s="20">
        <v>2</v>
      </c>
      <c r="G90" s="13">
        <v>14200000</v>
      </c>
      <c r="H90" s="21">
        <v>88.916499999999999</v>
      </c>
      <c r="I90" s="22">
        <v>106597.26</v>
      </c>
      <c r="J90" s="22">
        <v>12732740.26</v>
      </c>
      <c r="K90" s="19">
        <v>45838</v>
      </c>
      <c r="L90" s="34">
        <v>5</v>
      </c>
      <c r="M90" s="9" t="s">
        <v>681</v>
      </c>
      <c r="N90" s="22">
        <v>-2.182787284255028E-10</v>
      </c>
      <c r="O90" s="9" t="s">
        <v>158</v>
      </c>
      <c r="P90" s="9"/>
      <c r="Q90" s="34">
        <f>IFERROR(INDEX(Positions!$L$7:$L$173,MATCH(B90,Positions!$B$7:$B$173,0)),"")</f>
        <v>121.3344391525508</v>
      </c>
      <c r="R90" s="9" t="str">
        <f t="shared" si="12"/>
        <v/>
      </c>
      <c r="S90" s="9" t="str">
        <f t="shared" si="13"/>
        <v/>
      </c>
      <c r="T90" s="9" t="str">
        <f t="shared" si="14"/>
        <v/>
      </c>
      <c r="U90" s="9" t="str">
        <f t="shared" si="15"/>
        <v/>
      </c>
      <c r="V90" s="9" t="str">
        <f t="shared" si="16"/>
        <v/>
      </c>
      <c r="W90" s="9" t="str">
        <f t="shared" si="17"/>
        <v/>
      </c>
      <c r="X90" s="34" t="str">
        <f>IF(W90="","",COUNTIF($W$7:W90,"?*"))</f>
        <v/>
      </c>
    </row>
    <row r="91" spans="2:24" x14ac:dyDescent="0.2">
      <c r="B91" s="9" t="s">
        <v>339</v>
      </c>
      <c r="C91" s="9" t="s">
        <v>340</v>
      </c>
      <c r="D91" s="9" t="s">
        <v>341</v>
      </c>
      <c r="E91" s="19">
        <v>46824</v>
      </c>
      <c r="F91" s="20">
        <v>1.625</v>
      </c>
      <c r="G91" s="13">
        <v>3000000</v>
      </c>
      <c r="H91" s="21">
        <v>94.244</v>
      </c>
      <c r="I91" s="22">
        <v>14958.9</v>
      </c>
      <c r="J91" s="22">
        <v>2842278.9</v>
      </c>
      <c r="K91" s="19">
        <v>45838</v>
      </c>
      <c r="L91" s="34">
        <v>5</v>
      </c>
      <c r="M91" s="9" t="s">
        <v>681</v>
      </c>
      <c r="N91" s="22">
        <v>-9.276845958083868E-11</v>
      </c>
      <c r="O91" s="9" t="s">
        <v>158</v>
      </c>
      <c r="P91" s="9"/>
      <c r="Q91" s="34">
        <f>IFERROR(INDEX(Positions!$L$7:$L$173,MATCH(B91,Positions!$B$7:$B$173,0)),"")</f>
        <v>191.56124981147289</v>
      </c>
      <c r="R91" s="9" t="str">
        <f t="shared" si="12"/>
        <v/>
      </c>
      <c r="S91" s="9" t="str">
        <f t="shared" si="13"/>
        <v/>
      </c>
      <c r="T91" s="9" t="str">
        <f t="shared" si="14"/>
        <v/>
      </c>
      <c r="U91" s="9" t="str">
        <f t="shared" si="15"/>
        <v/>
      </c>
      <c r="V91" s="9" t="str">
        <f t="shared" si="16"/>
        <v/>
      </c>
      <c r="W91" s="9" t="str">
        <f t="shared" si="17"/>
        <v/>
      </c>
      <c r="X91" s="34" t="str">
        <f>IF(W91="","",COUNTIF($W$7:W91,"?*"))</f>
        <v/>
      </c>
    </row>
    <row r="92" spans="2:24" x14ac:dyDescent="0.2">
      <c r="B92" s="9" t="s">
        <v>342</v>
      </c>
      <c r="C92" s="9" t="s">
        <v>343</v>
      </c>
      <c r="D92" s="9" t="s">
        <v>344</v>
      </c>
      <c r="E92" s="19">
        <v>47938</v>
      </c>
      <c r="F92" s="20">
        <v>0.875</v>
      </c>
      <c r="G92" s="13">
        <v>12000000</v>
      </c>
      <c r="H92" s="21">
        <v>86.465999999999994</v>
      </c>
      <c r="I92" s="22">
        <v>26753.42</v>
      </c>
      <c r="J92" s="22">
        <v>10402673.42</v>
      </c>
      <c r="K92" s="19">
        <v>45838</v>
      </c>
      <c r="L92" s="34">
        <v>5</v>
      </c>
      <c r="M92" s="9" t="s">
        <v>681</v>
      </c>
      <c r="N92" s="22">
        <v>1.789885573089123E-9</v>
      </c>
      <c r="O92" s="9" t="s">
        <v>158</v>
      </c>
      <c r="P92" s="9"/>
      <c r="Q92" s="34">
        <f>IFERROR(INDEX(Positions!$L$7:$L$173,MATCH(B92,Positions!$B$7:$B$173,0)),"")</f>
        <v>122.4796900385096</v>
      </c>
      <c r="R92" s="9" t="str">
        <f t="shared" si="12"/>
        <v/>
      </c>
      <c r="S92" s="9" t="str">
        <f t="shared" si="13"/>
        <v/>
      </c>
      <c r="T92" s="9" t="str">
        <f t="shared" si="14"/>
        <v/>
      </c>
      <c r="U92" s="9" t="str">
        <f t="shared" si="15"/>
        <v/>
      </c>
      <c r="V92" s="9" t="str">
        <f t="shared" si="16"/>
        <v/>
      </c>
      <c r="W92" s="9" t="str">
        <f t="shared" si="17"/>
        <v/>
      </c>
      <c r="X92" s="34" t="str">
        <f>IF(W92="","",COUNTIF($W$7:W92,"?*"))</f>
        <v/>
      </c>
    </row>
    <row r="93" spans="2:24" x14ac:dyDescent="0.2">
      <c r="B93" s="9" t="s">
        <v>345</v>
      </c>
      <c r="C93" s="9" t="s">
        <v>346</v>
      </c>
      <c r="D93" s="9" t="s">
        <v>347</v>
      </c>
      <c r="E93" s="19">
        <v>46865</v>
      </c>
      <c r="F93" s="20">
        <v>1.5</v>
      </c>
      <c r="G93" s="13">
        <v>5450000</v>
      </c>
      <c r="H93" s="21">
        <v>96.058499999999995</v>
      </c>
      <c r="I93" s="22">
        <v>15902.05</v>
      </c>
      <c r="J93" s="22">
        <v>5251090.3</v>
      </c>
      <c r="K93" s="19">
        <v>45838</v>
      </c>
      <c r="L93" s="34">
        <v>5</v>
      </c>
      <c r="M93" s="9" t="s">
        <v>681</v>
      </c>
      <c r="N93" s="22">
        <v>-1.8553691916167741E-10</v>
      </c>
      <c r="O93" s="9" t="s">
        <v>158</v>
      </c>
      <c r="P93" s="9"/>
      <c r="Q93" s="34">
        <f>IFERROR(INDEX(Positions!$L$7:$L$173,MATCH(B93,Positions!$B$7:$B$173,0)),"")</f>
        <v>100.5934054102362</v>
      </c>
      <c r="R93" s="9" t="str">
        <f t="shared" si="12"/>
        <v/>
      </c>
      <c r="S93" s="9" t="str">
        <f t="shared" si="13"/>
        <v/>
      </c>
      <c r="T93" s="9" t="str">
        <f t="shared" si="14"/>
        <v/>
      </c>
      <c r="U93" s="9" t="str">
        <f t="shared" si="15"/>
        <v/>
      </c>
      <c r="V93" s="9" t="str">
        <f t="shared" si="16"/>
        <v/>
      </c>
      <c r="W93" s="9" t="str">
        <f t="shared" si="17"/>
        <v/>
      </c>
      <c r="X93" s="34" t="str">
        <f>IF(W93="","",COUNTIF($W$7:W93,"?*"))</f>
        <v/>
      </c>
    </row>
    <row r="94" spans="2:24" x14ac:dyDescent="0.2">
      <c r="B94" s="9" t="s">
        <v>348</v>
      </c>
      <c r="C94" s="9" t="s">
        <v>349</v>
      </c>
      <c r="D94" s="9" t="s">
        <v>350</v>
      </c>
      <c r="E94" s="19">
        <v>47250</v>
      </c>
      <c r="F94" s="20">
        <v>1.125</v>
      </c>
      <c r="G94" s="13">
        <v>6000000</v>
      </c>
      <c r="H94" s="21">
        <v>92.926500000000004</v>
      </c>
      <c r="I94" s="22">
        <v>9431.51</v>
      </c>
      <c r="J94" s="22">
        <v>5585021.5099999998</v>
      </c>
      <c r="K94" s="19">
        <v>45838</v>
      </c>
      <c r="L94" s="34">
        <v>5</v>
      </c>
      <c r="M94" s="9" t="s">
        <v>681</v>
      </c>
      <c r="N94" s="22">
        <v>-2.2373569663614029E-10</v>
      </c>
      <c r="O94" s="9" t="s">
        <v>158</v>
      </c>
      <c r="P94" s="9"/>
      <c r="Q94" s="34">
        <f>IFERROR(INDEX(Positions!$L$7:$L$173,MATCH(B94,Positions!$B$7:$B$173,0)),"")</f>
        <v>100.9376611916959</v>
      </c>
      <c r="R94" s="9" t="str">
        <f t="shared" si="12"/>
        <v/>
      </c>
      <c r="S94" s="9" t="str">
        <f t="shared" si="13"/>
        <v/>
      </c>
      <c r="T94" s="9" t="str">
        <f t="shared" si="14"/>
        <v/>
      </c>
      <c r="U94" s="9" t="str">
        <f t="shared" si="15"/>
        <v/>
      </c>
      <c r="V94" s="9" t="str">
        <f t="shared" si="16"/>
        <v/>
      </c>
      <c r="W94" s="9" t="str">
        <f t="shared" si="17"/>
        <v/>
      </c>
      <c r="X94" s="34" t="str">
        <f>IF(W94="","",COUNTIF($W$7:W94,"?*"))</f>
        <v/>
      </c>
    </row>
    <row r="95" spans="2:24" x14ac:dyDescent="0.2">
      <c r="B95" s="9" t="s">
        <v>351</v>
      </c>
      <c r="C95" s="9" t="s">
        <v>352</v>
      </c>
      <c r="D95" s="9" t="s">
        <v>353</v>
      </c>
      <c r="E95" s="19">
        <v>46901</v>
      </c>
      <c r="F95" s="20">
        <v>1.125</v>
      </c>
      <c r="G95" s="13">
        <v>13325000</v>
      </c>
      <c r="H95" s="21">
        <v>95.581500000000005</v>
      </c>
      <c r="I95" s="22">
        <v>14374.57</v>
      </c>
      <c r="J95" s="22">
        <v>12750609.449999999</v>
      </c>
      <c r="K95" s="19">
        <v>45838</v>
      </c>
      <c r="L95" s="34">
        <v>5</v>
      </c>
      <c r="M95" s="9" t="s">
        <v>681</v>
      </c>
      <c r="N95" s="22">
        <v>4.9999992552329786E-3</v>
      </c>
      <c r="O95" s="9" t="s">
        <v>158</v>
      </c>
      <c r="P95" s="9"/>
      <c r="Q95" s="34">
        <f>IFERROR(INDEX(Positions!$L$7:$L$173,MATCH(B95,Positions!$B$7:$B$173,0)),"")</f>
        <v>74.711910302737323</v>
      </c>
      <c r="R95" s="9" t="str">
        <f t="shared" si="12"/>
        <v/>
      </c>
      <c r="S95" s="9" t="str">
        <f t="shared" si="13"/>
        <v/>
      </c>
      <c r="T95" s="9" t="str">
        <f t="shared" si="14"/>
        <v/>
      </c>
      <c r="U95" s="9" t="str">
        <f t="shared" si="15"/>
        <v/>
      </c>
      <c r="V95" s="9" t="str">
        <f t="shared" si="16"/>
        <v/>
      </c>
      <c r="W95" s="9" t="str">
        <f t="shared" si="17"/>
        <v/>
      </c>
      <c r="X95" s="34" t="str">
        <f>IF(W95="","",COUNTIF($W$7:W95,"?*"))</f>
        <v/>
      </c>
    </row>
    <row r="96" spans="2:24" x14ac:dyDescent="0.2">
      <c r="B96" s="9" t="s">
        <v>354</v>
      </c>
      <c r="C96" s="9" t="s">
        <v>355</v>
      </c>
      <c r="D96" s="9" t="s">
        <v>356</v>
      </c>
      <c r="E96" s="19">
        <v>47499</v>
      </c>
      <c r="F96" s="20">
        <v>1</v>
      </c>
      <c r="G96" s="13">
        <v>10000000</v>
      </c>
      <c r="H96" s="21">
        <v>90.097499999999997</v>
      </c>
      <c r="I96" s="22">
        <v>45753.42</v>
      </c>
      <c r="J96" s="22">
        <v>9055503.4199999999</v>
      </c>
      <c r="K96" s="19">
        <v>45838</v>
      </c>
      <c r="L96" s="34">
        <v>5</v>
      </c>
      <c r="M96" s="9" t="s">
        <v>681</v>
      </c>
      <c r="N96" s="22">
        <v>-7.2759576141834259E-11</v>
      </c>
      <c r="O96" s="9" t="s">
        <v>158</v>
      </c>
      <c r="P96" s="9"/>
      <c r="Q96" s="34">
        <f>IFERROR(INDEX(Positions!$L$7:$L$173,MATCH(B96,Positions!$B$7:$B$173,0)),"")</f>
        <v>122.2027431818386</v>
      </c>
      <c r="R96" s="9" t="str">
        <f t="shared" si="12"/>
        <v/>
      </c>
      <c r="S96" s="9" t="str">
        <f t="shared" si="13"/>
        <v/>
      </c>
      <c r="T96" s="9" t="str">
        <f t="shared" si="14"/>
        <v/>
      </c>
      <c r="U96" s="9" t="str">
        <f t="shared" si="15"/>
        <v/>
      </c>
      <c r="V96" s="9" t="str">
        <f t="shared" si="16"/>
        <v/>
      </c>
      <c r="W96" s="9" t="str">
        <f t="shared" si="17"/>
        <v/>
      </c>
      <c r="X96" s="34" t="str">
        <f>IF(W96="","",COUNTIF($W$7:W96,"?*"))</f>
        <v/>
      </c>
    </row>
    <row r="97" spans="2:24" x14ac:dyDescent="0.2">
      <c r="B97" s="9" t="s">
        <v>357</v>
      </c>
      <c r="C97" s="9" t="s">
        <v>358</v>
      </c>
      <c r="D97" s="9" t="s">
        <v>359</v>
      </c>
      <c r="E97" s="19">
        <v>46918</v>
      </c>
      <c r="F97" s="20">
        <v>0.75</v>
      </c>
      <c r="G97" s="13">
        <v>4350000</v>
      </c>
      <c r="H97" s="21">
        <v>94.15</v>
      </c>
      <c r="I97" s="22">
        <v>1608.9</v>
      </c>
      <c r="J97" s="22">
        <v>4097133.9</v>
      </c>
      <c r="K97" s="19">
        <v>45838</v>
      </c>
      <c r="L97" s="34">
        <v>5</v>
      </c>
      <c r="M97" s="9" t="s">
        <v>681</v>
      </c>
      <c r="N97" s="22">
        <v>-9.3223206931725144E-11</v>
      </c>
      <c r="O97" s="9" t="s">
        <v>158</v>
      </c>
      <c r="P97" s="9"/>
      <c r="Q97" s="34">
        <f>IFERROR(INDEX(Positions!$L$7:$L$173,MATCH(B97,Positions!$B$7:$B$173,0)),"")</f>
        <v>85.586546884676252</v>
      </c>
      <c r="R97" s="9" t="str">
        <f t="shared" si="12"/>
        <v/>
      </c>
      <c r="S97" s="9" t="str">
        <f t="shared" si="13"/>
        <v/>
      </c>
      <c r="T97" s="9" t="str">
        <f t="shared" si="14"/>
        <v/>
      </c>
      <c r="U97" s="9" t="str">
        <f t="shared" si="15"/>
        <v/>
      </c>
      <c r="V97" s="9" t="str">
        <f t="shared" si="16"/>
        <v/>
      </c>
      <c r="W97" s="9" t="str">
        <f t="shared" si="17"/>
        <v/>
      </c>
      <c r="X97" s="34" t="str">
        <f>IF(W97="","",COUNTIF($W$7:W97,"?*"))</f>
        <v/>
      </c>
    </row>
    <row r="98" spans="2:24" x14ac:dyDescent="0.2">
      <c r="B98" s="9" t="s">
        <v>360</v>
      </c>
      <c r="C98" s="9" t="s">
        <v>361</v>
      </c>
      <c r="D98" s="9" t="s">
        <v>362</v>
      </c>
      <c r="E98" s="19">
        <v>47312</v>
      </c>
      <c r="F98" s="20">
        <v>1.288</v>
      </c>
      <c r="G98" s="13">
        <v>12800000</v>
      </c>
      <c r="H98" s="21">
        <v>92.762500000000003</v>
      </c>
      <c r="I98" s="22">
        <v>159895.5</v>
      </c>
      <c r="J98" s="22">
        <v>12033495.5</v>
      </c>
      <c r="K98" s="19">
        <v>45838</v>
      </c>
      <c r="L98" s="34">
        <v>5</v>
      </c>
      <c r="M98" s="9" t="s">
        <v>681</v>
      </c>
      <c r="N98" s="22">
        <v>0</v>
      </c>
      <c r="O98" s="9" t="s">
        <v>158</v>
      </c>
      <c r="P98" s="9"/>
      <c r="Q98" s="34">
        <f>IFERROR(INDEX(Positions!$L$7:$L$173,MATCH(B98,Positions!$B$7:$B$173,0)),"")</f>
        <v>112.3646576105634</v>
      </c>
      <c r="R98" s="9" t="str">
        <f t="shared" si="12"/>
        <v/>
      </c>
      <c r="S98" s="9" t="str">
        <f t="shared" si="13"/>
        <v/>
      </c>
      <c r="T98" s="9" t="str">
        <f t="shared" si="14"/>
        <v/>
      </c>
      <c r="U98" s="9" t="str">
        <f t="shared" si="15"/>
        <v/>
      </c>
      <c r="V98" s="9" t="str">
        <f t="shared" si="16"/>
        <v/>
      </c>
      <c r="W98" s="9" t="str">
        <f t="shared" si="17"/>
        <v/>
      </c>
      <c r="X98" s="34" t="str">
        <f>IF(W98="","",COUNTIF($W$7:W98,"?*"))</f>
        <v/>
      </c>
    </row>
    <row r="99" spans="2:24" x14ac:dyDescent="0.2">
      <c r="B99" s="9" t="s">
        <v>363</v>
      </c>
      <c r="C99" s="9" t="s">
        <v>364</v>
      </c>
      <c r="D99" s="9" t="s">
        <v>365</v>
      </c>
      <c r="E99" s="19">
        <v>46954</v>
      </c>
      <c r="F99" s="20">
        <v>2.25</v>
      </c>
      <c r="G99" s="13">
        <v>27300000</v>
      </c>
      <c r="H99" s="21">
        <v>93.627499999999998</v>
      </c>
      <c r="I99" s="22">
        <v>583958.22</v>
      </c>
      <c r="J99" s="22">
        <v>26144265.719999999</v>
      </c>
      <c r="K99" s="19">
        <v>45838</v>
      </c>
      <c r="L99" s="34">
        <v>5</v>
      </c>
      <c r="M99" s="9" t="s">
        <v>681</v>
      </c>
      <c r="N99" s="22">
        <v>-1.1641532182693479E-9</v>
      </c>
      <c r="O99" s="9" t="s">
        <v>158</v>
      </c>
      <c r="P99" s="9"/>
      <c r="Q99" s="34">
        <f>IFERROR(INDEX(Positions!$L$7:$L$173,MATCH(B99,Positions!$B$7:$B$173,0)),"")</f>
        <v>247.29343781329891</v>
      </c>
      <c r="R99" s="9" t="str">
        <f t="shared" si="12"/>
        <v/>
      </c>
      <c r="S99" s="9" t="str">
        <f t="shared" si="13"/>
        <v/>
      </c>
      <c r="T99" s="9" t="str">
        <f t="shared" si="14"/>
        <v/>
      </c>
      <c r="U99" s="9" t="str">
        <f t="shared" si="15"/>
        <v/>
      </c>
      <c r="V99" s="9" t="str">
        <f t="shared" si="16"/>
        <v/>
      </c>
      <c r="W99" s="9" t="str">
        <f t="shared" si="17"/>
        <v/>
      </c>
      <c r="X99" s="34" t="str">
        <f>IF(W99="","",COUNTIF($W$7:W99,"?*"))</f>
        <v/>
      </c>
    </row>
    <row r="100" spans="2:24" x14ac:dyDescent="0.2">
      <c r="B100" s="9" t="s">
        <v>366</v>
      </c>
      <c r="C100" s="9" t="s">
        <v>367</v>
      </c>
      <c r="D100" s="9" t="s">
        <v>368</v>
      </c>
      <c r="E100" s="19">
        <v>48823</v>
      </c>
      <c r="F100" s="20">
        <v>0.75</v>
      </c>
      <c r="G100" s="13">
        <v>5000000</v>
      </c>
      <c r="H100" s="21">
        <v>80.144000000000005</v>
      </c>
      <c r="I100" s="22">
        <v>31232.880000000001</v>
      </c>
      <c r="J100" s="22">
        <v>4038432.88</v>
      </c>
      <c r="K100" s="19">
        <v>45838</v>
      </c>
      <c r="L100" s="34">
        <v>5</v>
      </c>
      <c r="M100" s="9" t="s">
        <v>681</v>
      </c>
      <c r="N100" s="22">
        <v>-1.127773430198431E-10</v>
      </c>
      <c r="O100" s="9" t="s">
        <v>158</v>
      </c>
      <c r="P100" s="9"/>
      <c r="Q100" s="34">
        <f>IFERROR(INDEX(Positions!$L$7:$L$173,MATCH(B100,Positions!$B$7:$B$173,0)),"")</f>
        <v>105.48835564302649</v>
      </c>
      <c r="R100" s="9" t="str">
        <f t="shared" si="12"/>
        <v/>
      </c>
      <c r="S100" s="9" t="str">
        <f t="shared" si="13"/>
        <v/>
      </c>
      <c r="T100" s="9" t="str">
        <f t="shared" si="14"/>
        <v/>
      </c>
      <c r="U100" s="9" t="str">
        <f t="shared" si="15"/>
        <v/>
      </c>
      <c r="V100" s="9" t="str">
        <f t="shared" si="16"/>
        <v/>
      </c>
      <c r="W100" s="9" t="str">
        <f t="shared" si="17"/>
        <v/>
      </c>
      <c r="X100" s="34" t="str">
        <f>IF(W100="","",COUNTIF($W$7:W100,"?*"))</f>
        <v/>
      </c>
    </row>
    <row r="101" spans="2:24" x14ac:dyDescent="0.2">
      <c r="B101" s="9" t="s">
        <v>369</v>
      </c>
      <c r="C101" s="9" t="s">
        <v>370</v>
      </c>
      <c r="D101" s="9" t="s">
        <v>371</v>
      </c>
      <c r="E101" s="19">
        <v>47378</v>
      </c>
      <c r="F101" s="20">
        <v>0.875</v>
      </c>
      <c r="G101" s="13">
        <v>200000</v>
      </c>
      <c r="H101" s="21">
        <v>90.1785</v>
      </c>
      <c r="I101" s="22">
        <v>1380.82</v>
      </c>
      <c r="J101" s="22">
        <v>181737.82</v>
      </c>
      <c r="K101" s="19">
        <v>45838</v>
      </c>
      <c r="L101" s="34">
        <v>5</v>
      </c>
      <c r="M101" s="9" t="s">
        <v>681</v>
      </c>
      <c r="N101" s="22">
        <v>7.0485839387401938E-12</v>
      </c>
      <c r="O101" s="9" t="s">
        <v>158</v>
      </c>
      <c r="P101" s="9"/>
      <c r="Q101" s="34">
        <f>IFERROR(INDEX(Positions!$L$7:$L$173,MATCH(B101,Positions!$B$7:$B$173,0)),"")</f>
        <v>128.44708725155169</v>
      </c>
      <c r="R101" s="9" t="str">
        <f t="shared" si="12"/>
        <v/>
      </c>
      <c r="S101" s="9" t="str">
        <f t="shared" si="13"/>
        <v/>
      </c>
      <c r="T101" s="9" t="str">
        <f t="shared" si="14"/>
        <v/>
      </c>
      <c r="U101" s="9" t="str">
        <f t="shared" si="15"/>
        <v/>
      </c>
      <c r="V101" s="9" t="str">
        <f t="shared" si="16"/>
        <v/>
      </c>
      <c r="W101" s="9" t="str">
        <f t="shared" si="17"/>
        <v/>
      </c>
      <c r="X101" s="34" t="str">
        <f>IF(W101="","",COUNTIF($W$7:W101,"?*"))</f>
        <v/>
      </c>
    </row>
    <row r="102" spans="2:24" x14ac:dyDescent="0.2">
      <c r="B102" s="9" t="s">
        <v>372</v>
      </c>
      <c r="C102" s="9" t="s">
        <v>373</v>
      </c>
      <c r="D102" s="9" t="s">
        <v>374</v>
      </c>
      <c r="E102" s="19">
        <v>49215</v>
      </c>
      <c r="F102" s="20">
        <v>0.875</v>
      </c>
      <c r="G102" s="13">
        <v>20000000</v>
      </c>
      <c r="H102" s="21">
        <v>78.721000000000004</v>
      </c>
      <c r="I102" s="22">
        <v>132808.22</v>
      </c>
      <c r="J102" s="22">
        <v>15877008.220000001</v>
      </c>
      <c r="K102" s="19">
        <v>45838</v>
      </c>
      <c r="L102" s="34">
        <v>5</v>
      </c>
      <c r="M102" s="9" t="s">
        <v>681</v>
      </c>
      <c r="N102" s="22">
        <v>6.6938810050487518E-10</v>
      </c>
      <c r="O102" s="9" t="s">
        <v>158</v>
      </c>
      <c r="P102" s="9"/>
      <c r="Q102" s="34">
        <f>IFERROR(INDEX(Positions!$L$7:$L$173,MATCH(B102,Positions!$B$7:$B$173,0)),"")</f>
        <v>97.389399990744508</v>
      </c>
      <c r="R102" s="9" t="str">
        <f t="shared" si="12"/>
        <v/>
      </c>
      <c r="S102" s="9" t="str">
        <f t="shared" si="13"/>
        <v/>
      </c>
      <c r="T102" s="9" t="str">
        <f t="shared" si="14"/>
        <v/>
      </c>
      <c r="U102" s="9" t="str">
        <f t="shared" si="15"/>
        <v/>
      </c>
      <c r="V102" s="9" t="str">
        <f t="shared" si="16"/>
        <v/>
      </c>
      <c r="W102" s="9" t="str">
        <f t="shared" si="17"/>
        <v/>
      </c>
      <c r="X102" s="34" t="str">
        <f>IF(W102="","",COUNTIF($W$7:W102,"?*"))</f>
        <v/>
      </c>
    </row>
    <row r="103" spans="2:24" x14ac:dyDescent="0.2">
      <c r="B103" s="9" t="s">
        <v>375</v>
      </c>
      <c r="C103" s="9" t="s">
        <v>376</v>
      </c>
      <c r="D103" s="9" t="s">
        <v>377</v>
      </c>
      <c r="E103" s="19">
        <v>47041</v>
      </c>
      <c r="F103" s="20">
        <v>5</v>
      </c>
      <c r="G103" s="13">
        <v>11400000</v>
      </c>
      <c r="H103" s="21">
        <v>85.647999999999996</v>
      </c>
      <c r="I103" s="22">
        <v>121916.67</v>
      </c>
      <c r="J103" s="22">
        <v>9885788.6699999999</v>
      </c>
      <c r="K103" s="19">
        <v>45838</v>
      </c>
      <c r="L103" s="34">
        <v>5</v>
      </c>
      <c r="M103" s="9" t="s">
        <v>682</v>
      </c>
      <c r="N103" s="22">
        <v>-7.2759576141834259E-11</v>
      </c>
      <c r="O103" s="9" t="s">
        <v>158</v>
      </c>
      <c r="P103" s="9"/>
      <c r="Q103" s="34">
        <f>IFERROR(INDEX(Positions!$L$7:$L$173,MATCH(B103,Positions!$B$7:$B$173,0)),"")</f>
        <v>880.89059260034765</v>
      </c>
      <c r="R103" s="9" t="str">
        <f t="shared" ref="R103:R134" si="18">IF(E103&lt;=RL_Date,"OUI","")</f>
        <v/>
      </c>
      <c r="S103" s="9" t="str">
        <f t="shared" ref="S103:S134" si="19">IF(OR(H103&lt;=0,J103&lt;=0),"OUI","")</f>
        <v/>
      </c>
      <c r="T103" s="9" t="str">
        <f t="shared" ref="T103:T134" si="20">IF(RL_Date-K103&gt;RL_Age_Prix,"OUI","")</f>
        <v/>
      </c>
      <c r="U103" s="9" t="str">
        <f t="shared" ref="U103:U134" si="21">IF(AND(ISNUMBER(Q103),Q103&gt;RL_Spread_Revue),"OUI","")</f>
        <v>OUI</v>
      </c>
      <c r="V103" s="9" t="str">
        <f t="shared" ref="V103:V134" si="22">IF(ABS(N103)&gt;0.02,"OUI","")</f>
        <v/>
      </c>
      <c r="W103" s="9" t="str">
        <f t="shared" ref="W103:W134" si="23">IF(OR(R103="OUI",S103="OUI",T103="OUI",V103="OUI"),"À instruire",IF(U103="OUI","À examiner",""))</f>
        <v>À examiner</v>
      </c>
      <c r="X103" s="34">
        <f>IF(W103="","",COUNTIF($W$7:W103,"?*"))</f>
        <v>3</v>
      </c>
    </row>
    <row r="104" spans="2:24" x14ac:dyDescent="0.2">
      <c r="B104" s="9" t="s">
        <v>378</v>
      </c>
      <c r="C104" s="9" t="s">
        <v>379</v>
      </c>
      <c r="D104" s="9" t="s">
        <v>362</v>
      </c>
      <c r="E104" s="19">
        <v>47502</v>
      </c>
      <c r="F104" s="20">
        <v>2.085</v>
      </c>
      <c r="G104" s="13">
        <v>12600000</v>
      </c>
      <c r="H104" s="21">
        <v>95.042000000000002</v>
      </c>
      <c r="I104" s="22">
        <v>118039.56</v>
      </c>
      <c r="J104" s="22">
        <v>12093331.560000001</v>
      </c>
      <c r="K104" s="19">
        <v>45838</v>
      </c>
      <c r="L104" s="34">
        <v>5</v>
      </c>
      <c r="M104" s="9" t="s">
        <v>681</v>
      </c>
      <c r="N104" s="22">
        <v>5.2386894822120667E-10</v>
      </c>
      <c r="O104" s="9" t="s">
        <v>158</v>
      </c>
      <c r="P104" s="9"/>
      <c r="Q104" s="34">
        <f>IFERROR(INDEX(Positions!$L$7:$L$173,MATCH(B104,Positions!$B$7:$B$173,0)),"")</f>
        <v>111.4062867315662</v>
      </c>
      <c r="R104" s="9" t="str">
        <f t="shared" si="18"/>
        <v/>
      </c>
      <c r="S104" s="9" t="str">
        <f t="shared" si="19"/>
        <v/>
      </c>
      <c r="T104" s="9" t="str">
        <f t="shared" si="20"/>
        <v/>
      </c>
      <c r="U104" s="9" t="str">
        <f t="shared" si="21"/>
        <v/>
      </c>
      <c r="V104" s="9" t="str">
        <f t="shared" si="22"/>
        <v/>
      </c>
      <c r="W104" s="9" t="str">
        <f t="shared" si="23"/>
        <v/>
      </c>
      <c r="X104" s="34" t="str">
        <f>IF(W104="","",COUNTIF($W$7:W104,"?*"))</f>
        <v/>
      </c>
    </row>
    <row r="105" spans="2:24" x14ac:dyDescent="0.2">
      <c r="B105" s="9" t="s">
        <v>380</v>
      </c>
      <c r="C105" s="9" t="s">
        <v>381</v>
      </c>
      <c r="D105" s="9" t="s">
        <v>362</v>
      </c>
      <c r="E105" s="19">
        <v>46041</v>
      </c>
      <c r="F105" s="20">
        <v>1.2070000000000001</v>
      </c>
      <c r="G105" s="13">
        <v>6050000</v>
      </c>
      <c r="H105" s="21">
        <v>99.420500000000004</v>
      </c>
      <c r="I105" s="22">
        <v>32810.559999999998</v>
      </c>
      <c r="J105" s="22">
        <v>6047750.8099999996</v>
      </c>
      <c r="K105" s="19">
        <v>45838</v>
      </c>
      <c r="L105" s="34">
        <v>5</v>
      </c>
      <c r="M105" s="9" t="s">
        <v>681</v>
      </c>
      <c r="N105" s="22">
        <v>-4.074536263942719E-10</v>
      </c>
      <c r="O105" s="9" t="s">
        <v>158</v>
      </c>
      <c r="P105" s="9"/>
      <c r="Q105" s="34">
        <f>IFERROR(INDEX(Positions!$L$7:$L$173,MATCH(B105,Positions!$B$7:$B$173,0)),"")</f>
        <v>38.070941801303817</v>
      </c>
      <c r="R105" s="9" t="str">
        <f t="shared" si="18"/>
        <v/>
      </c>
      <c r="S105" s="9" t="str">
        <f t="shared" si="19"/>
        <v/>
      </c>
      <c r="T105" s="9" t="str">
        <f t="shared" si="20"/>
        <v/>
      </c>
      <c r="U105" s="9" t="str">
        <f t="shared" si="21"/>
        <v/>
      </c>
      <c r="V105" s="9" t="str">
        <f t="shared" si="22"/>
        <v/>
      </c>
      <c r="W105" s="9" t="str">
        <f t="shared" si="23"/>
        <v/>
      </c>
      <c r="X105" s="34" t="str">
        <f>IF(W105="","",COUNTIF($W$7:W105,"?*"))</f>
        <v/>
      </c>
    </row>
    <row r="106" spans="2:24" x14ac:dyDescent="0.2">
      <c r="B106" s="9" t="s">
        <v>382</v>
      </c>
      <c r="C106" s="9" t="s">
        <v>383</v>
      </c>
      <c r="D106" s="9" t="s">
        <v>384</v>
      </c>
      <c r="E106" s="19">
        <v>46491</v>
      </c>
      <c r="F106" s="20">
        <v>3.125</v>
      </c>
      <c r="G106" s="13">
        <v>18000000</v>
      </c>
      <c r="H106" s="21">
        <v>100.7475</v>
      </c>
      <c r="I106" s="22">
        <v>121746.58</v>
      </c>
      <c r="J106" s="22">
        <v>18256296.579999998</v>
      </c>
      <c r="K106" s="19">
        <v>45838</v>
      </c>
      <c r="L106" s="34">
        <v>5</v>
      </c>
      <c r="M106" s="9" t="s">
        <v>681</v>
      </c>
      <c r="N106" s="22">
        <v>-1.789885573089123E-9</v>
      </c>
      <c r="O106" s="9" t="s">
        <v>158</v>
      </c>
      <c r="P106" s="9"/>
      <c r="Q106" s="34">
        <f>IFERROR(INDEX(Positions!$L$7:$L$173,MATCH(B106,Positions!$B$7:$B$173,0)),"")</f>
        <v>79.930673954612743</v>
      </c>
      <c r="R106" s="9" t="str">
        <f t="shared" si="18"/>
        <v/>
      </c>
      <c r="S106" s="9" t="str">
        <f t="shared" si="19"/>
        <v/>
      </c>
      <c r="T106" s="9" t="str">
        <f t="shared" si="20"/>
        <v/>
      </c>
      <c r="U106" s="9" t="str">
        <f t="shared" si="21"/>
        <v/>
      </c>
      <c r="V106" s="9" t="str">
        <f t="shared" si="22"/>
        <v/>
      </c>
      <c r="W106" s="9" t="str">
        <f t="shared" si="23"/>
        <v/>
      </c>
      <c r="X106" s="34" t="str">
        <f>IF(W106="","",COUNTIF($W$7:W106,"?*"))</f>
        <v/>
      </c>
    </row>
    <row r="107" spans="2:24" x14ac:dyDescent="0.2">
      <c r="B107" s="9" t="s">
        <v>385</v>
      </c>
      <c r="C107" s="9" t="s">
        <v>386</v>
      </c>
      <c r="D107" s="9" t="s">
        <v>387</v>
      </c>
      <c r="E107" s="19">
        <v>46573</v>
      </c>
      <c r="F107" s="20">
        <v>4</v>
      </c>
      <c r="G107" s="13">
        <v>4000000</v>
      </c>
      <c r="H107" s="21">
        <v>102.90049999999999</v>
      </c>
      <c r="I107" s="22">
        <v>158684.93</v>
      </c>
      <c r="J107" s="22">
        <v>4274704.93</v>
      </c>
      <c r="K107" s="19">
        <v>45838</v>
      </c>
      <c r="L107" s="34">
        <v>5</v>
      </c>
      <c r="M107" s="9" t="s">
        <v>681</v>
      </c>
      <c r="N107" s="22">
        <v>-2.9103830456733698E-10</v>
      </c>
      <c r="O107" s="9" t="s">
        <v>158</v>
      </c>
      <c r="P107" s="9"/>
      <c r="Q107" s="34">
        <f>IFERROR(INDEX(Positions!$L$7:$L$173,MATCH(B107,Positions!$B$7:$B$173,0)),"")</f>
        <v>61.857954683552983</v>
      </c>
      <c r="R107" s="9" t="str">
        <f t="shared" si="18"/>
        <v/>
      </c>
      <c r="S107" s="9" t="str">
        <f t="shared" si="19"/>
        <v/>
      </c>
      <c r="T107" s="9" t="str">
        <f t="shared" si="20"/>
        <v/>
      </c>
      <c r="U107" s="9" t="str">
        <f t="shared" si="21"/>
        <v/>
      </c>
      <c r="V107" s="9" t="str">
        <f t="shared" si="22"/>
        <v/>
      </c>
      <c r="W107" s="9" t="str">
        <f t="shared" si="23"/>
        <v/>
      </c>
      <c r="X107" s="34" t="str">
        <f>IF(W107="","",COUNTIF($W$7:W107,"?*"))</f>
        <v/>
      </c>
    </row>
    <row r="108" spans="2:24" x14ac:dyDescent="0.2">
      <c r="B108" s="9" t="s">
        <v>388</v>
      </c>
      <c r="C108" s="9" t="s">
        <v>389</v>
      </c>
      <c r="D108" s="9" t="s">
        <v>390</v>
      </c>
      <c r="E108" s="19">
        <v>49250</v>
      </c>
      <c r="F108" s="20">
        <v>4.125</v>
      </c>
      <c r="G108" s="13">
        <v>10000000</v>
      </c>
      <c r="H108" s="21">
        <v>104.2705</v>
      </c>
      <c r="I108" s="22">
        <v>273493.15000000002</v>
      </c>
      <c r="J108" s="22">
        <v>10700543.15</v>
      </c>
      <c r="K108" s="19">
        <v>45838</v>
      </c>
      <c r="L108" s="34">
        <v>5</v>
      </c>
      <c r="M108" s="9" t="s">
        <v>681</v>
      </c>
      <c r="N108" s="22">
        <v>3.4924596548080439E-10</v>
      </c>
      <c r="O108" s="9" t="s">
        <v>158</v>
      </c>
      <c r="P108" s="9"/>
      <c r="Q108" s="34">
        <f>IFERROR(INDEX(Positions!$L$7:$L$173,MATCH(B108,Positions!$B$7:$B$173,0)),"")</f>
        <v>96.15579366450342</v>
      </c>
      <c r="R108" s="9" t="str">
        <f t="shared" si="18"/>
        <v/>
      </c>
      <c r="S108" s="9" t="str">
        <f t="shared" si="19"/>
        <v/>
      </c>
      <c r="T108" s="9" t="str">
        <f t="shared" si="20"/>
        <v/>
      </c>
      <c r="U108" s="9" t="str">
        <f t="shared" si="21"/>
        <v/>
      </c>
      <c r="V108" s="9" t="str">
        <f t="shared" si="22"/>
        <v/>
      </c>
      <c r="W108" s="9" t="str">
        <f t="shared" si="23"/>
        <v/>
      </c>
      <c r="X108" s="34" t="str">
        <f>IF(W108="","",COUNTIF($W$7:W108,"?*"))</f>
        <v/>
      </c>
    </row>
    <row r="109" spans="2:24" x14ac:dyDescent="0.2">
      <c r="B109" s="9" t="s">
        <v>391</v>
      </c>
      <c r="C109" s="9" t="s">
        <v>392</v>
      </c>
      <c r="D109" s="9" t="s">
        <v>393</v>
      </c>
      <c r="E109" s="19">
        <v>47493</v>
      </c>
      <c r="F109" s="20">
        <v>4</v>
      </c>
      <c r="G109" s="13">
        <v>17100000</v>
      </c>
      <c r="H109" s="21">
        <v>104.6675</v>
      </c>
      <c r="I109" s="22">
        <v>324197.26</v>
      </c>
      <c r="J109" s="22">
        <v>18222339.760000002</v>
      </c>
      <c r="K109" s="19">
        <v>45838</v>
      </c>
      <c r="L109" s="34">
        <v>5</v>
      </c>
      <c r="M109" s="9" t="s">
        <v>681</v>
      </c>
      <c r="N109" s="22">
        <v>1.629814505577087E-9</v>
      </c>
      <c r="O109" s="9" t="s">
        <v>158</v>
      </c>
      <c r="P109" s="9"/>
      <c r="Q109" s="34">
        <f>IFERROR(INDEX(Positions!$L$7:$L$173,MATCH(B109,Positions!$B$7:$B$173,0)),"")</f>
        <v>74.242841300716705</v>
      </c>
      <c r="R109" s="9" t="str">
        <f t="shared" si="18"/>
        <v/>
      </c>
      <c r="S109" s="9" t="str">
        <f t="shared" si="19"/>
        <v/>
      </c>
      <c r="T109" s="9" t="str">
        <f t="shared" si="20"/>
        <v/>
      </c>
      <c r="U109" s="9" t="str">
        <f t="shared" si="21"/>
        <v/>
      </c>
      <c r="V109" s="9" t="str">
        <f t="shared" si="22"/>
        <v/>
      </c>
      <c r="W109" s="9" t="str">
        <f t="shared" si="23"/>
        <v/>
      </c>
      <c r="X109" s="34" t="str">
        <f>IF(W109="","",COUNTIF($W$7:W109,"?*"))</f>
        <v/>
      </c>
    </row>
    <row r="110" spans="2:24" x14ac:dyDescent="0.2">
      <c r="B110" s="9" t="s">
        <v>394</v>
      </c>
      <c r="C110" s="9" t="s">
        <v>395</v>
      </c>
      <c r="D110" s="9" t="s">
        <v>368</v>
      </c>
      <c r="E110" s="19">
        <v>49325</v>
      </c>
      <c r="F110" s="20">
        <v>4.2750000000000004</v>
      </c>
      <c r="G110" s="13">
        <v>10000000</v>
      </c>
      <c r="H110" s="21">
        <v>104.09650000000001</v>
      </c>
      <c r="I110" s="22">
        <v>195595.89</v>
      </c>
      <c r="J110" s="22">
        <v>10605245.890000001</v>
      </c>
      <c r="K110" s="19">
        <v>45838</v>
      </c>
      <c r="L110" s="34">
        <v>5</v>
      </c>
      <c r="M110" s="9" t="s">
        <v>681</v>
      </c>
      <c r="N110" s="22">
        <v>-1.280568540096283E-9</v>
      </c>
      <c r="O110" s="9" t="s">
        <v>158</v>
      </c>
      <c r="P110" s="9"/>
      <c r="Q110" s="34">
        <f>IFERROR(INDEX(Positions!$L$7:$L$173,MATCH(B110,Positions!$B$7:$B$173,0)),"")</f>
        <v>111.5786172557668</v>
      </c>
      <c r="R110" s="9" t="str">
        <f t="shared" si="18"/>
        <v/>
      </c>
      <c r="S110" s="9" t="str">
        <f t="shared" si="19"/>
        <v/>
      </c>
      <c r="T110" s="9" t="str">
        <f t="shared" si="20"/>
        <v/>
      </c>
      <c r="U110" s="9" t="str">
        <f t="shared" si="21"/>
        <v/>
      </c>
      <c r="V110" s="9" t="str">
        <f t="shared" si="22"/>
        <v/>
      </c>
      <c r="W110" s="9" t="str">
        <f t="shared" si="23"/>
        <v/>
      </c>
      <c r="X110" s="34" t="str">
        <f>IF(W110="","",COUNTIF($W$7:W110,"?*"))</f>
        <v/>
      </c>
    </row>
    <row r="111" spans="2:24" x14ac:dyDescent="0.2">
      <c r="B111" s="9" t="s">
        <v>396</v>
      </c>
      <c r="C111" s="9" t="s">
        <v>397</v>
      </c>
      <c r="D111" s="9" t="s">
        <v>398</v>
      </c>
      <c r="E111" s="19">
        <v>47560</v>
      </c>
      <c r="F111" s="20">
        <v>4.25</v>
      </c>
      <c r="G111" s="13">
        <v>5300000</v>
      </c>
      <c r="H111" s="21">
        <v>104.5145</v>
      </c>
      <c r="I111" s="22">
        <v>65415.07</v>
      </c>
      <c r="J111" s="22">
        <v>5604683.5700000003</v>
      </c>
      <c r="K111" s="19">
        <v>45838</v>
      </c>
      <c r="L111" s="34">
        <v>5</v>
      </c>
      <c r="M111" s="9" t="s">
        <v>681</v>
      </c>
      <c r="N111" s="22">
        <v>2.9831426218152051E-10</v>
      </c>
      <c r="O111" s="9" t="s">
        <v>158</v>
      </c>
      <c r="P111" s="9"/>
      <c r="Q111" s="34">
        <f>IFERROR(INDEX(Positions!$L$7:$L$173,MATCH(B111,Positions!$B$7:$B$173,0)),"")</f>
        <v>103.29192166312239</v>
      </c>
      <c r="R111" s="9" t="str">
        <f t="shared" si="18"/>
        <v/>
      </c>
      <c r="S111" s="9" t="str">
        <f t="shared" si="19"/>
        <v/>
      </c>
      <c r="T111" s="9" t="str">
        <f t="shared" si="20"/>
        <v/>
      </c>
      <c r="U111" s="9" t="str">
        <f t="shared" si="21"/>
        <v/>
      </c>
      <c r="V111" s="9" t="str">
        <f t="shared" si="22"/>
        <v/>
      </c>
      <c r="W111" s="9" t="str">
        <f t="shared" si="23"/>
        <v/>
      </c>
      <c r="X111" s="34" t="str">
        <f>IF(W111="","",COUNTIF($W$7:W111,"?*"))</f>
        <v/>
      </c>
    </row>
    <row r="112" spans="2:24" x14ac:dyDescent="0.2">
      <c r="B112" s="9" t="s">
        <v>399</v>
      </c>
      <c r="C112" s="9" t="s">
        <v>400</v>
      </c>
      <c r="D112" s="9" t="s">
        <v>401</v>
      </c>
      <c r="E112" s="19">
        <v>46813</v>
      </c>
      <c r="F112" s="20">
        <v>8</v>
      </c>
      <c r="G112" s="13">
        <v>8500000</v>
      </c>
      <c r="H112" s="21">
        <v>56.063499999999998</v>
      </c>
      <c r="I112" s="22">
        <v>202111.11</v>
      </c>
      <c r="J112" s="22">
        <v>4967508.6100000003</v>
      </c>
      <c r="K112" s="19">
        <v>45838</v>
      </c>
      <c r="L112" s="34">
        <v>5</v>
      </c>
      <c r="M112" s="9" t="s">
        <v>682</v>
      </c>
      <c r="N112" s="22">
        <v>3.4924596548080439E-10</v>
      </c>
      <c r="O112" s="9" t="s">
        <v>158</v>
      </c>
      <c r="P112" s="9"/>
      <c r="Q112" s="34">
        <f>IFERROR(INDEX(Positions!$L$7:$L$173,MATCH(B112,Positions!$B$7:$B$173,0)),"")</f>
        <v>2912.3543481808229</v>
      </c>
      <c r="R112" s="9" t="str">
        <f t="shared" si="18"/>
        <v/>
      </c>
      <c r="S112" s="9" t="str">
        <f t="shared" si="19"/>
        <v/>
      </c>
      <c r="T112" s="9" t="str">
        <f t="shared" si="20"/>
        <v/>
      </c>
      <c r="U112" s="9" t="str">
        <f t="shared" si="21"/>
        <v>OUI</v>
      </c>
      <c r="V112" s="9" t="str">
        <f t="shared" si="22"/>
        <v/>
      </c>
      <c r="W112" s="9" t="str">
        <f t="shared" si="23"/>
        <v>À examiner</v>
      </c>
      <c r="X112" s="34">
        <f>IF(W112="","",COUNTIF($W$7:W112,"?*"))</f>
        <v>4</v>
      </c>
    </row>
    <row r="113" spans="2:24" x14ac:dyDescent="0.2">
      <c r="B113" s="9" t="s">
        <v>402</v>
      </c>
      <c r="C113" s="9" t="s">
        <v>403</v>
      </c>
      <c r="D113" s="9" t="s">
        <v>404</v>
      </c>
      <c r="E113" s="19">
        <v>46811</v>
      </c>
      <c r="F113" s="20">
        <v>4.875</v>
      </c>
      <c r="G113" s="13">
        <v>6800000</v>
      </c>
      <c r="H113" s="21">
        <v>104.608</v>
      </c>
      <c r="I113" s="22">
        <v>112619.18</v>
      </c>
      <c r="J113" s="22">
        <v>7225963.1799999997</v>
      </c>
      <c r="K113" s="19">
        <v>45838</v>
      </c>
      <c r="L113" s="34">
        <v>5</v>
      </c>
      <c r="M113" s="9" t="s">
        <v>681</v>
      </c>
      <c r="N113" s="22">
        <v>-2.9103830456733698E-10</v>
      </c>
      <c r="O113" s="9" t="s">
        <v>158</v>
      </c>
      <c r="P113" s="9"/>
      <c r="Q113" s="34">
        <f>IFERROR(INDEX(Positions!$L$7:$L$173,MATCH(B113,Positions!$B$7:$B$173,0)),"")</f>
        <v>107.85656597417029</v>
      </c>
      <c r="R113" s="9" t="str">
        <f t="shared" si="18"/>
        <v/>
      </c>
      <c r="S113" s="9" t="str">
        <f t="shared" si="19"/>
        <v/>
      </c>
      <c r="T113" s="9" t="str">
        <f t="shared" si="20"/>
        <v/>
      </c>
      <c r="U113" s="9" t="str">
        <f t="shared" si="21"/>
        <v/>
      </c>
      <c r="V113" s="9" t="str">
        <f t="shared" si="22"/>
        <v/>
      </c>
      <c r="W113" s="9" t="str">
        <f t="shared" si="23"/>
        <v/>
      </c>
      <c r="X113" s="34" t="str">
        <f>IF(W113="","",COUNTIF($W$7:W113,"?*"))</f>
        <v/>
      </c>
    </row>
    <row r="114" spans="2:24" x14ac:dyDescent="0.2">
      <c r="B114" s="9" t="s">
        <v>405</v>
      </c>
      <c r="C114" s="9" t="s">
        <v>406</v>
      </c>
      <c r="D114" s="9" t="s">
        <v>407</v>
      </c>
      <c r="E114" s="19">
        <v>48702</v>
      </c>
      <c r="F114" s="20">
        <v>4.375</v>
      </c>
      <c r="G114" s="13">
        <v>20000000</v>
      </c>
      <c r="H114" s="21">
        <v>105.0745</v>
      </c>
      <c r="I114" s="22">
        <v>143835.62</v>
      </c>
      <c r="J114" s="22">
        <v>21158735.620000001</v>
      </c>
      <c r="K114" s="19">
        <v>45838</v>
      </c>
      <c r="L114" s="34">
        <v>5</v>
      </c>
      <c r="M114" s="9" t="s">
        <v>681</v>
      </c>
      <c r="N114" s="22">
        <v>1.0477378964424129E-9</v>
      </c>
      <c r="O114" s="9" t="s">
        <v>158</v>
      </c>
      <c r="P114" s="9"/>
      <c r="Q114" s="34">
        <f>IFERROR(INDEX(Positions!$L$7:$L$173,MATCH(B114,Positions!$B$7:$B$173,0)),"")</f>
        <v>114.16410879793681</v>
      </c>
      <c r="R114" s="9" t="str">
        <f t="shared" si="18"/>
        <v/>
      </c>
      <c r="S114" s="9" t="str">
        <f t="shared" si="19"/>
        <v/>
      </c>
      <c r="T114" s="9" t="str">
        <f t="shared" si="20"/>
        <v/>
      </c>
      <c r="U114" s="9" t="str">
        <f t="shared" si="21"/>
        <v/>
      </c>
      <c r="V114" s="9" t="str">
        <f t="shared" si="22"/>
        <v/>
      </c>
      <c r="W114" s="9" t="str">
        <f t="shared" si="23"/>
        <v/>
      </c>
      <c r="X114" s="34" t="str">
        <f>IF(W114="","",COUNTIF($W$7:W114,"?*"))</f>
        <v/>
      </c>
    </row>
    <row r="115" spans="2:24" x14ac:dyDescent="0.2">
      <c r="B115" s="9" t="s">
        <v>408</v>
      </c>
      <c r="C115" s="9" t="s">
        <v>409</v>
      </c>
      <c r="D115" s="9" t="s">
        <v>410</v>
      </c>
      <c r="E115" s="19">
        <v>47971</v>
      </c>
      <c r="F115" s="20">
        <v>4.625</v>
      </c>
      <c r="G115" s="13">
        <v>21000000</v>
      </c>
      <c r="H115" s="21">
        <v>104.979</v>
      </c>
      <c r="I115" s="22">
        <v>159657.53</v>
      </c>
      <c r="J115" s="22">
        <v>22205247.530000001</v>
      </c>
      <c r="K115" s="19">
        <v>45838</v>
      </c>
      <c r="L115" s="34">
        <v>5</v>
      </c>
      <c r="M115" s="9" t="s">
        <v>681</v>
      </c>
      <c r="N115" s="22">
        <v>1.1932570487260821E-9</v>
      </c>
      <c r="O115" s="9" t="s">
        <v>158</v>
      </c>
      <c r="P115" s="9"/>
      <c r="Q115" s="34">
        <f>IFERROR(INDEX(Positions!$L$7:$L$173,MATCH(B115,Positions!$B$7:$B$173,0)),"")</f>
        <v>137.21329437317021</v>
      </c>
      <c r="R115" s="9" t="str">
        <f t="shared" si="18"/>
        <v/>
      </c>
      <c r="S115" s="9" t="str">
        <f t="shared" si="19"/>
        <v/>
      </c>
      <c r="T115" s="9" t="str">
        <f t="shared" si="20"/>
        <v/>
      </c>
      <c r="U115" s="9" t="str">
        <f t="shared" si="21"/>
        <v/>
      </c>
      <c r="V115" s="9" t="str">
        <f t="shared" si="22"/>
        <v/>
      </c>
      <c r="W115" s="9" t="str">
        <f t="shared" si="23"/>
        <v/>
      </c>
      <c r="X115" s="34" t="str">
        <f>IF(W115="","",COUNTIF($W$7:W115,"?*"))</f>
        <v/>
      </c>
    </row>
    <row r="116" spans="2:24" x14ac:dyDescent="0.2">
      <c r="B116" s="9" t="s">
        <v>411</v>
      </c>
      <c r="C116" s="9" t="s">
        <v>412</v>
      </c>
      <c r="D116" s="9" t="s">
        <v>413</v>
      </c>
      <c r="E116" s="19">
        <v>48711</v>
      </c>
      <c r="F116" s="20">
        <v>4.125</v>
      </c>
      <c r="G116" s="13">
        <v>17800000</v>
      </c>
      <c r="H116" s="21">
        <v>104.346</v>
      </c>
      <c r="I116" s="22">
        <v>102593.84</v>
      </c>
      <c r="J116" s="22">
        <v>18676181.84</v>
      </c>
      <c r="K116" s="19">
        <v>45838</v>
      </c>
      <c r="L116" s="34">
        <v>5</v>
      </c>
      <c r="M116" s="9" t="s">
        <v>681</v>
      </c>
      <c r="N116" s="22">
        <v>-1.4551915228366849E-10</v>
      </c>
      <c r="O116" s="9" t="s">
        <v>158</v>
      </c>
      <c r="P116" s="9"/>
      <c r="Q116" s="34">
        <f>IFERROR(INDEX(Positions!$L$7:$L$173,MATCH(B116,Positions!$B$7:$B$173,0)),"")</f>
        <v>100.5961044140669</v>
      </c>
      <c r="R116" s="9" t="str">
        <f t="shared" si="18"/>
        <v/>
      </c>
      <c r="S116" s="9" t="str">
        <f t="shared" si="19"/>
        <v/>
      </c>
      <c r="T116" s="9" t="str">
        <f t="shared" si="20"/>
        <v/>
      </c>
      <c r="U116" s="9" t="str">
        <f t="shared" si="21"/>
        <v/>
      </c>
      <c r="V116" s="9" t="str">
        <f t="shared" si="22"/>
        <v/>
      </c>
      <c r="W116" s="9" t="str">
        <f t="shared" si="23"/>
        <v/>
      </c>
      <c r="X116" s="34" t="str">
        <f>IF(W116="","",COUNTIF($W$7:W116,"?*"))</f>
        <v/>
      </c>
    </row>
    <row r="117" spans="2:24" x14ac:dyDescent="0.2">
      <c r="B117" s="9" t="s">
        <v>414</v>
      </c>
      <c r="C117" s="9" t="s">
        <v>415</v>
      </c>
      <c r="D117" s="9" t="s">
        <v>416</v>
      </c>
      <c r="E117" s="19">
        <v>46157</v>
      </c>
      <c r="F117" s="20">
        <v>3.875</v>
      </c>
      <c r="G117" s="13">
        <v>18350000</v>
      </c>
      <c r="H117" s="21">
        <v>101.002</v>
      </c>
      <c r="I117" s="22">
        <v>93509.59</v>
      </c>
      <c r="J117" s="22">
        <v>18627376.59</v>
      </c>
      <c r="K117" s="19">
        <v>45838</v>
      </c>
      <c r="L117" s="34">
        <v>5</v>
      </c>
      <c r="M117" s="9" t="s">
        <v>681</v>
      </c>
      <c r="N117" s="22">
        <v>-1.4551915228366849E-10</v>
      </c>
      <c r="O117" s="9" t="s">
        <v>158</v>
      </c>
      <c r="P117" s="9"/>
      <c r="Q117" s="34">
        <f>IFERROR(INDEX(Positions!$L$7:$L$173,MATCH(B117,Positions!$B$7:$B$173,0)),"")</f>
        <v>79.031389323847918</v>
      </c>
      <c r="R117" s="9" t="str">
        <f t="shared" si="18"/>
        <v/>
      </c>
      <c r="S117" s="9" t="str">
        <f t="shared" si="19"/>
        <v/>
      </c>
      <c r="T117" s="9" t="str">
        <f t="shared" si="20"/>
        <v/>
      </c>
      <c r="U117" s="9" t="str">
        <f t="shared" si="21"/>
        <v/>
      </c>
      <c r="V117" s="9" t="str">
        <f t="shared" si="22"/>
        <v/>
      </c>
      <c r="W117" s="9" t="str">
        <f t="shared" si="23"/>
        <v/>
      </c>
      <c r="X117" s="34" t="str">
        <f>IF(W117="","",COUNTIF($W$7:W117,"?*"))</f>
        <v/>
      </c>
    </row>
    <row r="118" spans="2:24" x14ac:dyDescent="0.2">
      <c r="B118" s="9" t="s">
        <v>417</v>
      </c>
      <c r="C118" s="9" t="s">
        <v>418</v>
      </c>
      <c r="D118" s="9" t="s">
        <v>419</v>
      </c>
      <c r="E118" s="19">
        <v>47635</v>
      </c>
      <c r="F118" s="20">
        <v>4.75</v>
      </c>
      <c r="G118" s="13">
        <v>20000000</v>
      </c>
      <c r="H118" s="21">
        <v>106.482</v>
      </c>
      <c r="I118" s="22">
        <v>80684.929999999993</v>
      </c>
      <c r="J118" s="22">
        <v>21377084.93</v>
      </c>
      <c r="K118" s="19">
        <v>45838</v>
      </c>
      <c r="L118" s="34">
        <v>5</v>
      </c>
      <c r="M118" s="9" t="s">
        <v>681</v>
      </c>
      <c r="N118" s="22">
        <v>-2.9103830456733698E-10</v>
      </c>
      <c r="O118" s="9" t="s">
        <v>158</v>
      </c>
      <c r="P118" s="9"/>
      <c r="Q118" s="34">
        <f>IFERROR(INDEX(Positions!$L$7:$L$173,MATCH(B118,Positions!$B$7:$B$173,0)),"")</f>
        <v>111.1131193759438</v>
      </c>
      <c r="R118" s="9" t="str">
        <f t="shared" si="18"/>
        <v/>
      </c>
      <c r="S118" s="9" t="str">
        <f t="shared" si="19"/>
        <v/>
      </c>
      <c r="T118" s="9" t="str">
        <f t="shared" si="20"/>
        <v/>
      </c>
      <c r="U118" s="9" t="str">
        <f t="shared" si="21"/>
        <v/>
      </c>
      <c r="V118" s="9" t="str">
        <f t="shared" si="22"/>
        <v/>
      </c>
      <c r="W118" s="9" t="str">
        <f t="shared" si="23"/>
        <v/>
      </c>
      <c r="X118" s="34" t="str">
        <f>IF(W118="","",COUNTIF($W$7:W118,"?*"))</f>
        <v/>
      </c>
    </row>
    <row r="119" spans="2:24" x14ac:dyDescent="0.2">
      <c r="B119" s="9" t="s">
        <v>420</v>
      </c>
      <c r="C119" s="9" t="s">
        <v>421</v>
      </c>
      <c r="D119" s="9" t="s">
        <v>422</v>
      </c>
      <c r="E119" s="19">
        <v>47283</v>
      </c>
      <c r="F119" s="20">
        <v>4.875</v>
      </c>
      <c r="G119" s="13">
        <v>17500000</v>
      </c>
      <c r="H119" s="21">
        <v>106.205</v>
      </c>
      <c r="I119" s="22">
        <v>42071.92</v>
      </c>
      <c r="J119" s="22">
        <v>18627946.920000002</v>
      </c>
      <c r="K119" s="19">
        <v>45838</v>
      </c>
      <c r="L119" s="34">
        <v>5</v>
      </c>
      <c r="M119" s="9" t="s">
        <v>681</v>
      </c>
      <c r="N119" s="22">
        <v>1.789885573089123E-9</v>
      </c>
      <c r="O119" s="9" t="s">
        <v>158</v>
      </c>
      <c r="P119" s="9"/>
      <c r="Q119" s="34">
        <f>IFERROR(INDEX(Positions!$L$7:$L$173,MATCH(B119,Positions!$B$7:$B$173,0)),"")</f>
        <v>108.6597547895167</v>
      </c>
      <c r="R119" s="9" t="str">
        <f t="shared" si="18"/>
        <v/>
      </c>
      <c r="S119" s="9" t="str">
        <f t="shared" si="19"/>
        <v/>
      </c>
      <c r="T119" s="9" t="str">
        <f t="shared" si="20"/>
        <v/>
      </c>
      <c r="U119" s="9" t="str">
        <f t="shared" si="21"/>
        <v/>
      </c>
      <c r="V119" s="9" t="str">
        <f t="shared" si="22"/>
        <v/>
      </c>
      <c r="W119" s="9" t="str">
        <f t="shared" si="23"/>
        <v/>
      </c>
      <c r="X119" s="34" t="str">
        <f>IF(W119="","",COUNTIF($W$7:W119,"?*"))</f>
        <v/>
      </c>
    </row>
    <row r="120" spans="2:24" x14ac:dyDescent="0.2">
      <c r="B120" s="9" t="s">
        <v>423</v>
      </c>
      <c r="C120" s="9" t="s">
        <v>424</v>
      </c>
      <c r="D120" s="9" t="s">
        <v>425</v>
      </c>
      <c r="E120" s="19">
        <v>46229</v>
      </c>
      <c r="F120" s="20">
        <v>4.5</v>
      </c>
      <c r="G120" s="13">
        <v>8000000</v>
      </c>
      <c r="H120" s="21">
        <v>102.0215</v>
      </c>
      <c r="I120" s="22">
        <v>336328.77</v>
      </c>
      <c r="J120" s="22">
        <v>8498048.7699999996</v>
      </c>
      <c r="K120" s="19">
        <v>45838</v>
      </c>
      <c r="L120" s="34">
        <v>5</v>
      </c>
      <c r="M120" s="9" t="s">
        <v>681</v>
      </c>
      <c r="N120" s="22">
        <v>-4.6566128730773926E-10</v>
      </c>
      <c r="O120" s="9" t="s">
        <v>158</v>
      </c>
      <c r="P120" s="9"/>
      <c r="Q120" s="34">
        <f>IFERROR(INDEX(Positions!$L$7:$L$173,MATCH(B120,Positions!$B$7:$B$173,0)),"")</f>
        <v>66.132579722375155</v>
      </c>
      <c r="R120" s="9" t="str">
        <f t="shared" si="18"/>
        <v/>
      </c>
      <c r="S120" s="9" t="str">
        <f t="shared" si="19"/>
        <v/>
      </c>
      <c r="T120" s="9" t="str">
        <f t="shared" si="20"/>
        <v/>
      </c>
      <c r="U120" s="9" t="str">
        <f t="shared" si="21"/>
        <v/>
      </c>
      <c r="V120" s="9" t="str">
        <f t="shared" si="22"/>
        <v/>
      </c>
      <c r="W120" s="9" t="str">
        <f t="shared" si="23"/>
        <v/>
      </c>
      <c r="X120" s="34" t="str">
        <f>IF(W120="","",COUNTIF($W$7:W120,"?*"))</f>
        <v/>
      </c>
    </row>
    <row r="121" spans="2:24" x14ac:dyDescent="0.2">
      <c r="B121" s="9" t="s">
        <v>426</v>
      </c>
      <c r="C121" s="9" t="s">
        <v>427</v>
      </c>
      <c r="D121" s="9" t="s">
        <v>428</v>
      </c>
      <c r="E121" s="19">
        <v>47703</v>
      </c>
      <c r="F121" s="20">
        <v>4.9180000000000001</v>
      </c>
      <c r="G121" s="13">
        <v>20000000</v>
      </c>
      <c r="H121" s="21">
        <v>106.6785</v>
      </c>
      <c r="I121" s="22">
        <v>883892.6</v>
      </c>
      <c r="J121" s="22">
        <v>22219592.600000001</v>
      </c>
      <c r="K121" s="19">
        <v>45838</v>
      </c>
      <c r="L121" s="34">
        <v>5</v>
      </c>
      <c r="M121" s="9" t="s">
        <v>681</v>
      </c>
      <c r="N121" s="22">
        <v>1.513399183750153E-9</v>
      </c>
      <c r="O121" s="9" t="s">
        <v>158</v>
      </c>
      <c r="P121" s="9"/>
      <c r="Q121" s="34">
        <f>IFERROR(INDEX(Positions!$L$7:$L$173,MATCH(B121,Positions!$B$7:$B$173,0)),"")</f>
        <v>125.5352032759328</v>
      </c>
      <c r="R121" s="9" t="str">
        <f t="shared" si="18"/>
        <v/>
      </c>
      <c r="S121" s="9" t="str">
        <f t="shared" si="19"/>
        <v/>
      </c>
      <c r="T121" s="9" t="str">
        <f t="shared" si="20"/>
        <v/>
      </c>
      <c r="U121" s="9" t="str">
        <f t="shared" si="21"/>
        <v/>
      </c>
      <c r="V121" s="9" t="str">
        <f t="shared" si="22"/>
        <v/>
      </c>
      <c r="W121" s="9" t="str">
        <f t="shared" si="23"/>
        <v/>
      </c>
      <c r="X121" s="34" t="str">
        <f>IF(W121="","",COUNTIF($W$7:W121,"?*"))</f>
        <v/>
      </c>
    </row>
    <row r="122" spans="2:24" x14ac:dyDescent="0.2">
      <c r="B122" s="9" t="s">
        <v>429</v>
      </c>
      <c r="C122" s="9" t="s">
        <v>430</v>
      </c>
      <c r="D122" s="9" t="s">
        <v>431</v>
      </c>
      <c r="E122" s="19">
        <v>47025</v>
      </c>
      <c r="F122" s="20">
        <v>4.5</v>
      </c>
      <c r="G122" s="13">
        <v>25000000</v>
      </c>
      <c r="H122" s="21">
        <v>103.6485</v>
      </c>
      <c r="I122" s="22">
        <v>850684.93</v>
      </c>
      <c r="J122" s="22">
        <v>26762809.93</v>
      </c>
      <c r="K122" s="19">
        <v>45838</v>
      </c>
      <c r="L122" s="34">
        <v>5</v>
      </c>
      <c r="M122" s="9" t="s">
        <v>681</v>
      </c>
      <c r="N122" s="22">
        <v>-3.4924596548080439E-10</v>
      </c>
      <c r="O122" s="9" t="s">
        <v>158</v>
      </c>
      <c r="P122" s="9"/>
      <c r="Q122" s="34">
        <f>IFERROR(INDEX(Positions!$L$7:$L$173,MATCH(B122,Positions!$B$7:$B$173,0)),"")</f>
        <v>126.3191909301439</v>
      </c>
      <c r="R122" s="9" t="str">
        <f t="shared" si="18"/>
        <v/>
      </c>
      <c r="S122" s="9" t="str">
        <f t="shared" si="19"/>
        <v/>
      </c>
      <c r="T122" s="9" t="str">
        <f t="shared" si="20"/>
        <v/>
      </c>
      <c r="U122" s="9" t="str">
        <f t="shared" si="21"/>
        <v/>
      </c>
      <c r="V122" s="9" t="str">
        <f t="shared" si="22"/>
        <v/>
      </c>
      <c r="W122" s="9" t="str">
        <f t="shared" si="23"/>
        <v/>
      </c>
      <c r="X122" s="34" t="str">
        <f>IF(W122="","",COUNTIF($W$7:W122,"?*"))</f>
        <v/>
      </c>
    </row>
    <row r="123" spans="2:24" x14ac:dyDescent="0.2">
      <c r="B123" s="9" t="s">
        <v>432</v>
      </c>
      <c r="C123" s="9" t="s">
        <v>433</v>
      </c>
      <c r="D123" s="9" t="s">
        <v>434</v>
      </c>
      <c r="E123" s="19">
        <v>46412</v>
      </c>
      <c r="F123" s="20">
        <v>4.75</v>
      </c>
      <c r="G123" s="13">
        <v>10000000</v>
      </c>
      <c r="H123" s="21">
        <v>103.28749999999999</v>
      </c>
      <c r="I123" s="22">
        <v>205616.44</v>
      </c>
      <c r="J123" s="22">
        <v>10534366.439999999</v>
      </c>
      <c r="K123" s="19">
        <v>45838</v>
      </c>
      <c r="L123" s="34">
        <v>5</v>
      </c>
      <c r="M123" s="9" t="s">
        <v>681</v>
      </c>
      <c r="N123" s="22">
        <v>-5.2386894822120667E-10</v>
      </c>
      <c r="O123" s="9" t="s">
        <v>158</v>
      </c>
      <c r="P123" s="9"/>
      <c r="Q123" s="34">
        <f>IFERROR(INDEX(Positions!$L$7:$L$173,MATCH(B123,Positions!$B$7:$B$173,0)),"")</f>
        <v>68.818003936592362</v>
      </c>
      <c r="R123" s="9" t="str">
        <f t="shared" si="18"/>
        <v/>
      </c>
      <c r="S123" s="9" t="str">
        <f t="shared" si="19"/>
        <v/>
      </c>
      <c r="T123" s="9" t="str">
        <f t="shared" si="20"/>
        <v/>
      </c>
      <c r="U123" s="9" t="str">
        <f t="shared" si="21"/>
        <v/>
      </c>
      <c r="V123" s="9" t="str">
        <f t="shared" si="22"/>
        <v/>
      </c>
      <c r="W123" s="9" t="str">
        <f t="shared" si="23"/>
        <v/>
      </c>
      <c r="X123" s="34" t="str">
        <f>IF(W123="","",COUNTIF($W$7:W123,"?*"))</f>
        <v/>
      </c>
    </row>
    <row r="124" spans="2:24" x14ac:dyDescent="0.2">
      <c r="B124" s="9" t="s">
        <v>435</v>
      </c>
      <c r="C124" s="9" t="s">
        <v>436</v>
      </c>
      <c r="D124" s="9" t="s">
        <v>437</v>
      </c>
      <c r="E124" s="19">
        <v>47073</v>
      </c>
      <c r="F124" s="20">
        <v>6</v>
      </c>
      <c r="G124" s="13">
        <v>18000000</v>
      </c>
      <c r="H124" s="21">
        <v>109.4145</v>
      </c>
      <c r="I124" s="22">
        <v>674630.14</v>
      </c>
      <c r="J124" s="22">
        <v>20369240.140000001</v>
      </c>
      <c r="K124" s="19">
        <v>45838</v>
      </c>
      <c r="L124" s="34">
        <v>5</v>
      </c>
      <c r="M124" s="9" t="s">
        <v>681</v>
      </c>
      <c r="N124" s="22">
        <v>5.8207660913467407E-10</v>
      </c>
      <c r="O124" s="9" t="s">
        <v>158</v>
      </c>
      <c r="P124" s="9"/>
      <c r="Q124" s="34">
        <f>IFERROR(INDEX(Positions!$L$7:$L$173,MATCH(B124,Positions!$B$7:$B$173,0)),"")</f>
        <v>98.778657316836814</v>
      </c>
      <c r="R124" s="9" t="str">
        <f t="shared" si="18"/>
        <v/>
      </c>
      <c r="S124" s="9" t="str">
        <f t="shared" si="19"/>
        <v/>
      </c>
      <c r="T124" s="9" t="str">
        <f t="shared" si="20"/>
        <v/>
      </c>
      <c r="U124" s="9" t="str">
        <f t="shared" si="21"/>
        <v/>
      </c>
      <c r="V124" s="9" t="str">
        <f t="shared" si="22"/>
        <v/>
      </c>
      <c r="W124" s="9" t="str">
        <f t="shared" si="23"/>
        <v/>
      </c>
      <c r="X124" s="34" t="str">
        <f>IF(W124="","",COUNTIF($W$7:W124,"?*"))</f>
        <v/>
      </c>
    </row>
    <row r="125" spans="2:24" x14ac:dyDescent="0.2">
      <c r="B125" s="9" t="s">
        <v>438</v>
      </c>
      <c r="C125" s="9" t="s">
        <v>439</v>
      </c>
      <c r="D125" s="9" t="s">
        <v>440</v>
      </c>
      <c r="E125" s="19">
        <v>47506</v>
      </c>
      <c r="F125" s="20">
        <v>4.7469999999999999</v>
      </c>
      <c r="G125" s="13">
        <v>20000000</v>
      </c>
      <c r="H125" s="21">
        <v>107.1075</v>
      </c>
      <c r="I125" s="22">
        <v>416184.11</v>
      </c>
      <c r="J125" s="22">
        <v>21837684.109999999</v>
      </c>
      <c r="K125" s="19">
        <v>45838</v>
      </c>
      <c r="L125" s="34">
        <v>5</v>
      </c>
      <c r="M125" s="9" t="s">
        <v>681</v>
      </c>
      <c r="N125" s="22">
        <v>-5.8207660913467407E-10</v>
      </c>
      <c r="O125" s="9" t="s">
        <v>158</v>
      </c>
      <c r="P125" s="9"/>
      <c r="Q125" s="34">
        <f>IFERROR(INDEX(Positions!$L$7:$L$173,MATCH(B125,Positions!$B$7:$B$173,0)),"")</f>
        <v>90.430776458721127</v>
      </c>
      <c r="R125" s="9" t="str">
        <f t="shared" si="18"/>
        <v/>
      </c>
      <c r="S125" s="9" t="str">
        <f t="shared" si="19"/>
        <v/>
      </c>
      <c r="T125" s="9" t="str">
        <f t="shared" si="20"/>
        <v/>
      </c>
      <c r="U125" s="9" t="str">
        <f t="shared" si="21"/>
        <v/>
      </c>
      <c r="V125" s="9" t="str">
        <f t="shared" si="22"/>
        <v/>
      </c>
      <c r="W125" s="9" t="str">
        <f t="shared" si="23"/>
        <v/>
      </c>
      <c r="X125" s="34" t="str">
        <f>IF(W125="","",COUNTIF($W$7:W125,"?*"))</f>
        <v/>
      </c>
    </row>
    <row r="126" spans="2:24" x14ac:dyDescent="0.2">
      <c r="B126" s="9" t="s">
        <v>441</v>
      </c>
      <c r="C126" s="9" t="s">
        <v>442</v>
      </c>
      <c r="D126" s="9" t="s">
        <v>443</v>
      </c>
      <c r="E126" s="19">
        <v>47506</v>
      </c>
      <c r="F126" s="20">
        <v>4.125</v>
      </c>
      <c r="G126" s="13">
        <v>9100000</v>
      </c>
      <c r="H126" s="21">
        <v>104.06399999999999</v>
      </c>
      <c r="I126" s="22">
        <v>164547.95000000001</v>
      </c>
      <c r="J126" s="22">
        <v>9634371.9499999993</v>
      </c>
      <c r="K126" s="19">
        <v>45838</v>
      </c>
      <c r="L126" s="34">
        <v>5</v>
      </c>
      <c r="M126" s="9" t="s">
        <v>681</v>
      </c>
      <c r="N126" s="22">
        <v>1.1059455573558809E-9</v>
      </c>
      <c r="O126" s="9" t="s">
        <v>158</v>
      </c>
      <c r="P126" s="9"/>
      <c r="Q126" s="34">
        <f>IFERROR(INDEX(Positions!$L$7:$L$173,MATCH(B126,Positions!$B$7:$B$173,0)),"")</f>
        <v>100.0182894438942</v>
      </c>
      <c r="R126" s="9" t="str">
        <f t="shared" si="18"/>
        <v/>
      </c>
      <c r="S126" s="9" t="str">
        <f t="shared" si="19"/>
        <v/>
      </c>
      <c r="T126" s="9" t="str">
        <f t="shared" si="20"/>
        <v/>
      </c>
      <c r="U126" s="9" t="str">
        <f t="shared" si="21"/>
        <v/>
      </c>
      <c r="V126" s="9" t="str">
        <f t="shared" si="22"/>
        <v/>
      </c>
      <c r="W126" s="9" t="str">
        <f t="shared" si="23"/>
        <v/>
      </c>
      <c r="X126" s="34" t="str">
        <f>IF(W126="","",COUNTIF($W$7:W126,"?*"))</f>
        <v/>
      </c>
    </row>
    <row r="127" spans="2:24" x14ac:dyDescent="0.2">
      <c r="B127" s="9" t="s">
        <v>444</v>
      </c>
      <c r="C127" s="9" t="s">
        <v>445</v>
      </c>
      <c r="D127" s="9" t="s">
        <v>446</v>
      </c>
      <c r="E127" s="19">
        <v>48968</v>
      </c>
      <c r="F127" s="20">
        <v>3.875</v>
      </c>
      <c r="G127" s="13">
        <v>18650000</v>
      </c>
      <c r="H127" s="21">
        <v>101.5365</v>
      </c>
      <c r="I127" s="22">
        <v>314814.55</v>
      </c>
      <c r="J127" s="22">
        <v>19251371.800000001</v>
      </c>
      <c r="K127" s="19">
        <v>45838</v>
      </c>
      <c r="L127" s="34">
        <v>5</v>
      </c>
      <c r="M127" s="9" t="s">
        <v>681</v>
      </c>
      <c r="N127" s="22">
        <v>7.5669959187507629E-10</v>
      </c>
      <c r="O127" s="9" t="s">
        <v>158</v>
      </c>
      <c r="P127" s="9"/>
      <c r="Q127" s="34">
        <f>IFERROR(INDEX(Positions!$L$7:$L$173,MATCH(B127,Positions!$B$7:$B$173,0)),"")</f>
        <v>111.0652145761342</v>
      </c>
      <c r="R127" s="9" t="str">
        <f t="shared" si="18"/>
        <v/>
      </c>
      <c r="S127" s="9" t="str">
        <f t="shared" si="19"/>
        <v/>
      </c>
      <c r="T127" s="9" t="str">
        <f t="shared" si="20"/>
        <v/>
      </c>
      <c r="U127" s="9" t="str">
        <f t="shared" si="21"/>
        <v/>
      </c>
      <c r="V127" s="9" t="str">
        <f t="shared" si="22"/>
        <v/>
      </c>
      <c r="W127" s="9" t="str">
        <f t="shared" si="23"/>
        <v/>
      </c>
      <c r="X127" s="34" t="str">
        <f>IF(W127="","",COUNTIF($W$7:W127,"?*"))</f>
        <v/>
      </c>
    </row>
    <row r="128" spans="2:24" x14ac:dyDescent="0.2">
      <c r="B128" s="9" t="s">
        <v>447</v>
      </c>
      <c r="C128" s="9" t="s">
        <v>448</v>
      </c>
      <c r="D128" s="9" t="s">
        <v>304</v>
      </c>
      <c r="E128" s="19">
        <v>46959</v>
      </c>
      <c r="F128" s="20">
        <v>4.625</v>
      </c>
      <c r="G128" s="13">
        <v>5050000</v>
      </c>
      <c r="H128" s="21">
        <v>103.996</v>
      </c>
      <c r="I128" s="22">
        <v>218844.86</v>
      </c>
      <c r="J128" s="22">
        <v>5470642.8600000003</v>
      </c>
      <c r="K128" s="19">
        <v>45838</v>
      </c>
      <c r="L128" s="34">
        <v>6</v>
      </c>
      <c r="M128" s="9" t="s">
        <v>681</v>
      </c>
      <c r="N128" s="22">
        <v>3.4924596548080439E-10</v>
      </c>
      <c r="O128" s="9" t="s">
        <v>158</v>
      </c>
      <c r="P128" s="9"/>
      <c r="Q128" s="34">
        <f>IFERROR(INDEX(Positions!$L$7:$L$173,MATCH(B128,Positions!$B$7:$B$173,0)),"")</f>
        <v>122.3571754714299</v>
      </c>
      <c r="R128" s="9" t="str">
        <f t="shared" si="18"/>
        <v/>
      </c>
      <c r="S128" s="9" t="str">
        <f t="shared" si="19"/>
        <v/>
      </c>
      <c r="T128" s="9" t="str">
        <f t="shared" si="20"/>
        <v/>
      </c>
      <c r="U128" s="9" t="str">
        <f t="shared" si="21"/>
        <v/>
      </c>
      <c r="V128" s="9" t="str">
        <f t="shared" si="22"/>
        <v/>
      </c>
      <c r="W128" s="9" t="str">
        <f t="shared" si="23"/>
        <v/>
      </c>
      <c r="X128" s="34" t="str">
        <f>IF(W128="","",COUNTIF($W$7:W128,"?*"))</f>
        <v/>
      </c>
    </row>
    <row r="129" spans="2:24" x14ac:dyDescent="0.2">
      <c r="B129" s="9" t="s">
        <v>449</v>
      </c>
      <c r="C129" s="9" t="s">
        <v>450</v>
      </c>
      <c r="D129" s="9" t="s">
        <v>451</v>
      </c>
      <c r="E129" s="19">
        <v>49102</v>
      </c>
      <c r="F129" s="20">
        <v>4</v>
      </c>
      <c r="G129" s="13">
        <v>28400000</v>
      </c>
      <c r="H129" s="21">
        <v>101.8785</v>
      </c>
      <c r="I129" s="22">
        <v>77808.22</v>
      </c>
      <c r="J129" s="22">
        <v>29011302.219999999</v>
      </c>
      <c r="K129" s="19">
        <v>45838</v>
      </c>
      <c r="L129" s="34">
        <v>6</v>
      </c>
      <c r="M129" s="9" t="s">
        <v>681</v>
      </c>
      <c r="N129" s="22">
        <v>-1.1932570487260821E-9</v>
      </c>
      <c r="O129" s="9" t="s">
        <v>158</v>
      </c>
      <c r="P129" s="9"/>
      <c r="Q129" s="34">
        <f>IFERROR(INDEX(Positions!$L$7:$L$173,MATCH(B129,Positions!$B$7:$B$173,0)),"")</f>
        <v>116.243900271085</v>
      </c>
      <c r="R129" s="9" t="str">
        <f t="shared" si="18"/>
        <v/>
      </c>
      <c r="S129" s="9" t="str">
        <f t="shared" si="19"/>
        <v/>
      </c>
      <c r="T129" s="9" t="str">
        <f t="shared" si="20"/>
        <v/>
      </c>
      <c r="U129" s="9" t="str">
        <f t="shared" si="21"/>
        <v/>
      </c>
      <c r="V129" s="9" t="str">
        <f t="shared" si="22"/>
        <v/>
      </c>
      <c r="W129" s="9" t="str">
        <f t="shared" si="23"/>
        <v/>
      </c>
      <c r="X129" s="34" t="str">
        <f>IF(W129="","",COUNTIF($W$7:W129,"?*"))</f>
        <v/>
      </c>
    </row>
    <row r="130" spans="2:24" x14ac:dyDescent="0.2">
      <c r="B130" s="9" t="s">
        <v>452</v>
      </c>
      <c r="C130" s="9" t="s">
        <v>453</v>
      </c>
      <c r="D130" s="9" t="s">
        <v>390</v>
      </c>
      <c r="E130" s="19">
        <v>49735</v>
      </c>
      <c r="F130" s="20">
        <v>3.75</v>
      </c>
      <c r="G130" s="13">
        <v>10000000</v>
      </c>
      <c r="H130" s="21">
        <v>99.504499999999993</v>
      </c>
      <c r="I130" s="22">
        <v>126369.86</v>
      </c>
      <c r="J130" s="22">
        <v>10076819.859999999</v>
      </c>
      <c r="K130" s="19">
        <v>45838</v>
      </c>
      <c r="L130" s="34">
        <v>6</v>
      </c>
      <c r="M130" s="9" t="s">
        <v>681</v>
      </c>
      <c r="N130" s="22">
        <v>1.2660166248679159E-9</v>
      </c>
      <c r="O130" s="9" t="s">
        <v>158</v>
      </c>
      <c r="P130" s="9"/>
      <c r="Q130" s="34">
        <f>IFERROR(INDEX(Positions!$L$7:$L$173,MATCH(B130,Positions!$B$7:$B$173,0)),"")</f>
        <v>111.4279856292994</v>
      </c>
      <c r="R130" s="9" t="str">
        <f t="shared" si="18"/>
        <v/>
      </c>
      <c r="S130" s="9" t="str">
        <f t="shared" si="19"/>
        <v/>
      </c>
      <c r="T130" s="9" t="str">
        <f t="shared" si="20"/>
        <v/>
      </c>
      <c r="U130" s="9" t="str">
        <f t="shared" si="21"/>
        <v/>
      </c>
      <c r="V130" s="9" t="str">
        <f t="shared" si="22"/>
        <v/>
      </c>
      <c r="W130" s="9" t="str">
        <f t="shared" si="23"/>
        <v/>
      </c>
      <c r="X130" s="34" t="str">
        <f>IF(W130="","",COUNTIF($W$7:W130,"?*"))</f>
        <v/>
      </c>
    </row>
    <row r="131" spans="2:24" x14ac:dyDescent="0.2">
      <c r="B131" s="9" t="s">
        <v>454</v>
      </c>
      <c r="C131" s="9" t="s">
        <v>455</v>
      </c>
      <c r="D131" s="9" t="s">
        <v>341</v>
      </c>
      <c r="E131" s="19">
        <v>47185</v>
      </c>
      <c r="F131" s="20">
        <v>6.5</v>
      </c>
      <c r="G131" s="13">
        <v>4000000</v>
      </c>
      <c r="H131" s="21">
        <v>107.50149999999999</v>
      </c>
      <c r="I131" s="22">
        <v>82630.14</v>
      </c>
      <c r="J131" s="22">
        <v>4382690.1399999997</v>
      </c>
      <c r="K131" s="19">
        <v>45838</v>
      </c>
      <c r="L131" s="34">
        <v>6</v>
      </c>
      <c r="M131" s="9" t="s">
        <v>681</v>
      </c>
      <c r="N131" s="22">
        <v>-3.3469405025243759E-10</v>
      </c>
      <c r="O131" s="9" t="s">
        <v>158</v>
      </c>
      <c r="P131" s="9"/>
      <c r="Q131" s="34">
        <f>IFERROR(INDEX(Positions!$L$7:$L$173,MATCH(B131,Positions!$B$7:$B$173,0)),"")</f>
        <v>214.44131974762681</v>
      </c>
      <c r="R131" s="9" t="str">
        <f t="shared" si="18"/>
        <v/>
      </c>
      <c r="S131" s="9" t="str">
        <f t="shared" si="19"/>
        <v/>
      </c>
      <c r="T131" s="9" t="str">
        <f t="shared" si="20"/>
        <v/>
      </c>
      <c r="U131" s="9" t="str">
        <f t="shared" si="21"/>
        <v/>
      </c>
      <c r="V131" s="9" t="str">
        <f t="shared" si="22"/>
        <v/>
      </c>
      <c r="W131" s="9" t="str">
        <f t="shared" si="23"/>
        <v/>
      </c>
      <c r="X131" s="34" t="str">
        <f>IF(W131="","",COUNTIF($W$7:W131,"?*"))</f>
        <v/>
      </c>
    </row>
    <row r="132" spans="2:24" x14ac:dyDescent="0.2">
      <c r="B132" s="9" t="s">
        <v>456</v>
      </c>
      <c r="C132" s="9" t="s">
        <v>457</v>
      </c>
      <c r="D132" s="9" t="s">
        <v>458</v>
      </c>
      <c r="E132" s="19">
        <v>48285</v>
      </c>
      <c r="F132" s="20">
        <v>3.7130000000000001</v>
      </c>
      <c r="G132" s="13">
        <v>18850000</v>
      </c>
      <c r="H132" s="21">
        <v>101.8965</v>
      </c>
      <c r="I132" s="22">
        <v>214763.99</v>
      </c>
      <c r="J132" s="22">
        <v>19422254.239999998</v>
      </c>
      <c r="K132" s="19">
        <v>45838</v>
      </c>
      <c r="L132" s="34">
        <v>6</v>
      </c>
      <c r="M132" s="9" t="s">
        <v>681</v>
      </c>
      <c r="N132" s="22">
        <v>-1.629814505577087E-9</v>
      </c>
      <c r="O132" s="9" t="s">
        <v>158</v>
      </c>
      <c r="P132" s="9"/>
      <c r="Q132" s="34">
        <f>IFERROR(INDEX(Positions!$L$7:$L$173,MATCH(B132,Positions!$B$7:$B$173,0)),"")</f>
        <v>102.31071318352819</v>
      </c>
      <c r="R132" s="9" t="str">
        <f t="shared" si="18"/>
        <v/>
      </c>
      <c r="S132" s="9" t="str">
        <f t="shared" si="19"/>
        <v/>
      </c>
      <c r="T132" s="9" t="str">
        <f t="shared" si="20"/>
        <v/>
      </c>
      <c r="U132" s="9" t="str">
        <f t="shared" si="21"/>
        <v/>
      </c>
      <c r="V132" s="9" t="str">
        <f t="shared" si="22"/>
        <v/>
      </c>
      <c r="W132" s="9" t="str">
        <f t="shared" si="23"/>
        <v/>
      </c>
      <c r="X132" s="34" t="str">
        <f>IF(W132="","",COUNTIF($W$7:W132,"?*"))</f>
        <v/>
      </c>
    </row>
    <row r="133" spans="2:24" x14ac:dyDescent="0.2">
      <c r="B133" s="9" t="s">
        <v>459</v>
      </c>
      <c r="C133" s="9" t="s">
        <v>460</v>
      </c>
      <c r="D133" s="9" t="s">
        <v>461</v>
      </c>
      <c r="E133" s="19">
        <v>47588</v>
      </c>
      <c r="F133" s="20">
        <v>6.375</v>
      </c>
      <c r="G133" s="13">
        <v>5000000</v>
      </c>
      <c r="H133" s="21">
        <v>103.367</v>
      </c>
      <c r="I133" s="22">
        <v>68177.08</v>
      </c>
      <c r="J133" s="22">
        <v>5236527.08</v>
      </c>
      <c r="K133" s="19">
        <v>45838</v>
      </c>
      <c r="L133" s="34">
        <v>6</v>
      </c>
      <c r="M133" s="9" t="s">
        <v>682</v>
      </c>
      <c r="N133" s="22">
        <v>7.2759576141834259E-11</v>
      </c>
      <c r="O133" s="9" t="s">
        <v>158</v>
      </c>
      <c r="P133" s="9"/>
      <c r="Q133" s="34">
        <f>IFERROR(INDEX(Positions!$L$7:$L$173,MATCH(B133,Positions!$B$7:$B$173,0)),"")</f>
        <v>328.00945713364348</v>
      </c>
      <c r="R133" s="9" t="str">
        <f t="shared" si="18"/>
        <v/>
      </c>
      <c r="S133" s="9" t="str">
        <f t="shared" si="19"/>
        <v/>
      </c>
      <c r="T133" s="9" t="str">
        <f t="shared" si="20"/>
        <v/>
      </c>
      <c r="U133" s="9" t="str">
        <f t="shared" si="21"/>
        <v/>
      </c>
      <c r="V133" s="9" t="str">
        <f t="shared" si="22"/>
        <v/>
      </c>
      <c r="W133" s="9" t="str">
        <f t="shared" si="23"/>
        <v/>
      </c>
      <c r="X133" s="34" t="str">
        <f>IF(W133="","",COUNTIF($W$7:W133,"?*"))</f>
        <v/>
      </c>
    </row>
    <row r="134" spans="2:24" x14ac:dyDescent="0.2">
      <c r="B134" s="9" t="s">
        <v>462</v>
      </c>
      <c r="C134" s="9" t="s">
        <v>463</v>
      </c>
      <c r="D134" s="9" t="s">
        <v>464</v>
      </c>
      <c r="E134" s="19">
        <v>47237</v>
      </c>
      <c r="F134" s="20">
        <v>5</v>
      </c>
      <c r="G134" s="13">
        <v>4500000</v>
      </c>
      <c r="H134" s="21">
        <v>103.83799999999999</v>
      </c>
      <c r="I134" s="22">
        <v>48125</v>
      </c>
      <c r="J134" s="22">
        <v>4720835</v>
      </c>
      <c r="K134" s="19">
        <v>45838</v>
      </c>
      <c r="L134" s="34">
        <v>6</v>
      </c>
      <c r="M134" s="9" t="s">
        <v>682</v>
      </c>
      <c r="N134" s="22">
        <v>0</v>
      </c>
      <c r="O134" s="9" t="s">
        <v>158</v>
      </c>
      <c r="P134" s="9"/>
      <c r="Q134" s="34">
        <f>IFERROR(INDEX(Positions!$L$7:$L$173,MATCH(B134,Positions!$B$7:$B$173,0)),"")</f>
        <v>174.0200211416728</v>
      </c>
      <c r="R134" s="9" t="str">
        <f t="shared" si="18"/>
        <v/>
      </c>
      <c r="S134" s="9" t="str">
        <f t="shared" si="19"/>
        <v/>
      </c>
      <c r="T134" s="9" t="str">
        <f t="shared" si="20"/>
        <v/>
      </c>
      <c r="U134" s="9" t="str">
        <f t="shared" si="21"/>
        <v/>
      </c>
      <c r="V134" s="9" t="str">
        <f t="shared" si="22"/>
        <v/>
      </c>
      <c r="W134" s="9" t="str">
        <f t="shared" si="23"/>
        <v/>
      </c>
      <c r="X134" s="34" t="str">
        <f>IF(W134="","",COUNTIF($W$7:W134,"?*"))</f>
        <v/>
      </c>
    </row>
    <row r="135" spans="2:24" x14ac:dyDescent="0.2">
      <c r="B135" s="9" t="s">
        <v>465</v>
      </c>
      <c r="C135" s="9" t="s">
        <v>466</v>
      </c>
      <c r="D135" s="9" t="s">
        <v>467</v>
      </c>
      <c r="E135" s="19">
        <v>47332</v>
      </c>
      <c r="F135" s="20">
        <v>5.1859999999999999</v>
      </c>
      <c r="G135" s="13">
        <v>31400000</v>
      </c>
      <c r="H135" s="21">
        <v>104.709</v>
      </c>
      <c r="I135" s="22">
        <v>1490101.19</v>
      </c>
      <c r="J135" s="22">
        <v>34368727.189999998</v>
      </c>
      <c r="K135" s="19">
        <v>45838</v>
      </c>
      <c r="L135" s="34">
        <v>6</v>
      </c>
      <c r="M135" s="9" t="s">
        <v>681</v>
      </c>
      <c r="N135" s="22">
        <v>-2.3283064365386959E-9</v>
      </c>
      <c r="O135" s="9" t="s">
        <v>158</v>
      </c>
      <c r="P135" s="9"/>
      <c r="Q135" s="34">
        <f>IFERROR(INDEX(Positions!$L$7:$L$173,MATCH(B135,Positions!$B$7:$B$173,0)),"")</f>
        <v>178.43376956663769</v>
      </c>
      <c r="R135" s="9" t="str">
        <f t="shared" ref="R135:R166" si="24">IF(E135&lt;=RL_Date,"OUI","")</f>
        <v/>
      </c>
      <c r="S135" s="9" t="str">
        <f t="shared" ref="S135:S166" si="25">IF(OR(H135&lt;=0,J135&lt;=0),"OUI","")</f>
        <v/>
      </c>
      <c r="T135" s="9" t="str">
        <f t="shared" ref="T135:T166" si="26">IF(RL_Date-K135&gt;RL_Age_Prix,"OUI","")</f>
        <v/>
      </c>
      <c r="U135" s="9" t="str">
        <f t="shared" ref="U135:U166" si="27">IF(AND(ISNUMBER(Q135),Q135&gt;RL_Spread_Revue),"OUI","")</f>
        <v/>
      </c>
      <c r="V135" s="9" t="str">
        <f t="shared" ref="V135:V166" si="28">IF(ABS(N135)&gt;0.02,"OUI","")</f>
        <v/>
      </c>
      <c r="W135" s="9" t="str">
        <f t="shared" ref="W135:W166" si="29">IF(OR(R135="OUI",S135="OUI",T135="OUI",V135="OUI"),"À instruire",IF(U135="OUI","À examiner",""))</f>
        <v/>
      </c>
      <c r="X135" s="34" t="str">
        <f>IF(W135="","",COUNTIF($W$7:W135,"?*"))</f>
        <v/>
      </c>
    </row>
    <row r="136" spans="2:24" x14ac:dyDescent="0.2">
      <c r="B136" s="9" t="s">
        <v>468</v>
      </c>
      <c r="C136" s="9" t="s">
        <v>469</v>
      </c>
      <c r="D136" s="9" t="s">
        <v>470</v>
      </c>
      <c r="E136" s="19">
        <v>47245</v>
      </c>
      <c r="F136" s="20">
        <v>7</v>
      </c>
      <c r="G136" s="13">
        <v>20000000</v>
      </c>
      <c r="H136" s="21">
        <v>107.23050000000001</v>
      </c>
      <c r="I136" s="22">
        <v>214794.52</v>
      </c>
      <c r="J136" s="22">
        <v>21660894.52</v>
      </c>
      <c r="K136" s="19">
        <v>45838</v>
      </c>
      <c r="L136" s="34">
        <v>6</v>
      </c>
      <c r="M136" s="9" t="s">
        <v>681</v>
      </c>
      <c r="N136" s="22">
        <v>-4.1618477553129196E-9</v>
      </c>
      <c r="O136" s="9" t="s">
        <v>158</v>
      </c>
      <c r="P136" s="9"/>
      <c r="Q136" s="34">
        <f>IFERROR(INDEX(Positions!$L$7:$L$173,MATCH(B136,Positions!$B$7:$B$173,0)),"")</f>
        <v>274.00187921729639</v>
      </c>
      <c r="R136" s="9" t="str">
        <f t="shared" si="24"/>
        <v/>
      </c>
      <c r="S136" s="9" t="str">
        <f t="shared" si="25"/>
        <v/>
      </c>
      <c r="T136" s="9" t="str">
        <f t="shared" si="26"/>
        <v/>
      </c>
      <c r="U136" s="9" t="str">
        <f t="shared" si="27"/>
        <v/>
      </c>
      <c r="V136" s="9" t="str">
        <f t="shared" si="28"/>
        <v/>
      </c>
      <c r="W136" s="9" t="str">
        <f t="shared" si="29"/>
        <v/>
      </c>
      <c r="X136" s="34" t="str">
        <f>IF(W136="","",COUNTIF($W$7:W136,"?*"))</f>
        <v/>
      </c>
    </row>
    <row r="137" spans="2:24" x14ac:dyDescent="0.2">
      <c r="B137" s="9" t="s">
        <v>471</v>
      </c>
      <c r="C137" s="9" t="s">
        <v>472</v>
      </c>
      <c r="D137" s="9" t="s">
        <v>473</v>
      </c>
      <c r="E137" s="19">
        <v>47674</v>
      </c>
      <c r="F137" s="20">
        <v>4</v>
      </c>
      <c r="G137" s="13">
        <v>9300000</v>
      </c>
      <c r="H137" s="21">
        <v>102.5585</v>
      </c>
      <c r="I137" s="22">
        <v>363846.58</v>
      </c>
      <c r="J137" s="22">
        <v>9901787.0800000001</v>
      </c>
      <c r="K137" s="19">
        <v>45838</v>
      </c>
      <c r="L137" s="34">
        <v>6</v>
      </c>
      <c r="M137" s="9" t="s">
        <v>681</v>
      </c>
      <c r="N137" s="22">
        <v>5.8207660913467407E-11</v>
      </c>
      <c r="O137" s="9" t="s">
        <v>158</v>
      </c>
      <c r="P137" s="9"/>
      <c r="Q137" s="34">
        <f>IFERROR(INDEX(Positions!$L$7:$L$173,MATCH(B137,Positions!$B$7:$B$173,0)),"")</f>
        <v>123.1621973915246</v>
      </c>
      <c r="R137" s="9" t="str">
        <f t="shared" si="24"/>
        <v/>
      </c>
      <c r="S137" s="9" t="str">
        <f t="shared" si="25"/>
        <v/>
      </c>
      <c r="T137" s="9" t="str">
        <f t="shared" si="26"/>
        <v/>
      </c>
      <c r="U137" s="9" t="str">
        <f t="shared" si="27"/>
        <v/>
      </c>
      <c r="V137" s="9" t="str">
        <f t="shared" si="28"/>
        <v/>
      </c>
      <c r="W137" s="9" t="str">
        <f t="shared" si="29"/>
        <v/>
      </c>
      <c r="X137" s="34" t="str">
        <f>IF(W137="","",COUNTIF($W$7:W137,"?*"))</f>
        <v/>
      </c>
    </row>
    <row r="138" spans="2:24" x14ac:dyDescent="0.2">
      <c r="B138" s="9" t="s">
        <v>474</v>
      </c>
      <c r="C138" s="9" t="s">
        <v>475</v>
      </c>
      <c r="D138" s="9" t="s">
        <v>476</v>
      </c>
      <c r="E138" s="19">
        <v>49816</v>
      </c>
      <c r="F138" s="20">
        <v>3.802</v>
      </c>
      <c r="G138" s="13">
        <v>30000000</v>
      </c>
      <c r="H138" s="21">
        <v>100.806</v>
      </c>
      <c r="I138" s="22">
        <v>131247.12</v>
      </c>
      <c r="J138" s="22">
        <v>30373047.120000001</v>
      </c>
      <c r="K138" s="19">
        <v>45838</v>
      </c>
      <c r="L138" s="34">
        <v>6</v>
      </c>
      <c r="M138" s="9" t="s">
        <v>681</v>
      </c>
      <c r="N138" s="22">
        <v>1.0477378964424129E-9</v>
      </c>
      <c r="O138" s="9" t="s">
        <v>158</v>
      </c>
      <c r="P138" s="9"/>
      <c r="Q138" s="34">
        <f>IFERROR(INDEX(Positions!$L$7:$L$173,MATCH(B138,Positions!$B$7:$B$173,0)),"")</f>
        <v>102.1222855607291</v>
      </c>
      <c r="R138" s="9" t="str">
        <f t="shared" si="24"/>
        <v/>
      </c>
      <c r="S138" s="9" t="str">
        <f t="shared" si="25"/>
        <v/>
      </c>
      <c r="T138" s="9" t="str">
        <f t="shared" si="26"/>
        <v/>
      </c>
      <c r="U138" s="9" t="str">
        <f t="shared" si="27"/>
        <v/>
      </c>
      <c r="V138" s="9" t="str">
        <f t="shared" si="28"/>
        <v/>
      </c>
      <c r="W138" s="9" t="str">
        <f t="shared" si="29"/>
        <v/>
      </c>
      <c r="X138" s="34" t="str">
        <f>IF(W138="","",COUNTIF($W$7:W138,"?*"))</f>
        <v/>
      </c>
    </row>
    <row r="139" spans="2:24" x14ac:dyDescent="0.2">
      <c r="B139" s="9" t="s">
        <v>477</v>
      </c>
      <c r="C139" s="9" t="s">
        <v>478</v>
      </c>
      <c r="D139" s="9" t="s">
        <v>479</v>
      </c>
      <c r="E139" s="19">
        <v>49093</v>
      </c>
      <c r="F139" s="20">
        <v>3.5</v>
      </c>
      <c r="G139" s="13">
        <v>20000000</v>
      </c>
      <c r="H139" s="21">
        <v>100.072</v>
      </c>
      <c r="I139" s="22">
        <v>65205.48</v>
      </c>
      <c r="J139" s="22">
        <v>20079605.48</v>
      </c>
      <c r="K139" s="19">
        <v>45838</v>
      </c>
      <c r="L139" s="34">
        <v>6</v>
      </c>
      <c r="M139" s="9" t="s">
        <v>681</v>
      </c>
      <c r="N139" s="22">
        <v>4.4383341446518898E-10</v>
      </c>
      <c r="O139" s="9" t="s">
        <v>158</v>
      </c>
      <c r="P139" s="9"/>
      <c r="Q139" s="34">
        <f>IFERROR(INDEX(Positions!$L$7:$L$173,MATCH(B139,Positions!$B$7:$B$173,0)),"")</f>
        <v>90.96910843230215</v>
      </c>
      <c r="R139" s="9" t="str">
        <f t="shared" si="24"/>
        <v/>
      </c>
      <c r="S139" s="9" t="str">
        <f t="shared" si="25"/>
        <v/>
      </c>
      <c r="T139" s="9" t="str">
        <f t="shared" si="26"/>
        <v/>
      </c>
      <c r="U139" s="9" t="str">
        <f t="shared" si="27"/>
        <v/>
      </c>
      <c r="V139" s="9" t="str">
        <f t="shared" si="28"/>
        <v/>
      </c>
      <c r="W139" s="9" t="str">
        <f t="shared" si="29"/>
        <v/>
      </c>
      <c r="X139" s="34" t="str">
        <f>IF(W139="","",COUNTIF($W$7:W139,"?*"))</f>
        <v/>
      </c>
    </row>
    <row r="140" spans="2:24" x14ac:dyDescent="0.2">
      <c r="B140" s="9" t="s">
        <v>480</v>
      </c>
      <c r="C140" s="9" t="s">
        <v>481</v>
      </c>
      <c r="D140" s="9" t="s">
        <v>482</v>
      </c>
      <c r="E140" s="19">
        <v>47305</v>
      </c>
      <c r="F140" s="20">
        <v>5.75</v>
      </c>
      <c r="G140" s="13">
        <v>13050000</v>
      </c>
      <c r="H140" s="21">
        <v>105.00449999999999</v>
      </c>
      <c r="I140" s="22">
        <v>742151.71</v>
      </c>
      <c r="J140" s="22">
        <v>14445238.960000001</v>
      </c>
      <c r="K140" s="19">
        <v>45838</v>
      </c>
      <c r="L140" s="34">
        <v>6</v>
      </c>
      <c r="M140" s="9" t="s">
        <v>681</v>
      </c>
      <c r="N140" s="22">
        <v>9.3132257461547852E-10</v>
      </c>
      <c r="O140" s="9" t="s">
        <v>158</v>
      </c>
      <c r="P140" s="9"/>
      <c r="Q140" s="34">
        <f>IFERROR(INDEX(Positions!$L$7:$L$173,MATCH(B140,Positions!$B$7:$B$173,0)),"")</f>
        <v>222.24063915296051</v>
      </c>
      <c r="R140" s="9" t="str">
        <f t="shared" si="24"/>
        <v/>
      </c>
      <c r="S140" s="9" t="str">
        <f t="shared" si="25"/>
        <v/>
      </c>
      <c r="T140" s="9" t="str">
        <f t="shared" si="26"/>
        <v/>
      </c>
      <c r="U140" s="9" t="str">
        <f t="shared" si="27"/>
        <v/>
      </c>
      <c r="V140" s="9" t="str">
        <f t="shared" si="28"/>
        <v/>
      </c>
      <c r="W140" s="9" t="str">
        <f t="shared" si="29"/>
        <v/>
      </c>
      <c r="X140" s="34" t="str">
        <f>IF(W140="","",COUNTIF($W$7:W140,"?*"))</f>
        <v/>
      </c>
    </row>
    <row r="141" spans="2:24" x14ac:dyDescent="0.2">
      <c r="B141" s="9" t="s">
        <v>483</v>
      </c>
      <c r="C141" s="9" t="s">
        <v>484</v>
      </c>
      <c r="D141" s="9" t="s">
        <v>485</v>
      </c>
      <c r="E141" s="19">
        <v>47466</v>
      </c>
      <c r="F141" s="20">
        <v>10.75</v>
      </c>
      <c r="G141" s="13">
        <v>6000000</v>
      </c>
      <c r="H141" s="21">
        <v>110.77500000000001</v>
      </c>
      <c r="I141" s="22">
        <v>31721.31</v>
      </c>
      <c r="J141" s="22">
        <v>6678221.3099999996</v>
      </c>
      <c r="K141" s="19">
        <v>45838</v>
      </c>
      <c r="L141" s="34">
        <v>6</v>
      </c>
      <c r="M141" s="9" t="s">
        <v>692</v>
      </c>
      <c r="N141" s="22">
        <v>-4.1109160520136362E-10</v>
      </c>
      <c r="O141" s="9" t="s">
        <v>158</v>
      </c>
      <c r="P141" s="9"/>
      <c r="Q141" s="34">
        <f>IFERROR(INDEX(Positions!$L$7:$L$173,MATCH(B141,Positions!$B$7:$B$173,0)),"")</f>
        <v>670.18081083721484</v>
      </c>
      <c r="R141" s="9" t="str">
        <f t="shared" si="24"/>
        <v/>
      </c>
      <c r="S141" s="9" t="str">
        <f t="shared" si="25"/>
        <v/>
      </c>
      <c r="T141" s="9" t="str">
        <f t="shared" si="26"/>
        <v/>
      </c>
      <c r="U141" s="9" t="str">
        <f t="shared" si="27"/>
        <v>OUI</v>
      </c>
      <c r="V141" s="9" t="str">
        <f t="shared" si="28"/>
        <v/>
      </c>
      <c r="W141" s="9" t="str">
        <f t="shared" si="29"/>
        <v>À examiner</v>
      </c>
      <c r="X141" s="34">
        <f>IF(W141="","",COUNTIF($W$7:W141,"?*"))</f>
        <v>5</v>
      </c>
    </row>
    <row r="142" spans="2:24" x14ac:dyDescent="0.2">
      <c r="B142" s="9" t="s">
        <v>486</v>
      </c>
      <c r="C142" s="9" t="s">
        <v>487</v>
      </c>
      <c r="D142" s="9" t="s">
        <v>488</v>
      </c>
      <c r="E142" s="19">
        <v>47288</v>
      </c>
      <c r="F142" s="20">
        <v>4.25</v>
      </c>
      <c r="G142" s="13">
        <v>15400000</v>
      </c>
      <c r="H142" s="21">
        <v>104.0355</v>
      </c>
      <c r="I142" s="22">
        <v>23310.959999999999</v>
      </c>
      <c r="J142" s="22">
        <v>16044777.960000001</v>
      </c>
      <c r="K142" s="19">
        <v>45838</v>
      </c>
      <c r="L142" s="34">
        <v>6</v>
      </c>
      <c r="M142" s="9" t="s">
        <v>681</v>
      </c>
      <c r="N142" s="22">
        <v>8.9494278654456139E-10</v>
      </c>
      <c r="O142" s="9" t="s">
        <v>158</v>
      </c>
      <c r="P142" s="9"/>
      <c r="Q142" s="34">
        <f>IFERROR(INDEX(Positions!$L$7:$L$173,MATCH(B142,Positions!$B$7:$B$173,0)),"")</f>
        <v>105.7641285660731</v>
      </c>
      <c r="R142" s="9" t="str">
        <f t="shared" si="24"/>
        <v/>
      </c>
      <c r="S142" s="9" t="str">
        <f t="shared" si="25"/>
        <v/>
      </c>
      <c r="T142" s="9" t="str">
        <f t="shared" si="26"/>
        <v/>
      </c>
      <c r="U142" s="9" t="str">
        <f t="shared" si="27"/>
        <v/>
      </c>
      <c r="V142" s="9" t="str">
        <f t="shared" si="28"/>
        <v/>
      </c>
      <c r="W142" s="9" t="str">
        <f t="shared" si="29"/>
        <v/>
      </c>
      <c r="X142" s="34" t="str">
        <f>IF(W142="","",COUNTIF($W$7:W142,"?*"))</f>
        <v/>
      </c>
    </row>
    <row r="143" spans="2:24" x14ac:dyDescent="0.2">
      <c r="B143" s="9" t="s">
        <v>489</v>
      </c>
      <c r="C143" s="9" t="s">
        <v>490</v>
      </c>
      <c r="D143" s="9" t="s">
        <v>491</v>
      </c>
      <c r="E143" s="19">
        <v>49127</v>
      </c>
      <c r="F143" s="20">
        <v>3.625</v>
      </c>
      <c r="G143" s="13">
        <v>10000000</v>
      </c>
      <c r="H143" s="21">
        <v>101.224</v>
      </c>
      <c r="I143" s="22">
        <v>0</v>
      </c>
      <c r="J143" s="22">
        <v>10122400</v>
      </c>
      <c r="K143" s="19">
        <v>45838</v>
      </c>
      <c r="L143" s="34">
        <v>6</v>
      </c>
      <c r="M143" s="9" t="s">
        <v>681</v>
      </c>
      <c r="N143" s="22">
        <v>0</v>
      </c>
      <c r="O143" s="9" t="s">
        <v>158</v>
      </c>
      <c r="P143" s="9"/>
      <c r="Q143" s="34">
        <f>IFERROR(INDEX(Positions!$L$7:$L$173,MATCH(B143,Positions!$B$7:$B$173,0)),"")</f>
        <v>134.38463130771089</v>
      </c>
      <c r="R143" s="9" t="str">
        <f t="shared" si="24"/>
        <v/>
      </c>
      <c r="S143" s="9" t="str">
        <f t="shared" si="25"/>
        <v/>
      </c>
      <c r="T143" s="9" t="str">
        <f t="shared" si="26"/>
        <v/>
      </c>
      <c r="U143" s="9" t="str">
        <f t="shared" si="27"/>
        <v/>
      </c>
      <c r="V143" s="9" t="str">
        <f t="shared" si="28"/>
        <v/>
      </c>
      <c r="W143" s="9" t="str">
        <f t="shared" si="29"/>
        <v/>
      </c>
      <c r="X143" s="34" t="str">
        <f>IF(W143="","",COUNTIF($W$7:W143,"?*"))</f>
        <v/>
      </c>
    </row>
    <row r="144" spans="2:24" x14ac:dyDescent="0.2">
      <c r="B144" s="9" t="s">
        <v>492</v>
      </c>
      <c r="C144" s="9" t="s">
        <v>493</v>
      </c>
      <c r="D144" s="9" t="s">
        <v>494</v>
      </c>
      <c r="E144" s="19">
        <v>47492</v>
      </c>
      <c r="F144" s="20">
        <v>4.375</v>
      </c>
      <c r="G144" s="13">
        <v>3200000</v>
      </c>
      <c r="H144" s="21">
        <v>103.711</v>
      </c>
      <c r="I144" s="22">
        <v>66739.73</v>
      </c>
      <c r="J144" s="22">
        <v>3385491.73</v>
      </c>
      <c r="K144" s="19">
        <v>45838</v>
      </c>
      <c r="L144" s="34">
        <v>6</v>
      </c>
      <c r="M144" s="9" t="s">
        <v>681</v>
      </c>
      <c r="N144" s="22">
        <v>-1.455191522836685E-11</v>
      </c>
      <c r="O144" s="9" t="s">
        <v>158</v>
      </c>
      <c r="P144" s="9"/>
      <c r="Q144" s="34">
        <f>IFERROR(INDEX(Positions!$L$7:$L$173,MATCH(B144,Positions!$B$7:$B$173,0)),"")</f>
        <v>131.3032830240015</v>
      </c>
      <c r="R144" s="9" t="str">
        <f t="shared" si="24"/>
        <v/>
      </c>
      <c r="S144" s="9" t="str">
        <f t="shared" si="25"/>
        <v/>
      </c>
      <c r="T144" s="9" t="str">
        <f t="shared" si="26"/>
        <v/>
      </c>
      <c r="U144" s="9" t="str">
        <f t="shared" si="27"/>
        <v/>
      </c>
      <c r="V144" s="9" t="str">
        <f t="shared" si="28"/>
        <v/>
      </c>
      <c r="W144" s="9" t="str">
        <f t="shared" si="29"/>
        <v/>
      </c>
      <c r="X144" s="34" t="str">
        <f>IF(W144="","",COUNTIF($W$7:W144,"?*"))</f>
        <v/>
      </c>
    </row>
    <row r="145" spans="2:24" x14ac:dyDescent="0.2">
      <c r="B145" s="9" t="s">
        <v>495</v>
      </c>
      <c r="C145" s="9" t="s">
        <v>496</v>
      </c>
      <c r="D145" s="9" t="s">
        <v>497</v>
      </c>
      <c r="E145" s="19">
        <v>47315</v>
      </c>
      <c r="F145" s="20">
        <v>4.8</v>
      </c>
      <c r="G145" s="13">
        <v>19800000</v>
      </c>
      <c r="H145" s="21">
        <v>104.20050000000001</v>
      </c>
      <c r="I145" s="22">
        <v>913946.3</v>
      </c>
      <c r="J145" s="22">
        <v>21545645.300000001</v>
      </c>
      <c r="K145" s="19">
        <v>45838</v>
      </c>
      <c r="L145" s="34">
        <v>6</v>
      </c>
      <c r="M145" s="9" t="s">
        <v>681</v>
      </c>
      <c r="N145" s="22">
        <v>6.9849193096160889E-10</v>
      </c>
      <c r="O145" s="9" t="s">
        <v>158</v>
      </c>
      <c r="P145" s="9"/>
      <c r="Q145" s="34">
        <f>IFERROR(INDEX(Positions!$L$7:$L$173,MATCH(B145,Positions!$B$7:$B$173,0)),"")</f>
        <v>154.46671808152229</v>
      </c>
      <c r="R145" s="9" t="str">
        <f t="shared" si="24"/>
        <v/>
      </c>
      <c r="S145" s="9" t="str">
        <f t="shared" si="25"/>
        <v/>
      </c>
      <c r="T145" s="9" t="str">
        <f t="shared" si="26"/>
        <v/>
      </c>
      <c r="U145" s="9" t="str">
        <f t="shared" si="27"/>
        <v/>
      </c>
      <c r="V145" s="9" t="str">
        <f t="shared" si="28"/>
        <v/>
      </c>
      <c r="W145" s="9" t="str">
        <f t="shared" si="29"/>
        <v/>
      </c>
      <c r="X145" s="34" t="str">
        <f>IF(W145="","",COUNTIF($W$7:W145,"?*"))</f>
        <v/>
      </c>
    </row>
    <row r="146" spans="2:24" x14ac:dyDescent="0.2">
      <c r="B146" s="9" t="s">
        <v>498</v>
      </c>
      <c r="C146" s="9" t="s">
        <v>499</v>
      </c>
      <c r="D146" s="9" t="s">
        <v>500</v>
      </c>
      <c r="E146" s="19">
        <v>48563</v>
      </c>
      <c r="F146" s="20">
        <v>3.5179999999999998</v>
      </c>
      <c r="G146" s="13">
        <v>16800000</v>
      </c>
      <c r="H146" s="21">
        <v>99.412499999999994</v>
      </c>
      <c r="I146" s="22">
        <v>362600.02</v>
      </c>
      <c r="J146" s="22">
        <v>17063900.02</v>
      </c>
      <c r="K146" s="19">
        <v>45838</v>
      </c>
      <c r="L146" s="34">
        <v>6</v>
      </c>
      <c r="M146" s="9" t="s">
        <v>681</v>
      </c>
      <c r="N146" s="22">
        <v>-4.6566128730773926E-10</v>
      </c>
      <c r="O146" s="9" t="s">
        <v>158</v>
      </c>
      <c r="P146" s="9"/>
      <c r="Q146" s="34">
        <f>IFERROR(INDEX(Positions!$L$7:$L$173,MATCH(B146,Positions!$B$7:$B$173,0)),"")</f>
        <v>112.35912340760279</v>
      </c>
      <c r="R146" s="9" t="str">
        <f t="shared" si="24"/>
        <v/>
      </c>
      <c r="S146" s="9" t="str">
        <f t="shared" si="25"/>
        <v/>
      </c>
      <c r="T146" s="9" t="str">
        <f t="shared" si="26"/>
        <v/>
      </c>
      <c r="U146" s="9" t="str">
        <f t="shared" si="27"/>
        <v/>
      </c>
      <c r="V146" s="9" t="str">
        <f t="shared" si="28"/>
        <v/>
      </c>
      <c r="W146" s="9" t="str">
        <f t="shared" si="29"/>
        <v/>
      </c>
      <c r="X146" s="34" t="str">
        <f>IF(W146="","",COUNTIF($W$7:W146,"?*"))</f>
        <v/>
      </c>
    </row>
    <row r="147" spans="2:24" x14ac:dyDescent="0.2">
      <c r="B147" s="9" t="s">
        <v>501</v>
      </c>
      <c r="C147" s="9" t="s">
        <v>502</v>
      </c>
      <c r="D147" s="9" t="s">
        <v>503</v>
      </c>
      <c r="E147" s="19">
        <v>48109</v>
      </c>
      <c r="F147" s="20">
        <v>3.875</v>
      </c>
      <c r="G147" s="13">
        <v>9000000</v>
      </c>
      <c r="H147" s="21">
        <v>103.1845</v>
      </c>
      <c r="I147" s="22">
        <v>274222.59999999998</v>
      </c>
      <c r="J147" s="22">
        <v>9560827.5999999996</v>
      </c>
      <c r="K147" s="19">
        <v>45838</v>
      </c>
      <c r="L147" s="34">
        <v>6</v>
      </c>
      <c r="M147" s="9" t="s">
        <v>681</v>
      </c>
      <c r="N147" s="22">
        <v>-3.4924596548080439E-10</v>
      </c>
      <c r="O147" s="9" t="s">
        <v>158</v>
      </c>
      <c r="P147" s="9"/>
      <c r="Q147" s="34">
        <f>IFERROR(INDEX(Positions!$L$7:$L$173,MATCH(B147,Positions!$B$7:$B$173,0)),"")</f>
        <v>98.284110770839732</v>
      </c>
      <c r="R147" s="9" t="str">
        <f t="shared" si="24"/>
        <v/>
      </c>
      <c r="S147" s="9" t="str">
        <f t="shared" si="25"/>
        <v/>
      </c>
      <c r="T147" s="9" t="str">
        <f t="shared" si="26"/>
        <v/>
      </c>
      <c r="U147" s="9" t="str">
        <f t="shared" si="27"/>
        <v/>
      </c>
      <c r="V147" s="9" t="str">
        <f t="shared" si="28"/>
        <v/>
      </c>
      <c r="W147" s="9" t="str">
        <f t="shared" si="29"/>
        <v/>
      </c>
      <c r="X147" s="34" t="str">
        <f>IF(W147="","",COUNTIF($W$7:W147,"?*"))</f>
        <v/>
      </c>
    </row>
    <row r="148" spans="2:24" x14ac:dyDescent="0.2">
      <c r="B148" s="9" t="s">
        <v>504</v>
      </c>
      <c r="C148" s="9" t="s">
        <v>505</v>
      </c>
      <c r="D148" s="9" t="s">
        <v>506</v>
      </c>
      <c r="E148" s="19">
        <v>47557</v>
      </c>
      <c r="F148" s="20">
        <v>4.25</v>
      </c>
      <c r="G148" s="13">
        <v>7600000</v>
      </c>
      <c r="H148" s="21">
        <v>102.02249999999999</v>
      </c>
      <c r="I148" s="22">
        <v>96002.78</v>
      </c>
      <c r="J148" s="22">
        <v>7849712.7800000003</v>
      </c>
      <c r="K148" s="19">
        <v>45838</v>
      </c>
      <c r="L148" s="34">
        <v>6</v>
      </c>
      <c r="M148" s="9" t="s">
        <v>682</v>
      </c>
      <c r="N148" s="22">
        <v>2.6193447411060328E-10</v>
      </c>
      <c r="O148" s="9" t="s">
        <v>158</v>
      </c>
      <c r="P148" s="9"/>
      <c r="Q148" s="34">
        <f>IFERROR(INDEX(Positions!$L$7:$L$173,MATCH(B148,Positions!$B$7:$B$173,0)),"")</f>
        <v>158.50638470591829</v>
      </c>
      <c r="R148" s="9" t="str">
        <f t="shared" si="24"/>
        <v/>
      </c>
      <c r="S148" s="9" t="str">
        <f t="shared" si="25"/>
        <v/>
      </c>
      <c r="T148" s="9" t="str">
        <f t="shared" si="26"/>
        <v/>
      </c>
      <c r="U148" s="9" t="str">
        <f t="shared" si="27"/>
        <v/>
      </c>
      <c r="V148" s="9" t="str">
        <f t="shared" si="28"/>
        <v/>
      </c>
      <c r="W148" s="9" t="str">
        <f t="shared" si="29"/>
        <v/>
      </c>
      <c r="X148" s="34" t="str">
        <f>IF(W148="","",COUNTIF($W$7:W148,"?*"))</f>
        <v/>
      </c>
    </row>
    <row r="149" spans="2:24" x14ac:dyDescent="0.2">
      <c r="B149" s="9" t="s">
        <v>507</v>
      </c>
      <c r="C149" s="9" t="s">
        <v>508</v>
      </c>
      <c r="D149" s="9" t="s">
        <v>368</v>
      </c>
      <c r="E149" s="19">
        <v>48094</v>
      </c>
      <c r="F149" s="20">
        <v>3.6309999999999998</v>
      </c>
      <c r="G149" s="13">
        <v>20000000</v>
      </c>
      <c r="H149" s="21">
        <v>101.80200000000001</v>
      </c>
      <c r="I149" s="22">
        <v>600855.89</v>
      </c>
      <c r="J149" s="22">
        <v>20961255.890000001</v>
      </c>
      <c r="K149" s="19">
        <v>45838</v>
      </c>
      <c r="L149" s="34">
        <v>6</v>
      </c>
      <c r="M149" s="9" t="s">
        <v>681</v>
      </c>
      <c r="N149" s="22">
        <v>-3.14321368932724E-9</v>
      </c>
      <c r="O149" s="9" t="s">
        <v>158</v>
      </c>
      <c r="P149" s="9"/>
      <c r="Q149" s="34">
        <f>IFERROR(INDEX(Positions!$L$7:$L$173,MATCH(B149,Positions!$B$7:$B$173,0)),"")</f>
        <v>98.941263065943119</v>
      </c>
      <c r="R149" s="9" t="str">
        <f t="shared" si="24"/>
        <v/>
      </c>
      <c r="S149" s="9" t="str">
        <f t="shared" si="25"/>
        <v/>
      </c>
      <c r="T149" s="9" t="str">
        <f t="shared" si="26"/>
        <v/>
      </c>
      <c r="U149" s="9" t="str">
        <f t="shared" si="27"/>
        <v/>
      </c>
      <c r="V149" s="9" t="str">
        <f t="shared" si="28"/>
        <v/>
      </c>
      <c r="W149" s="9" t="str">
        <f t="shared" si="29"/>
        <v/>
      </c>
      <c r="X149" s="34" t="str">
        <f>IF(W149="","",COUNTIF($W$7:W149,"?*"))</f>
        <v/>
      </c>
    </row>
    <row r="150" spans="2:24" x14ac:dyDescent="0.2">
      <c r="B150" s="9" t="s">
        <v>509</v>
      </c>
      <c r="C150" s="9" t="s">
        <v>510</v>
      </c>
      <c r="D150" s="9" t="s">
        <v>511</v>
      </c>
      <c r="E150" s="19">
        <v>48129</v>
      </c>
      <c r="F150" s="20">
        <v>3.7149999999999999</v>
      </c>
      <c r="G150" s="13">
        <v>20850000</v>
      </c>
      <c r="H150" s="21">
        <v>100.5175</v>
      </c>
      <c r="I150" s="22">
        <v>566608.75</v>
      </c>
      <c r="J150" s="22">
        <v>21524507.5</v>
      </c>
      <c r="K150" s="19">
        <v>45838</v>
      </c>
      <c r="L150" s="34">
        <v>6</v>
      </c>
      <c r="M150" s="9" t="s">
        <v>681</v>
      </c>
      <c r="N150" s="22">
        <v>0</v>
      </c>
      <c r="O150" s="9" t="s">
        <v>158</v>
      </c>
      <c r="P150" s="9"/>
      <c r="Q150" s="34">
        <f>IFERROR(INDEX(Positions!$L$7:$L$173,MATCH(B150,Positions!$B$7:$B$173,0)),"")</f>
        <v>128.69948439241321</v>
      </c>
      <c r="R150" s="9" t="str">
        <f t="shared" si="24"/>
        <v/>
      </c>
      <c r="S150" s="9" t="str">
        <f t="shared" si="25"/>
        <v/>
      </c>
      <c r="T150" s="9" t="str">
        <f t="shared" si="26"/>
        <v/>
      </c>
      <c r="U150" s="9" t="str">
        <f t="shared" si="27"/>
        <v/>
      </c>
      <c r="V150" s="9" t="str">
        <f t="shared" si="28"/>
        <v/>
      </c>
      <c r="W150" s="9" t="str">
        <f t="shared" si="29"/>
        <v/>
      </c>
      <c r="X150" s="34" t="str">
        <f>IF(W150="","",COUNTIF($W$7:W150,"?*"))</f>
        <v/>
      </c>
    </row>
    <row r="151" spans="2:24" x14ac:dyDescent="0.2">
      <c r="B151" s="9" t="s">
        <v>512</v>
      </c>
      <c r="C151" s="9" t="s">
        <v>513</v>
      </c>
      <c r="D151" s="9" t="s">
        <v>514</v>
      </c>
      <c r="E151" s="19">
        <v>47437</v>
      </c>
      <c r="F151" s="20">
        <v>10</v>
      </c>
      <c r="G151" s="13">
        <v>13500000</v>
      </c>
      <c r="H151" s="21">
        <v>99.927499999999995</v>
      </c>
      <c r="I151" s="22">
        <v>288750</v>
      </c>
      <c r="J151" s="22">
        <v>13778962.5</v>
      </c>
      <c r="K151" s="19">
        <v>45838</v>
      </c>
      <c r="L151" s="34">
        <v>6</v>
      </c>
      <c r="M151" s="9" t="s">
        <v>682</v>
      </c>
      <c r="N151" s="22">
        <v>0</v>
      </c>
      <c r="O151" s="9" t="s">
        <v>158</v>
      </c>
      <c r="P151" s="9"/>
      <c r="Q151" s="34">
        <f>IFERROR(INDEX(Positions!$L$7:$L$173,MATCH(B151,Positions!$B$7:$B$173,0)),"")</f>
        <v>856.62296073151731</v>
      </c>
      <c r="R151" s="9" t="str">
        <f t="shared" si="24"/>
        <v/>
      </c>
      <c r="S151" s="9" t="str">
        <f t="shared" si="25"/>
        <v/>
      </c>
      <c r="T151" s="9" t="str">
        <f t="shared" si="26"/>
        <v/>
      </c>
      <c r="U151" s="9" t="str">
        <f t="shared" si="27"/>
        <v>OUI</v>
      </c>
      <c r="V151" s="9" t="str">
        <f t="shared" si="28"/>
        <v/>
      </c>
      <c r="W151" s="9" t="str">
        <f t="shared" si="29"/>
        <v>À examiner</v>
      </c>
      <c r="X151" s="34">
        <f>IF(W151="","",COUNTIF($W$7:W151,"?*"))</f>
        <v>6</v>
      </c>
    </row>
    <row r="152" spans="2:24" x14ac:dyDescent="0.2">
      <c r="B152" s="9" t="s">
        <v>515</v>
      </c>
      <c r="C152" s="9" t="s">
        <v>516</v>
      </c>
      <c r="D152" s="9" t="s">
        <v>517</v>
      </c>
      <c r="E152" s="19">
        <v>48868</v>
      </c>
      <c r="F152" s="20">
        <v>3.625</v>
      </c>
      <c r="G152" s="13">
        <v>25000000</v>
      </c>
      <c r="H152" s="21">
        <v>99.360500000000002</v>
      </c>
      <c r="I152" s="22">
        <v>643065.06999999995</v>
      </c>
      <c r="J152" s="22">
        <v>25483190.07</v>
      </c>
      <c r="K152" s="19">
        <v>45838</v>
      </c>
      <c r="L152" s="34">
        <v>6</v>
      </c>
      <c r="M152" s="9" t="s">
        <v>681</v>
      </c>
      <c r="N152" s="22">
        <v>3.4924596548080439E-10</v>
      </c>
      <c r="O152" s="9" t="s">
        <v>158</v>
      </c>
      <c r="P152" s="9"/>
      <c r="Q152" s="34">
        <f>IFERROR(INDEX(Positions!$L$7:$L$173,MATCH(B152,Positions!$B$7:$B$173,0)),"")</f>
        <v>118.5417554171506</v>
      </c>
      <c r="R152" s="9" t="str">
        <f t="shared" si="24"/>
        <v/>
      </c>
      <c r="S152" s="9" t="str">
        <f t="shared" si="25"/>
        <v/>
      </c>
      <c r="T152" s="9" t="str">
        <f t="shared" si="26"/>
        <v/>
      </c>
      <c r="U152" s="9" t="str">
        <f t="shared" si="27"/>
        <v/>
      </c>
      <c r="V152" s="9" t="str">
        <f t="shared" si="28"/>
        <v/>
      </c>
      <c r="W152" s="9" t="str">
        <f t="shared" si="29"/>
        <v/>
      </c>
      <c r="X152" s="34" t="str">
        <f>IF(W152="","",COUNTIF($W$7:W152,"?*"))</f>
        <v/>
      </c>
    </row>
    <row r="153" spans="2:24" x14ac:dyDescent="0.2">
      <c r="B153" s="9" t="s">
        <v>518</v>
      </c>
      <c r="C153" s="9" t="s">
        <v>519</v>
      </c>
      <c r="D153" s="9" t="s">
        <v>520</v>
      </c>
      <c r="E153" s="19">
        <v>48143</v>
      </c>
      <c r="F153" s="20">
        <v>3.5</v>
      </c>
      <c r="G153" s="13">
        <v>20000000</v>
      </c>
      <c r="H153" s="21">
        <v>99.069000000000003</v>
      </c>
      <c r="I153" s="22">
        <v>485205.48</v>
      </c>
      <c r="J153" s="22">
        <v>20299005.48</v>
      </c>
      <c r="K153" s="19">
        <v>45838</v>
      </c>
      <c r="L153" s="34">
        <v>6</v>
      </c>
      <c r="M153" s="9" t="s">
        <v>681</v>
      </c>
      <c r="N153" s="22">
        <v>4.6566128730773926E-10</v>
      </c>
      <c r="O153" s="9" t="s">
        <v>158</v>
      </c>
      <c r="P153" s="9"/>
      <c r="Q153" s="34">
        <f>IFERROR(INDEX(Positions!$L$7:$L$173,MATCH(B153,Positions!$B$7:$B$173,0)),"")</f>
        <v>132.71909355903679</v>
      </c>
      <c r="R153" s="9" t="str">
        <f t="shared" si="24"/>
        <v/>
      </c>
      <c r="S153" s="9" t="str">
        <f t="shared" si="25"/>
        <v/>
      </c>
      <c r="T153" s="9" t="str">
        <f t="shared" si="26"/>
        <v/>
      </c>
      <c r="U153" s="9" t="str">
        <f t="shared" si="27"/>
        <v/>
      </c>
      <c r="V153" s="9" t="str">
        <f t="shared" si="28"/>
        <v/>
      </c>
      <c r="W153" s="9" t="str">
        <f t="shared" si="29"/>
        <v/>
      </c>
      <c r="X153" s="34" t="str">
        <f>IF(W153="","",COUNTIF($W$7:W153,"?*"))</f>
        <v/>
      </c>
    </row>
    <row r="154" spans="2:24" x14ac:dyDescent="0.2">
      <c r="B154" s="9" t="s">
        <v>521</v>
      </c>
      <c r="C154" s="9" t="s">
        <v>522</v>
      </c>
      <c r="D154" s="9" t="s">
        <v>425</v>
      </c>
      <c r="E154" s="19">
        <v>47143</v>
      </c>
      <c r="F154" s="20">
        <v>3.375</v>
      </c>
      <c r="G154" s="13">
        <v>15664000</v>
      </c>
      <c r="H154" s="21">
        <v>101.532</v>
      </c>
      <c r="I154" s="22">
        <v>228844.6</v>
      </c>
      <c r="J154" s="22">
        <v>16132817.08</v>
      </c>
      <c r="K154" s="19">
        <v>45838</v>
      </c>
      <c r="L154" s="34">
        <v>6</v>
      </c>
      <c r="M154" s="9" t="s">
        <v>681</v>
      </c>
      <c r="N154" s="22">
        <v>-3.783497959375381E-10</v>
      </c>
      <c r="O154" s="9" t="s">
        <v>158</v>
      </c>
      <c r="P154" s="9"/>
      <c r="Q154" s="34">
        <f>IFERROR(INDEX(Positions!$L$7:$L$173,MATCH(B154,Positions!$B$7:$B$173,0)),"")</f>
        <v>86.431563318828637</v>
      </c>
      <c r="R154" s="9" t="str">
        <f t="shared" si="24"/>
        <v/>
      </c>
      <c r="S154" s="9" t="str">
        <f t="shared" si="25"/>
        <v/>
      </c>
      <c r="T154" s="9" t="str">
        <f t="shared" si="26"/>
        <v/>
      </c>
      <c r="U154" s="9" t="str">
        <f t="shared" si="27"/>
        <v/>
      </c>
      <c r="V154" s="9" t="str">
        <f t="shared" si="28"/>
        <v/>
      </c>
      <c r="W154" s="9" t="str">
        <f t="shared" si="29"/>
        <v/>
      </c>
      <c r="X154" s="34" t="str">
        <f>IF(W154="","",COUNTIF($W$7:W154,"?*"))</f>
        <v/>
      </c>
    </row>
    <row r="155" spans="2:24" x14ac:dyDescent="0.2">
      <c r="B155" s="9" t="s">
        <v>523</v>
      </c>
      <c r="C155" s="9" t="s">
        <v>524</v>
      </c>
      <c r="D155" s="9" t="s">
        <v>525</v>
      </c>
      <c r="E155" s="19">
        <v>47442</v>
      </c>
      <c r="F155" s="20">
        <v>4</v>
      </c>
      <c r="G155" s="13">
        <v>17000000</v>
      </c>
      <c r="H155" s="21">
        <v>101.22</v>
      </c>
      <c r="I155" s="22">
        <v>417315.07</v>
      </c>
      <c r="J155" s="22">
        <v>17624715.07</v>
      </c>
      <c r="K155" s="19">
        <v>45838</v>
      </c>
      <c r="L155" s="34">
        <v>6</v>
      </c>
      <c r="M155" s="9" t="s">
        <v>681</v>
      </c>
      <c r="N155" s="22">
        <v>2.9103830456733698E-10</v>
      </c>
      <c r="O155" s="9" t="s">
        <v>158</v>
      </c>
      <c r="P155" s="9"/>
      <c r="Q155" s="34">
        <f>IFERROR(INDEX(Positions!$L$7:$L$173,MATCH(B155,Positions!$B$7:$B$173,0)),"")</f>
        <v>153.68253991622689</v>
      </c>
      <c r="R155" s="9" t="str">
        <f t="shared" si="24"/>
        <v/>
      </c>
      <c r="S155" s="9" t="str">
        <f t="shared" si="25"/>
        <v/>
      </c>
      <c r="T155" s="9" t="str">
        <f t="shared" si="26"/>
        <v/>
      </c>
      <c r="U155" s="9" t="str">
        <f t="shared" si="27"/>
        <v/>
      </c>
      <c r="V155" s="9" t="str">
        <f t="shared" si="28"/>
        <v/>
      </c>
      <c r="W155" s="9" t="str">
        <f t="shared" si="29"/>
        <v/>
      </c>
      <c r="X155" s="34" t="str">
        <f>IF(W155="","",COUNTIF($W$7:W155,"?*"))</f>
        <v/>
      </c>
    </row>
    <row r="156" spans="2:24" x14ac:dyDescent="0.2">
      <c r="B156" s="9" t="s">
        <v>526</v>
      </c>
      <c r="C156" s="9" t="s">
        <v>527</v>
      </c>
      <c r="D156" s="9" t="s">
        <v>528</v>
      </c>
      <c r="E156" s="19">
        <v>48263</v>
      </c>
      <c r="F156" s="20">
        <v>4</v>
      </c>
      <c r="G156" s="13">
        <v>8000000</v>
      </c>
      <c r="H156" s="21">
        <v>99.763000000000005</v>
      </c>
      <c r="I156" s="22">
        <v>116602.74</v>
      </c>
      <c r="J156" s="22">
        <v>8097642.7400000002</v>
      </c>
      <c r="K156" s="19">
        <v>45838</v>
      </c>
      <c r="L156" s="34">
        <v>6</v>
      </c>
      <c r="M156" s="9" t="s">
        <v>681</v>
      </c>
      <c r="N156" s="22">
        <v>2.182787284255028E-10</v>
      </c>
      <c r="O156" s="9" t="s">
        <v>158</v>
      </c>
      <c r="P156" s="9"/>
      <c r="Q156" s="34">
        <f>IFERROR(INDEX(Positions!$L$7:$L$173,MATCH(B156,Positions!$B$7:$B$173,0)),"")</f>
        <v>165.7705212173997</v>
      </c>
      <c r="R156" s="9" t="str">
        <f t="shared" si="24"/>
        <v/>
      </c>
      <c r="S156" s="9" t="str">
        <f t="shared" si="25"/>
        <v/>
      </c>
      <c r="T156" s="9" t="str">
        <f t="shared" si="26"/>
        <v/>
      </c>
      <c r="U156" s="9" t="str">
        <f t="shared" si="27"/>
        <v/>
      </c>
      <c r="V156" s="9" t="str">
        <f t="shared" si="28"/>
        <v/>
      </c>
      <c r="W156" s="9" t="str">
        <f t="shared" si="29"/>
        <v/>
      </c>
      <c r="X156" s="34" t="str">
        <f>IF(W156="","",COUNTIF($W$7:W156,"?*"))</f>
        <v/>
      </c>
    </row>
    <row r="157" spans="2:24" x14ac:dyDescent="0.2">
      <c r="B157" s="9" t="s">
        <v>529</v>
      </c>
      <c r="C157" s="9" t="s">
        <v>530</v>
      </c>
      <c r="D157" s="9" t="s">
        <v>531</v>
      </c>
      <c r="E157" s="19">
        <v>49357</v>
      </c>
      <c r="F157" s="20">
        <v>3.375</v>
      </c>
      <c r="G157" s="13">
        <v>19500000</v>
      </c>
      <c r="H157" s="21">
        <v>97.435000000000002</v>
      </c>
      <c r="I157" s="22">
        <v>243416.1</v>
      </c>
      <c r="J157" s="22">
        <v>19243241.100000001</v>
      </c>
      <c r="K157" s="19">
        <v>45838</v>
      </c>
      <c r="L157" s="34">
        <v>6</v>
      </c>
      <c r="M157" s="9" t="s">
        <v>681</v>
      </c>
      <c r="N157" s="22">
        <v>1.4842953532934191E-9</v>
      </c>
      <c r="O157" s="9" t="s">
        <v>158</v>
      </c>
      <c r="P157" s="9"/>
      <c r="Q157" s="34">
        <f>IFERROR(INDEX(Positions!$L$7:$L$173,MATCH(B157,Positions!$B$7:$B$173,0)),"")</f>
        <v>103.917390772283</v>
      </c>
      <c r="R157" s="9" t="str">
        <f t="shared" si="24"/>
        <v/>
      </c>
      <c r="S157" s="9" t="str">
        <f t="shared" si="25"/>
        <v/>
      </c>
      <c r="T157" s="9" t="str">
        <f t="shared" si="26"/>
        <v/>
      </c>
      <c r="U157" s="9" t="str">
        <f t="shared" si="27"/>
        <v/>
      </c>
      <c r="V157" s="9" t="str">
        <f t="shared" si="28"/>
        <v/>
      </c>
      <c r="W157" s="9" t="str">
        <f t="shared" si="29"/>
        <v/>
      </c>
      <c r="X157" s="34" t="str">
        <f>IF(W157="","",COUNTIF($W$7:W157,"?*"))</f>
        <v/>
      </c>
    </row>
    <row r="158" spans="2:24" x14ac:dyDescent="0.2">
      <c r="B158" s="9" t="s">
        <v>532</v>
      </c>
      <c r="C158" s="9" t="s">
        <v>533</v>
      </c>
      <c r="D158" s="9" t="s">
        <v>534</v>
      </c>
      <c r="E158" s="19">
        <v>47982</v>
      </c>
      <c r="F158" s="20">
        <v>2.95</v>
      </c>
      <c r="G158" s="13">
        <v>22000000</v>
      </c>
      <c r="H158" s="21">
        <v>98.781999999999996</v>
      </c>
      <c r="I158" s="22">
        <v>87126.03</v>
      </c>
      <c r="J158" s="22">
        <v>21819166.030000001</v>
      </c>
      <c r="K158" s="19">
        <v>45838</v>
      </c>
      <c r="L158" s="34">
        <v>6</v>
      </c>
      <c r="M158" s="9" t="s">
        <v>681</v>
      </c>
      <c r="N158" s="22">
        <v>1.1932570487260821E-9</v>
      </c>
      <c r="O158" s="9" t="s">
        <v>158</v>
      </c>
      <c r="P158" s="9"/>
      <c r="Q158" s="34">
        <f>IFERROR(INDEX(Positions!$L$7:$L$173,MATCH(B158,Positions!$B$7:$B$173,0)),"")</f>
        <v>89.740675232817438</v>
      </c>
      <c r="R158" s="9" t="str">
        <f t="shared" si="24"/>
        <v/>
      </c>
      <c r="S158" s="9" t="str">
        <f t="shared" si="25"/>
        <v/>
      </c>
      <c r="T158" s="9" t="str">
        <f t="shared" si="26"/>
        <v/>
      </c>
      <c r="U158" s="9" t="str">
        <f t="shared" si="27"/>
        <v/>
      </c>
      <c r="V158" s="9" t="str">
        <f t="shared" si="28"/>
        <v/>
      </c>
      <c r="W158" s="9" t="str">
        <f t="shared" si="29"/>
        <v/>
      </c>
      <c r="X158" s="34" t="str">
        <f>IF(W158="","",COUNTIF($W$7:W158,"?*"))</f>
        <v/>
      </c>
    </row>
    <row r="159" spans="2:24" x14ac:dyDescent="0.2">
      <c r="B159" s="9" t="s">
        <v>535</v>
      </c>
      <c r="C159" s="9" t="s">
        <v>536</v>
      </c>
      <c r="D159" s="9" t="s">
        <v>537</v>
      </c>
      <c r="E159" s="19">
        <v>47919</v>
      </c>
      <c r="F159" s="20">
        <v>3.875</v>
      </c>
      <c r="G159" s="13">
        <v>20000000</v>
      </c>
      <c r="H159" s="21">
        <v>100.40649999999999</v>
      </c>
      <c r="I159" s="22">
        <v>237808.22</v>
      </c>
      <c r="J159" s="22">
        <v>20319108.219999999</v>
      </c>
      <c r="K159" s="19">
        <v>45838</v>
      </c>
      <c r="L159" s="34">
        <v>6</v>
      </c>
      <c r="M159" s="9" t="s">
        <v>681</v>
      </c>
      <c r="N159" s="22">
        <v>-1.1932570487260821E-9</v>
      </c>
      <c r="O159" s="9" t="s">
        <v>158</v>
      </c>
      <c r="P159" s="9"/>
      <c r="Q159" s="34">
        <f>IFERROR(INDEX(Positions!$L$7:$L$173,MATCH(B159,Positions!$B$7:$B$173,0)),"")</f>
        <v>150.90774857879941</v>
      </c>
      <c r="R159" s="9" t="str">
        <f t="shared" si="24"/>
        <v/>
      </c>
      <c r="S159" s="9" t="str">
        <f t="shared" si="25"/>
        <v/>
      </c>
      <c r="T159" s="9" t="str">
        <f t="shared" si="26"/>
        <v/>
      </c>
      <c r="U159" s="9" t="str">
        <f t="shared" si="27"/>
        <v/>
      </c>
      <c r="V159" s="9" t="str">
        <f t="shared" si="28"/>
        <v/>
      </c>
      <c r="W159" s="9" t="str">
        <f t="shared" si="29"/>
        <v/>
      </c>
      <c r="X159" s="34" t="str">
        <f>IF(W159="","",COUNTIF($W$7:W159,"?*"))</f>
        <v/>
      </c>
    </row>
    <row r="160" spans="2:24" x14ac:dyDescent="0.2">
      <c r="B160" s="9" t="s">
        <v>538</v>
      </c>
      <c r="C160" s="9" t="s">
        <v>539</v>
      </c>
      <c r="D160" s="9" t="s">
        <v>540</v>
      </c>
      <c r="E160" s="19">
        <v>49387</v>
      </c>
      <c r="F160" s="20">
        <v>4</v>
      </c>
      <c r="G160" s="13">
        <v>14900000</v>
      </c>
      <c r="H160" s="21">
        <v>101.357</v>
      </c>
      <c r="I160" s="22">
        <v>171452.05</v>
      </c>
      <c r="J160" s="22">
        <v>15273645.050000001</v>
      </c>
      <c r="K160" s="19">
        <v>45838</v>
      </c>
      <c r="L160" s="34">
        <v>6</v>
      </c>
      <c r="M160" s="9" t="s">
        <v>681</v>
      </c>
      <c r="N160" s="22">
        <v>7.5669959187507629E-10</v>
      </c>
      <c r="O160" s="9" t="s">
        <v>158</v>
      </c>
      <c r="P160" s="9"/>
      <c r="Q160" s="34">
        <f>IFERROR(INDEX(Positions!$L$7:$L$173,MATCH(B160,Positions!$B$7:$B$173,0)),"")</f>
        <v>116.86355813784139</v>
      </c>
      <c r="R160" s="9" t="str">
        <f t="shared" si="24"/>
        <v/>
      </c>
      <c r="S160" s="9" t="str">
        <f t="shared" si="25"/>
        <v/>
      </c>
      <c r="T160" s="9" t="str">
        <f t="shared" si="26"/>
        <v/>
      </c>
      <c r="U160" s="9" t="str">
        <f t="shared" si="27"/>
        <v/>
      </c>
      <c r="V160" s="9" t="str">
        <f t="shared" si="28"/>
        <v/>
      </c>
      <c r="W160" s="9" t="str">
        <f t="shared" si="29"/>
        <v/>
      </c>
      <c r="X160" s="34" t="str">
        <f>IF(W160="","",COUNTIF($W$7:W160,"?*"))</f>
        <v/>
      </c>
    </row>
    <row r="161" spans="2:24" x14ac:dyDescent="0.2">
      <c r="B161" s="9" t="s">
        <v>541</v>
      </c>
      <c r="C161" s="9" t="s">
        <v>542</v>
      </c>
      <c r="D161" s="9" t="s">
        <v>543</v>
      </c>
      <c r="E161" s="19">
        <v>48291</v>
      </c>
      <c r="F161" s="20">
        <v>3.5</v>
      </c>
      <c r="G161" s="13">
        <v>23500000</v>
      </c>
      <c r="H161" s="21">
        <v>101.12949999999999</v>
      </c>
      <c r="I161" s="22">
        <v>238863.01</v>
      </c>
      <c r="J161" s="22">
        <v>24004295.510000002</v>
      </c>
      <c r="K161" s="19">
        <v>45838</v>
      </c>
      <c r="L161" s="34">
        <v>6</v>
      </c>
      <c r="M161" s="9" t="s">
        <v>681</v>
      </c>
      <c r="N161" s="22">
        <v>1.629814505577087E-9</v>
      </c>
      <c r="O161" s="9" t="s">
        <v>158</v>
      </c>
      <c r="P161" s="9"/>
      <c r="Q161" s="34">
        <f>IFERROR(INDEX(Positions!$L$7:$L$173,MATCH(B161,Positions!$B$7:$B$173,0)),"")</f>
        <v>94.108864965437064</v>
      </c>
      <c r="R161" s="9" t="str">
        <f t="shared" si="24"/>
        <v/>
      </c>
      <c r="S161" s="9" t="str">
        <f t="shared" si="25"/>
        <v/>
      </c>
      <c r="T161" s="9" t="str">
        <f t="shared" si="26"/>
        <v/>
      </c>
      <c r="U161" s="9" t="str">
        <f t="shared" si="27"/>
        <v/>
      </c>
      <c r="V161" s="9" t="str">
        <f t="shared" si="28"/>
        <v/>
      </c>
      <c r="W161" s="9" t="str">
        <f t="shared" si="29"/>
        <v/>
      </c>
      <c r="X161" s="34" t="str">
        <f>IF(W161="","",COUNTIF($W$7:W161,"?*"))</f>
        <v/>
      </c>
    </row>
    <row r="162" spans="2:24" x14ac:dyDescent="0.2">
      <c r="B162" s="9" t="s">
        <v>544</v>
      </c>
      <c r="C162" s="9" t="s">
        <v>545</v>
      </c>
      <c r="D162" s="9" t="s">
        <v>546</v>
      </c>
      <c r="E162" s="19">
        <v>49034</v>
      </c>
      <c r="F162" s="20">
        <v>3.5</v>
      </c>
      <c r="G162" s="13">
        <v>8800000</v>
      </c>
      <c r="H162" s="21">
        <v>101.1195</v>
      </c>
      <c r="I162" s="22">
        <v>78476.710000000006</v>
      </c>
      <c r="J162" s="22">
        <v>8976992.7100000009</v>
      </c>
      <c r="K162" s="19">
        <v>45838</v>
      </c>
      <c r="L162" s="34">
        <v>6</v>
      </c>
      <c r="M162" s="9" t="s">
        <v>681</v>
      </c>
      <c r="N162" s="22">
        <v>8.8766682893037796E-10</v>
      </c>
      <c r="O162" s="9" t="s">
        <v>158</v>
      </c>
      <c r="P162" s="9"/>
      <c r="Q162" s="34">
        <f>IFERROR(INDEX(Positions!$L$7:$L$173,MATCH(B162,Positions!$B$7:$B$173,0)),"")</f>
        <v>78.833603215625359</v>
      </c>
      <c r="R162" s="9" t="str">
        <f t="shared" si="24"/>
        <v/>
      </c>
      <c r="S162" s="9" t="str">
        <f t="shared" si="25"/>
        <v/>
      </c>
      <c r="T162" s="9" t="str">
        <f t="shared" si="26"/>
        <v/>
      </c>
      <c r="U162" s="9" t="str">
        <f t="shared" si="27"/>
        <v/>
      </c>
      <c r="V162" s="9" t="str">
        <f t="shared" si="28"/>
        <v/>
      </c>
      <c r="W162" s="9" t="str">
        <f t="shared" si="29"/>
        <v/>
      </c>
      <c r="X162" s="34" t="str">
        <f>IF(W162="","",COUNTIF($W$7:W162,"?*"))</f>
        <v/>
      </c>
    </row>
    <row r="163" spans="2:24" x14ac:dyDescent="0.2">
      <c r="B163" s="9" t="s">
        <v>547</v>
      </c>
      <c r="C163" s="9" t="s">
        <v>548</v>
      </c>
      <c r="D163" s="9" t="s">
        <v>319</v>
      </c>
      <c r="E163" s="19">
        <v>47574</v>
      </c>
      <c r="F163" s="20">
        <v>3.75</v>
      </c>
      <c r="G163" s="13">
        <v>17700000</v>
      </c>
      <c r="H163" s="21">
        <v>101.1245</v>
      </c>
      <c r="I163" s="22">
        <v>167301.37</v>
      </c>
      <c r="J163" s="22">
        <v>18066337.870000001</v>
      </c>
      <c r="K163" s="19">
        <v>45838</v>
      </c>
      <c r="L163" s="34">
        <v>6</v>
      </c>
      <c r="M163" s="9" t="s">
        <v>681</v>
      </c>
      <c r="N163" s="22">
        <v>1.0477378964424129E-9</v>
      </c>
      <c r="O163" s="9" t="s">
        <v>158</v>
      </c>
      <c r="P163" s="9"/>
      <c r="Q163" s="34">
        <f>IFERROR(INDEX(Positions!$L$7:$L$173,MATCH(B163,Positions!$B$7:$B$173,0)),"")</f>
        <v>130.53815267135269</v>
      </c>
      <c r="R163" s="9" t="str">
        <f t="shared" si="24"/>
        <v/>
      </c>
      <c r="S163" s="9" t="str">
        <f t="shared" si="25"/>
        <v/>
      </c>
      <c r="T163" s="9" t="str">
        <f t="shared" si="26"/>
        <v/>
      </c>
      <c r="U163" s="9" t="str">
        <f t="shared" si="27"/>
        <v/>
      </c>
      <c r="V163" s="9" t="str">
        <f t="shared" si="28"/>
        <v/>
      </c>
      <c r="W163" s="9" t="str">
        <f t="shared" si="29"/>
        <v/>
      </c>
      <c r="X163" s="34" t="str">
        <f>IF(W163="","",COUNTIF($W$7:W163,"?*"))</f>
        <v/>
      </c>
    </row>
    <row r="164" spans="2:24" x14ac:dyDescent="0.2">
      <c r="B164" s="9" t="s">
        <v>549</v>
      </c>
      <c r="C164" s="9" t="s">
        <v>550</v>
      </c>
      <c r="D164" s="9" t="s">
        <v>551</v>
      </c>
      <c r="E164" s="19">
        <v>47575</v>
      </c>
      <c r="F164" s="20">
        <v>4.125</v>
      </c>
      <c r="G164" s="13">
        <v>9900000</v>
      </c>
      <c r="H164" s="21">
        <v>102.04900000000001</v>
      </c>
      <c r="I164" s="22">
        <v>101814.04</v>
      </c>
      <c r="J164" s="22">
        <v>10204665.039999999</v>
      </c>
      <c r="K164" s="19">
        <v>45838</v>
      </c>
      <c r="L164" s="34">
        <v>6</v>
      </c>
      <c r="M164" s="9" t="s">
        <v>681</v>
      </c>
      <c r="N164" s="22">
        <v>-2.750311978161335E-9</v>
      </c>
      <c r="O164" s="9" t="s">
        <v>158</v>
      </c>
      <c r="P164" s="9"/>
      <c r="Q164" s="34">
        <f>IFERROR(INDEX(Positions!$L$7:$L$173,MATCH(B164,Positions!$B$7:$B$173,0)),"")</f>
        <v>145.88220123597861</v>
      </c>
      <c r="R164" s="9" t="str">
        <f t="shared" si="24"/>
        <v/>
      </c>
      <c r="S164" s="9" t="str">
        <f t="shared" si="25"/>
        <v/>
      </c>
      <c r="T164" s="9" t="str">
        <f t="shared" si="26"/>
        <v/>
      </c>
      <c r="U164" s="9" t="str">
        <f t="shared" si="27"/>
        <v/>
      </c>
      <c r="V164" s="9" t="str">
        <f t="shared" si="28"/>
        <v/>
      </c>
      <c r="W164" s="9" t="str">
        <f t="shared" si="29"/>
        <v/>
      </c>
      <c r="X164" s="34" t="str">
        <f>IF(W164="","",COUNTIF($W$7:W164,"?*"))</f>
        <v/>
      </c>
    </row>
    <row r="165" spans="2:24" x14ac:dyDescent="0.2">
      <c r="B165" s="9" t="s">
        <v>552</v>
      </c>
      <c r="C165" s="9" t="s">
        <v>553</v>
      </c>
      <c r="D165" s="9" t="s">
        <v>554</v>
      </c>
      <c r="E165" s="19">
        <v>47879</v>
      </c>
      <c r="F165" s="20">
        <v>4.875</v>
      </c>
      <c r="G165" s="13">
        <v>5400000</v>
      </c>
      <c r="H165" s="21">
        <v>102.681</v>
      </c>
      <c r="I165" s="22">
        <v>35831.25</v>
      </c>
      <c r="J165" s="22">
        <v>5580605.25</v>
      </c>
      <c r="K165" s="19">
        <v>45838</v>
      </c>
      <c r="L165" s="34">
        <v>6</v>
      </c>
      <c r="M165" s="9" t="s">
        <v>682</v>
      </c>
      <c r="N165" s="22">
        <v>0</v>
      </c>
      <c r="O165" s="9" t="s">
        <v>158</v>
      </c>
      <c r="P165" s="9"/>
      <c r="Q165" s="34">
        <f>IFERROR(INDEX(Positions!$L$7:$L$173,MATCH(B165,Positions!$B$7:$B$173,0)),"")</f>
        <v>229.715731010604</v>
      </c>
      <c r="R165" s="9" t="str">
        <f t="shared" si="24"/>
        <v/>
      </c>
      <c r="S165" s="9" t="str">
        <f t="shared" si="25"/>
        <v/>
      </c>
      <c r="T165" s="9" t="str">
        <f t="shared" si="26"/>
        <v/>
      </c>
      <c r="U165" s="9" t="str">
        <f t="shared" si="27"/>
        <v/>
      </c>
      <c r="V165" s="9" t="str">
        <f t="shared" si="28"/>
        <v/>
      </c>
      <c r="W165" s="9" t="str">
        <f t="shared" si="29"/>
        <v/>
      </c>
      <c r="X165" s="34" t="str">
        <f>IF(W165="","",COUNTIF($W$7:W165,"?*"))</f>
        <v/>
      </c>
    </row>
    <row r="166" spans="2:24" x14ac:dyDescent="0.2">
      <c r="B166" s="9" t="s">
        <v>555</v>
      </c>
      <c r="C166" s="9" t="s">
        <v>556</v>
      </c>
      <c r="D166" s="9" t="s">
        <v>557</v>
      </c>
      <c r="E166" s="19">
        <v>48380</v>
      </c>
      <c r="F166" s="20">
        <v>3.5</v>
      </c>
      <c r="G166" s="13">
        <v>17300000</v>
      </c>
      <c r="H166" s="21">
        <v>99.739000000000004</v>
      </c>
      <c r="I166" s="22">
        <v>28201.37</v>
      </c>
      <c r="J166" s="22">
        <v>17283048.370000001</v>
      </c>
      <c r="K166" s="19">
        <v>45838</v>
      </c>
      <c r="L166" s="34">
        <v>6</v>
      </c>
      <c r="M166" s="9" t="s">
        <v>681</v>
      </c>
      <c r="N166" s="22">
        <v>1.044099917635322E-9</v>
      </c>
      <c r="O166" s="9" t="s">
        <v>158</v>
      </c>
      <c r="P166" s="9"/>
      <c r="Q166" s="34">
        <f>IFERROR(INDEX(Positions!$L$7:$L$173,MATCH(B166,Positions!$B$7:$B$173,0)),"")</f>
        <v>114.4916692135053</v>
      </c>
      <c r="R166" s="9" t="str">
        <f t="shared" si="24"/>
        <v/>
      </c>
      <c r="S166" s="9" t="str">
        <f t="shared" si="25"/>
        <v/>
      </c>
      <c r="T166" s="9" t="str">
        <f t="shared" si="26"/>
        <v/>
      </c>
      <c r="U166" s="9" t="str">
        <f t="shared" si="27"/>
        <v/>
      </c>
      <c r="V166" s="9" t="str">
        <f t="shared" si="28"/>
        <v/>
      </c>
      <c r="W166" s="9" t="str">
        <f t="shared" si="29"/>
        <v/>
      </c>
      <c r="X166" s="34" t="str">
        <f>IF(W166="","",COUNTIF($W$7:W166,"?*"))</f>
        <v/>
      </c>
    </row>
    <row r="167" spans="2:24" x14ac:dyDescent="0.2">
      <c r="B167" s="9" t="s">
        <v>558</v>
      </c>
      <c r="C167" s="9" t="s">
        <v>559</v>
      </c>
      <c r="D167" s="9" t="s">
        <v>560</v>
      </c>
      <c r="E167" s="19">
        <v>48705</v>
      </c>
      <c r="F167" s="20">
        <v>3</v>
      </c>
      <c r="G167" s="13">
        <v>19200000</v>
      </c>
      <c r="H167" s="21">
        <v>99.197999999999993</v>
      </c>
      <c r="I167" s="22">
        <v>89950.68</v>
      </c>
      <c r="J167" s="22">
        <v>19135966.68</v>
      </c>
      <c r="K167" s="19">
        <v>45838</v>
      </c>
      <c r="L167" s="34">
        <v>6</v>
      </c>
      <c r="M167" s="9" t="s">
        <v>681</v>
      </c>
      <c r="N167" s="22">
        <v>3.434251993894577E-9</v>
      </c>
      <c r="O167" s="9" t="s">
        <v>158</v>
      </c>
      <c r="P167" s="9"/>
      <c r="Q167" s="34">
        <f>IFERROR(INDEX(Positions!$L$7:$L$173,MATCH(B167,Positions!$B$7:$B$173,0)),"")</f>
        <v>64.299878960018702</v>
      </c>
      <c r="R167" s="9" t="str">
        <f t="shared" ref="R167:R175" si="30">IF(E167&lt;=RL_Date,"OUI","")</f>
        <v/>
      </c>
      <c r="S167" s="9" t="str">
        <f t="shared" ref="S167:S175" si="31">IF(OR(H167&lt;=0,J167&lt;=0),"OUI","")</f>
        <v/>
      </c>
      <c r="T167" s="9" t="str">
        <f t="shared" ref="T167:T175" si="32">IF(RL_Date-K167&gt;RL_Age_Prix,"OUI","")</f>
        <v/>
      </c>
      <c r="U167" s="9" t="str">
        <f t="shared" ref="U167:U175" si="33">IF(AND(ISNUMBER(Q167),Q167&gt;RL_Spread_Revue),"OUI","")</f>
        <v/>
      </c>
      <c r="V167" s="9" t="str">
        <f t="shared" ref="V167:V175" si="34">IF(ABS(N167)&gt;0.02,"OUI","")</f>
        <v/>
      </c>
      <c r="W167" s="9" t="str">
        <f t="shared" ref="W167:W198" si="35">IF(OR(R167="OUI",S167="OUI",T167="OUI",V167="OUI"),"À instruire",IF(U167="OUI","À examiner",""))</f>
        <v/>
      </c>
      <c r="X167" s="34" t="str">
        <f>IF(W167="","",COUNTIF($W$7:W167,"?*"))</f>
        <v/>
      </c>
    </row>
    <row r="168" spans="2:24" x14ac:dyDescent="0.2">
      <c r="B168" s="9" t="s">
        <v>561</v>
      </c>
      <c r="C168" s="9" t="s">
        <v>562</v>
      </c>
      <c r="D168" s="9" t="s">
        <v>563</v>
      </c>
      <c r="E168" s="19">
        <v>47632</v>
      </c>
      <c r="F168" s="20">
        <v>4.75</v>
      </c>
      <c r="G168" s="13">
        <v>26200000</v>
      </c>
      <c r="H168" s="21">
        <v>101.1665</v>
      </c>
      <c r="I168" s="22">
        <v>115926.03</v>
      </c>
      <c r="J168" s="22">
        <v>26621549.030000001</v>
      </c>
      <c r="K168" s="19">
        <v>45838</v>
      </c>
      <c r="L168" s="34">
        <v>6</v>
      </c>
      <c r="M168" s="9" t="s">
        <v>681</v>
      </c>
      <c r="N168" s="22">
        <v>1.1932570487260821E-9</v>
      </c>
      <c r="O168" s="9" t="s">
        <v>158</v>
      </c>
      <c r="P168" s="9"/>
      <c r="Q168" s="34">
        <f>IFERROR(INDEX(Positions!$L$7:$L$173,MATCH(B168,Positions!$B$7:$B$173,0)),"")</f>
        <v>224.63915181086529</v>
      </c>
      <c r="R168" s="9" t="str">
        <f t="shared" si="30"/>
        <v/>
      </c>
      <c r="S168" s="9" t="str">
        <f t="shared" si="31"/>
        <v/>
      </c>
      <c r="T168" s="9" t="str">
        <f t="shared" si="32"/>
        <v/>
      </c>
      <c r="U168" s="9" t="str">
        <f t="shared" si="33"/>
        <v/>
      </c>
      <c r="V168" s="9" t="str">
        <f t="shared" si="34"/>
        <v/>
      </c>
      <c r="W168" s="9" t="str">
        <f t="shared" si="35"/>
        <v/>
      </c>
      <c r="X168" s="34" t="str">
        <f>IF(W168="","",COUNTIF($W$7:W168,"?*"))</f>
        <v/>
      </c>
    </row>
    <row r="169" spans="2:24" x14ac:dyDescent="0.2">
      <c r="B169" s="9" t="s">
        <v>564</v>
      </c>
      <c r="C169" s="9" t="s">
        <v>565</v>
      </c>
      <c r="D169" s="9" t="s">
        <v>566</v>
      </c>
      <c r="E169" s="19">
        <v>48008</v>
      </c>
      <c r="F169" s="20">
        <v>3.375</v>
      </c>
      <c r="G169" s="13">
        <v>18850000</v>
      </c>
      <c r="H169" s="21">
        <v>99.463499999999996</v>
      </c>
      <c r="I169" s="22">
        <v>40088.53</v>
      </c>
      <c r="J169" s="22">
        <v>18788958.280000001</v>
      </c>
      <c r="K169" s="19">
        <v>45838</v>
      </c>
      <c r="L169" s="34">
        <v>6</v>
      </c>
      <c r="M169" s="9" t="s">
        <v>681</v>
      </c>
      <c r="N169" s="22">
        <v>1.1932570487260821E-9</v>
      </c>
      <c r="O169" s="9" t="s">
        <v>158</v>
      </c>
      <c r="P169" s="9"/>
      <c r="Q169" s="34">
        <f>IFERROR(INDEX(Positions!$L$7:$L$173,MATCH(B169,Positions!$B$7:$B$173,0)),"")</f>
        <v>117.90141037707041</v>
      </c>
      <c r="R169" s="9" t="str">
        <f t="shared" si="30"/>
        <v/>
      </c>
      <c r="S169" s="9" t="str">
        <f t="shared" si="31"/>
        <v/>
      </c>
      <c r="T169" s="9" t="str">
        <f t="shared" si="32"/>
        <v/>
      </c>
      <c r="U169" s="9" t="str">
        <f t="shared" si="33"/>
        <v/>
      </c>
      <c r="V169" s="9" t="str">
        <f t="shared" si="34"/>
        <v/>
      </c>
      <c r="W169" s="9" t="str">
        <f t="shared" si="35"/>
        <v/>
      </c>
      <c r="X169" s="34" t="str">
        <f>IF(W169="","",COUNTIF($W$7:W169,"?*"))</f>
        <v/>
      </c>
    </row>
    <row r="170" spans="2:24" x14ac:dyDescent="0.2">
      <c r="B170" s="9" t="s">
        <v>567</v>
      </c>
      <c r="C170" s="9" t="s">
        <v>568</v>
      </c>
      <c r="D170" s="9" t="s">
        <v>569</v>
      </c>
      <c r="E170" s="19">
        <v>47989</v>
      </c>
      <c r="F170" s="20">
        <v>3.875</v>
      </c>
      <c r="G170" s="13">
        <v>31200000</v>
      </c>
      <c r="H170" s="21">
        <v>100.7675</v>
      </c>
      <c r="I170" s="22">
        <v>139117.81</v>
      </c>
      <c r="J170" s="22">
        <v>31578577.809999999</v>
      </c>
      <c r="K170" s="19">
        <v>45838</v>
      </c>
      <c r="L170" s="34">
        <v>6</v>
      </c>
      <c r="M170" s="9" t="s">
        <v>681</v>
      </c>
      <c r="N170" s="22">
        <v>-1.33877620100975E-9</v>
      </c>
      <c r="O170" s="9" t="s">
        <v>158</v>
      </c>
      <c r="P170" s="9"/>
      <c r="Q170" s="34">
        <f>IFERROR(INDEX(Positions!$L$7:$L$173,MATCH(B170,Positions!$B$7:$B$173,0)),"")</f>
        <v>142.77817304849569</v>
      </c>
      <c r="R170" s="9" t="str">
        <f t="shared" si="30"/>
        <v/>
      </c>
      <c r="S170" s="9" t="str">
        <f t="shared" si="31"/>
        <v/>
      </c>
      <c r="T170" s="9" t="str">
        <f t="shared" si="32"/>
        <v/>
      </c>
      <c r="U170" s="9" t="str">
        <f t="shared" si="33"/>
        <v/>
      </c>
      <c r="V170" s="9" t="str">
        <f t="shared" si="34"/>
        <v/>
      </c>
      <c r="W170" s="9" t="str">
        <f t="shared" si="35"/>
        <v/>
      </c>
      <c r="X170" s="34" t="str">
        <f>IF(W170="","",COUNTIF($W$7:W170,"?*"))</f>
        <v/>
      </c>
    </row>
    <row r="171" spans="2:24" x14ac:dyDescent="0.2">
      <c r="B171" s="9" t="s">
        <v>570</v>
      </c>
      <c r="C171" s="9" t="s">
        <v>571</v>
      </c>
      <c r="D171" s="9" t="s">
        <v>572</v>
      </c>
      <c r="E171" s="19">
        <v>47692</v>
      </c>
      <c r="F171" s="20">
        <v>3.75</v>
      </c>
      <c r="G171" s="13">
        <v>7900000</v>
      </c>
      <c r="H171" s="21">
        <v>101.59950000000001</v>
      </c>
      <c r="I171" s="22">
        <v>28407.53</v>
      </c>
      <c r="J171" s="22">
        <v>8054768.0300000003</v>
      </c>
      <c r="K171" s="19">
        <v>45838</v>
      </c>
      <c r="L171" s="34">
        <v>6</v>
      </c>
      <c r="M171" s="9" t="s">
        <v>681</v>
      </c>
      <c r="N171" s="22">
        <v>2.6193447411060328E-10</v>
      </c>
      <c r="O171" s="9" t="s">
        <v>158</v>
      </c>
      <c r="P171" s="9"/>
      <c r="Q171" s="34">
        <f>IFERROR(INDEX(Positions!$L$7:$L$173,MATCH(B171,Positions!$B$7:$B$173,0)),"")</f>
        <v>185.33334113851399</v>
      </c>
      <c r="R171" s="9" t="str">
        <f t="shared" si="30"/>
        <v/>
      </c>
      <c r="S171" s="9" t="str">
        <f t="shared" si="31"/>
        <v/>
      </c>
      <c r="T171" s="9" t="str">
        <f t="shared" si="32"/>
        <v/>
      </c>
      <c r="U171" s="9" t="str">
        <f t="shared" si="33"/>
        <v/>
      </c>
      <c r="V171" s="9" t="str">
        <f t="shared" si="34"/>
        <v/>
      </c>
      <c r="W171" s="9" t="str">
        <f t="shared" si="35"/>
        <v/>
      </c>
      <c r="X171" s="34" t="str">
        <f>IF(W171="","",COUNTIF($W$7:W171,"?*"))</f>
        <v/>
      </c>
    </row>
    <row r="172" spans="2:24" x14ac:dyDescent="0.2">
      <c r="B172" s="9" t="s">
        <v>573</v>
      </c>
      <c r="C172" s="9" t="s">
        <v>574</v>
      </c>
      <c r="D172" s="9" t="s">
        <v>575</v>
      </c>
      <c r="E172" s="19">
        <v>47653</v>
      </c>
      <c r="F172" s="20">
        <v>3.375</v>
      </c>
      <c r="G172" s="13">
        <v>37800000</v>
      </c>
      <c r="H172" s="21">
        <v>99.632999999999996</v>
      </c>
      <c r="I172" s="22">
        <v>45437.67</v>
      </c>
      <c r="J172" s="22">
        <v>37706711.670000002</v>
      </c>
      <c r="K172" s="19">
        <v>45838</v>
      </c>
      <c r="L172" s="34">
        <v>6</v>
      </c>
      <c r="M172" s="9" t="s">
        <v>681</v>
      </c>
      <c r="N172" s="22">
        <v>1.789885573089123E-9</v>
      </c>
      <c r="O172" s="9" t="s">
        <v>158</v>
      </c>
      <c r="P172" s="9"/>
      <c r="Q172" s="34">
        <f>IFERROR(INDEX(Positions!$L$7:$L$173,MATCH(B172,Positions!$B$7:$B$173,0)),"")</f>
        <v>125.4496953414578</v>
      </c>
      <c r="R172" s="9" t="str">
        <f t="shared" si="30"/>
        <v/>
      </c>
      <c r="S172" s="9" t="str">
        <f t="shared" si="31"/>
        <v/>
      </c>
      <c r="T172" s="9" t="str">
        <f t="shared" si="32"/>
        <v/>
      </c>
      <c r="U172" s="9" t="str">
        <f t="shared" si="33"/>
        <v/>
      </c>
      <c r="V172" s="9" t="str">
        <f t="shared" si="34"/>
        <v/>
      </c>
      <c r="W172" s="9" t="str">
        <f t="shared" si="35"/>
        <v/>
      </c>
      <c r="X172" s="34" t="str">
        <f>IF(W172="","",COUNTIF($W$7:W172,"?*"))</f>
        <v/>
      </c>
    </row>
    <row r="173" spans="2:24" x14ac:dyDescent="0.2">
      <c r="B173" s="9" t="s">
        <v>576</v>
      </c>
      <c r="C173" s="9" t="s">
        <v>577</v>
      </c>
      <c r="D173" s="9" t="s">
        <v>437</v>
      </c>
      <c r="E173" s="19">
        <v>47639</v>
      </c>
      <c r="F173" s="20">
        <v>3.5</v>
      </c>
      <c r="G173" s="13">
        <v>13000000</v>
      </c>
      <c r="H173" s="21">
        <v>100.0145</v>
      </c>
      <c r="I173" s="22">
        <v>33657.53</v>
      </c>
      <c r="J173" s="22">
        <v>13035542.529999999</v>
      </c>
      <c r="K173" s="19">
        <v>45838</v>
      </c>
      <c r="L173" s="34">
        <v>6</v>
      </c>
      <c r="M173" s="9" t="s">
        <v>692</v>
      </c>
      <c r="N173" s="22">
        <v>-6.6938810050487518E-10</v>
      </c>
      <c r="O173" s="9" t="s">
        <v>158</v>
      </c>
      <c r="P173" s="9"/>
      <c r="Q173" s="34">
        <f>IFERROR(INDEX(Positions!$L$7:$L$173,MATCH(B173,Positions!$B$7:$B$173,0)),"")</f>
        <v>129.68077485507811</v>
      </c>
      <c r="R173" s="9" t="str">
        <f t="shared" si="30"/>
        <v/>
      </c>
      <c r="S173" s="9" t="str">
        <f t="shared" si="31"/>
        <v/>
      </c>
      <c r="T173" s="9" t="str">
        <f t="shared" si="32"/>
        <v/>
      </c>
      <c r="U173" s="9" t="str">
        <f t="shared" si="33"/>
        <v/>
      </c>
      <c r="V173" s="9" t="str">
        <f t="shared" si="34"/>
        <v/>
      </c>
      <c r="W173" s="9" t="str">
        <f t="shared" si="35"/>
        <v/>
      </c>
      <c r="X173" s="34" t="str">
        <f>IF(W173="","",COUNTIF($W$7:W173,"?*"))</f>
        <v/>
      </c>
    </row>
    <row r="174" spans="2:24" x14ac:dyDescent="0.2">
      <c r="B174" s="9" t="s">
        <v>578</v>
      </c>
      <c r="C174" s="9" t="s">
        <v>579</v>
      </c>
      <c r="D174" s="9" t="s">
        <v>580</v>
      </c>
      <c r="E174" s="19">
        <v>48256</v>
      </c>
      <c r="F174" s="20">
        <v>3.625</v>
      </c>
      <c r="G174" s="13">
        <v>35600000</v>
      </c>
      <c r="H174" s="21">
        <v>99.775999999999996</v>
      </c>
      <c r="I174" s="22">
        <v>70712.33</v>
      </c>
      <c r="J174" s="22">
        <v>35590968.329999998</v>
      </c>
      <c r="K174" s="19">
        <v>45838</v>
      </c>
      <c r="L174" s="34">
        <v>6</v>
      </c>
      <c r="M174" s="9" t="s">
        <v>681</v>
      </c>
      <c r="N174" s="22">
        <v>-1.789885573089123E-9</v>
      </c>
      <c r="O174" s="9" t="s">
        <v>158</v>
      </c>
      <c r="P174" s="9"/>
      <c r="Q174" s="34">
        <f>IFERROR(INDEX(Positions!$L$7:$L$173,MATCH(B174,Positions!$B$7:$B$173,0)),"")</f>
        <v>149.41918169884221</v>
      </c>
      <c r="R174" s="9" t="str">
        <f t="shared" si="30"/>
        <v/>
      </c>
      <c r="S174" s="9" t="str">
        <f t="shared" si="31"/>
        <v/>
      </c>
      <c r="T174" s="9" t="str">
        <f t="shared" si="32"/>
        <v/>
      </c>
      <c r="U174" s="9" t="str">
        <f t="shared" si="33"/>
        <v/>
      </c>
      <c r="V174" s="9" t="str">
        <f t="shared" si="34"/>
        <v/>
      </c>
      <c r="W174" s="9" t="str">
        <f t="shared" si="35"/>
        <v/>
      </c>
      <c r="X174" s="34" t="str">
        <f>IF(W174="","",COUNTIF($W$7:W174,"?*"))</f>
        <v/>
      </c>
    </row>
    <row r="175" spans="2:24" x14ac:dyDescent="0.2">
      <c r="B175" s="9" t="s">
        <v>581</v>
      </c>
      <c r="C175" s="9" t="s">
        <v>582</v>
      </c>
      <c r="D175" s="9" t="s">
        <v>583</v>
      </c>
      <c r="E175" s="19">
        <v>47658</v>
      </c>
      <c r="F175" s="20">
        <v>4.125</v>
      </c>
      <c r="G175" s="13">
        <v>15900000</v>
      </c>
      <c r="H175" s="21">
        <v>100.92</v>
      </c>
      <c r="I175" s="22">
        <v>14375.34</v>
      </c>
      <c r="J175" s="22">
        <v>16060655.34</v>
      </c>
      <c r="K175" s="19">
        <v>45838</v>
      </c>
      <c r="L175" s="34">
        <v>6</v>
      </c>
      <c r="M175" s="9" t="s">
        <v>681</v>
      </c>
      <c r="N175" s="22">
        <v>-1.4915713109076021E-10</v>
      </c>
      <c r="O175" s="9" t="s">
        <v>158</v>
      </c>
      <c r="P175" s="9"/>
      <c r="Q175" s="34">
        <f>IFERROR(INDEX(Positions!$L$7:$L$173,MATCH(B175,Positions!$B$7:$B$173,0)),"")</f>
        <v>170.0298727241852</v>
      </c>
      <c r="R175" s="9" t="str">
        <f t="shared" si="30"/>
        <v/>
      </c>
      <c r="S175" s="9" t="str">
        <f t="shared" si="31"/>
        <v/>
      </c>
      <c r="T175" s="9" t="str">
        <f t="shared" si="32"/>
        <v/>
      </c>
      <c r="U175" s="9" t="str">
        <f t="shared" si="33"/>
        <v/>
      </c>
      <c r="V175" s="9" t="str">
        <f t="shared" si="34"/>
        <v/>
      </c>
      <c r="W175" s="9" t="str">
        <f t="shared" si="35"/>
        <v/>
      </c>
      <c r="X175" s="34" t="str">
        <f>IF(W175="","",COUNTIF($W$7:W175,"?*"))</f>
        <v/>
      </c>
    </row>
  </sheetData>
  <conditionalFormatting sqref="W7:W175">
    <cfRule type="cellIs" dxfId="1" priority="1" operator="equal">
      <formula>"À instruire"</formula>
    </cfRule>
    <cfRule type="cellIs" dxfId="0" priority="2" operator="equal">
      <formula>"À examiner"</formula>
    </cfRule>
  </conditionalFormatting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J151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3" width="16" customWidth="1"/>
    <col min="4" max="4" width="14" customWidth="1"/>
    <col min="5" max="5" width="10" customWidth="1"/>
    <col min="6" max="6" width="26" customWidth="1"/>
    <col min="7" max="7" width="12" customWidth="1"/>
    <col min="9" max="9" width="40" customWidth="1"/>
    <col min="10" max="10" width="16" customWidth="1"/>
  </cols>
  <sheetData>
    <row r="2" spans="2:10" ht="18" x14ac:dyDescent="0.2">
      <c r="B2" s="1" t="s">
        <v>693</v>
      </c>
    </row>
    <row r="3" spans="2:10" x14ac:dyDescent="0.2">
      <c r="B3" s="2" t="s">
        <v>694</v>
      </c>
    </row>
    <row r="6" spans="2:10" ht="30" customHeight="1" x14ac:dyDescent="0.2">
      <c r="B6" s="3" t="s">
        <v>77</v>
      </c>
      <c r="C6" s="3" t="s">
        <v>695</v>
      </c>
      <c r="D6" s="3" t="s">
        <v>696</v>
      </c>
      <c r="E6" s="3" t="s">
        <v>697</v>
      </c>
      <c r="F6" s="3" t="s">
        <v>698</v>
      </c>
      <c r="G6" s="3" t="s">
        <v>699</v>
      </c>
      <c r="I6" s="3" t="s">
        <v>629</v>
      </c>
      <c r="J6" s="3" t="s">
        <v>20</v>
      </c>
    </row>
    <row r="7" spans="2:10" x14ac:dyDescent="0.2">
      <c r="B7" s="9" t="s">
        <v>157</v>
      </c>
      <c r="C7" s="13">
        <f>SUMIFS(Inventaire!$J$7:$J$175,Inventaire!$D$7:$D$175,B7)</f>
        <v>193040832</v>
      </c>
      <c r="D7" s="41">
        <f t="shared" ref="D7:D38" si="0">C7/RL_Actif_Net</f>
        <v>4.9161408499017525E-2</v>
      </c>
      <c r="E7" s="9" t="s">
        <v>158</v>
      </c>
      <c r="F7" s="9" t="str">
        <f t="shared" ref="F7:F38" si="1">IF(E7="OUI","Souverain, régime dérogatoire",IF(D7&gt;RL_Seuil_Emetteur_10,"Au-delà du plafond",IF(D7&gt;RL_Seuil_Emetteur_5,"Au-delà de 5 %","")))</f>
        <v>Souverain, régime dérogatoire</v>
      </c>
      <c r="G7" s="41">
        <f t="shared" ref="G7:G38" si="2">IF(E7="NON",D7,0)</f>
        <v>0</v>
      </c>
      <c r="I7" s="9" t="s">
        <v>700</v>
      </c>
      <c r="J7" s="9" t="str">
        <f>INDEX(B7:B151,MATCH(MAX(G7:G151),G7:G151,0))</f>
        <v>ELM BV</v>
      </c>
    </row>
    <row r="8" spans="2:10" x14ac:dyDescent="0.2">
      <c r="B8" s="9" t="s">
        <v>575</v>
      </c>
      <c r="C8" s="13">
        <f>SUMIFS(Inventaire!$J$7:$J$175,Inventaire!$D$7:$D$175,B8)</f>
        <v>37706711.670000002</v>
      </c>
      <c r="D8" s="41">
        <f t="shared" si="0"/>
        <v>9.602709625513536E-3</v>
      </c>
      <c r="E8" s="9" t="s">
        <v>109</v>
      </c>
      <c r="F8" s="9" t="str">
        <f t="shared" si="1"/>
        <v/>
      </c>
      <c r="G8" s="41">
        <f t="shared" si="2"/>
        <v>9.602709625513536E-3</v>
      </c>
      <c r="I8" s="9" t="s">
        <v>701</v>
      </c>
      <c r="J8" s="41">
        <f>MAX(G7:G151)</f>
        <v>9.602709625513536E-3</v>
      </c>
    </row>
    <row r="9" spans="2:10" x14ac:dyDescent="0.2">
      <c r="B9" s="9" t="s">
        <v>251</v>
      </c>
      <c r="C9" s="13">
        <f>SUMIFS(Inventaire!$J$7:$J$175,Inventaire!$D$7:$D$175,B9)</f>
        <v>36441842.920000002</v>
      </c>
      <c r="D9" s="41">
        <f t="shared" si="0"/>
        <v>9.280587467873894E-3</v>
      </c>
      <c r="E9" s="9" t="s">
        <v>109</v>
      </c>
      <c r="F9" s="9" t="str">
        <f t="shared" si="1"/>
        <v/>
      </c>
      <c r="G9" s="41">
        <f t="shared" si="2"/>
        <v>9.280587467873894E-3</v>
      </c>
      <c r="I9" s="9" t="s">
        <v>702</v>
      </c>
      <c r="J9" s="34">
        <f>COUNTIFS(E7:E151,"NON",D7:D151,"&gt;"&amp;RL_Seuil_Emetteur_5)</f>
        <v>0</v>
      </c>
    </row>
    <row r="10" spans="2:10" x14ac:dyDescent="0.2">
      <c r="B10" s="9" t="s">
        <v>188</v>
      </c>
      <c r="C10" s="13">
        <f>SUMIFS(Inventaire!$J$7:$J$175,Inventaire!$D$7:$D$175,B10)</f>
        <v>36375782.100000001</v>
      </c>
      <c r="D10" s="41">
        <f t="shared" si="0"/>
        <v>9.2637638615717822E-3</v>
      </c>
      <c r="E10" s="9" t="s">
        <v>109</v>
      </c>
      <c r="F10" s="9" t="str">
        <f t="shared" si="1"/>
        <v/>
      </c>
      <c r="G10" s="41">
        <f t="shared" si="2"/>
        <v>9.2637638615717822E-3</v>
      </c>
      <c r="I10" s="9" t="s">
        <v>703</v>
      </c>
      <c r="J10" s="41">
        <f>SUMIFS(D7:D151,E7:E151,"NON",D7:D151,"&gt;"&amp;RL_Seuil_Emetteur_5)</f>
        <v>0</v>
      </c>
    </row>
    <row r="11" spans="2:10" x14ac:dyDescent="0.2">
      <c r="B11" s="9" t="s">
        <v>278</v>
      </c>
      <c r="C11" s="13">
        <f>SUMIFS(Inventaire!$J$7:$J$175,Inventaire!$D$7:$D$175,B11)</f>
        <v>35931851.939999998</v>
      </c>
      <c r="D11" s="41">
        <f t="shared" si="0"/>
        <v>9.1507088580542132E-3</v>
      </c>
      <c r="E11" s="9" t="s">
        <v>109</v>
      </c>
      <c r="F11" s="9" t="str">
        <f t="shared" si="1"/>
        <v/>
      </c>
      <c r="G11" s="41">
        <f t="shared" si="2"/>
        <v>9.1507088580542132E-3</v>
      </c>
      <c r="I11" s="9" t="s">
        <v>704</v>
      </c>
      <c r="J11" s="34">
        <f>COUNTIFS(E7:E151,"NON",D7:D151,"&gt;"&amp;RL_Seuil_Emetteur_10)</f>
        <v>0</v>
      </c>
    </row>
    <row r="12" spans="2:10" x14ac:dyDescent="0.2">
      <c r="B12" s="9" t="s">
        <v>172</v>
      </c>
      <c r="C12" s="13">
        <f>SUMIFS(Inventaire!$J$7:$J$175,Inventaire!$D$7:$D$175,B12)</f>
        <v>35907347.530000001</v>
      </c>
      <c r="D12" s="41">
        <f t="shared" si="0"/>
        <v>9.1444683580648792E-3</v>
      </c>
      <c r="E12" s="9" t="s">
        <v>109</v>
      </c>
      <c r="F12" s="9" t="str">
        <f t="shared" si="1"/>
        <v/>
      </c>
      <c r="G12" s="41">
        <f t="shared" si="2"/>
        <v>9.1444683580648792E-3</v>
      </c>
      <c r="I12" s="9" t="s">
        <v>705</v>
      </c>
      <c r="J12" s="9" t="str">
        <f>IF(AND(J11=0,J10&lt;=RL_Seuil_Cumul_40),"Aucun dépassement sur la section connue","À examiner")</f>
        <v>Aucun dépassement sur la section connue</v>
      </c>
    </row>
    <row r="13" spans="2:10" x14ac:dyDescent="0.2">
      <c r="B13" s="9" t="s">
        <v>368</v>
      </c>
      <c r="C13" s="13">
        <f>SUMIFS(Inventaire!$J$7:$J$175,Inventaire!$D$7:$D$175,B13)</f>
        <v>35604934.659999996</v>
      </c>
      <c r="D13" s="41">
        <f t="shared" si="0"/>
        <v>9.0674533427264111E-3</v>
      </c>
      <c r="E13" s="9" t="s">
        <v>109</v>
      </c>
      <c r="F13" s="9" t="str">
        <f t="shared" si="1"/>
        <v/>
      </c>
      <c r="G13" s="41">
        <f t="shared" si="2"/>
        <v>9.0674533427264111E-3</v>
      </c>
    </row>
    <row r="14" spans="2:10" x14ac:dyDescent="0.2">
      <c r="B14" s="9" t="s">
        <v>580</v>
      </c>
      <c r="C14" s="13">
        <f>SUMIFS(Inventaire!$J$7:$J$175,Inventaire!$D$7:$D$175,B14)</f>
        <v>35590968.329999998</v>
      </c>
      <c r="D14" s="41">
        <f t="shared" si="0"/>
        <v>9.0638965591835277E-3</v>
      </c>
      <c r="E14" s="9" t="s">
        <v>109</v>
      </c>
      <c r="F14" s="9" t="str">
        <f t="shared" si="1"/>
        <v/>
      </c>
      <c r="G14" s="41">
        <f t="shared" si="2"/>
        <v>9.0638965591835277E-3</v>
      </c>
    </row>
    <row r="15" spans="2:10" x14ac:dyDescent="0.2">
      <c r="B15" s="9" t="s">
        <v>467</v>
      </c>
      <c r="C15" s="13">
        <f>SUMIFS(Inventaire!$J$7:$J$175,Inventaire!$D$7:$D$175,B15)</f>
        <v>34368727.189999998</v>
      </c>
      <c r="D15" s="41">
        <f t="shared" si="0"/>
        <v>8.7526303086949021E-3</v>
      </c>
      <c r="E15" s="9" t="s">
        <v>109</v>
      </c>
      <c r="F15" s="9" t="str">
        <f t="shared" si="1"/>
        <v/>
      </c>
      <c r="G15" s="41">
        <f t="shared" si="2"/>
        <v>8.7526303086949021E-3</v>
      </c>
    </row>
    <row r="16" spans="2:10" x14ac:dyDescent="0.2">
      <c r="B16" s="9" t="s">
        <v>437</v>
      </c>
      <c r="C16" s="13">
        <f>SUMIFS(Inventaire!$J$7:$J$175,Inventaire!$D$7:$D$175,B16)</f>
        <v>33404782.670000002</v>
      </c>
      <c r="D16" s="41">
        <f t="shared" si="0"/>
        <v>8.5071440567598237E-3</v>
      </c>
      <c r="E16" s="9" t="s">
        <v>109</v>
      </c>
      <c r="F16" s="9" t="str">
        <f t="shared" si="1"/>
        <v/>
      </c>
      <c r="G16" s="41">
        <f t="shared" si="2"/>
        <v>8.5071440567598237E-3</v>
      </c>
    </row>
    <row r="17" spans="2:7" x14ac:dyDescent="0.2">
      <c r="B17" s="9" t="s">
        <v>257</v>
      </c>
      <c r="C17" s="13">
        <f>SUMIFS(Inventaire!$J$7:$J$175,Inventaire!$D$7:$D$175,B17)</f>
        <v>33350772.600000001</v>
      </c>
      <c r="D17" s="41">
        <f t="shared" si="0"/>
        <v>8.4933893962207997E-3</v>
      </c>
      <c r="E17" s="9" t="s">
        <v>109</v>
      </c>
      <c r="F17" s="9" t="str">
        <f t="shared" si="1"/>
        <v/>
      </c>
      <c r="G17" s="41">
        <f t="shared" si="2"/>
        <v>8.4933893962207997E-3</v>
      </c>
    </row>
    <row r="18" spans="2:7" x14ac:dyDescent="0.2">
      <c r="B18" s="9" t="s">
        <v>200</v>
      </c>
      <c r="C18" s="13">
        <f>SUMIFS(Inventaire!$J$7:$J$175,Inventaire!$D$7:$D$175,B18)</f>
        <v>32912328.23</v>
      </c>
      <c r="D18" s="41">
        <f t="shared" si="0"/>
        <v>8.381731450311904E-3</v>
      </c>
      <c r="E18" s="9" t="s">
        <v>109</v>
      </c>
      <c r="F18" s="9" t="str">
        <f t="shared" si="1"/>
        <v/>
      </c>
      <c r="G18" s="41">
        <f t="shared" si="2"/>
        <v>8.381731450311904E-3</v>
      </c>
    </row>
    <row r="19" spans="2:7" x14ac:dyDescent="0.2">
      <c r="B19" s="9" t="s">
        <v>112</v>
      </c>
      <c r="C19" s="13">
        <f>SUMIFS(Inventaire!$J$7:$J$175,Inventaire!$D$7:$D$175,B19)</f>
        <v>32835986.869999997</v>
      </c>
      <c r="D19" s="41">
        <f t="shared" si="0"/>
        <v>8.3622897148746527E-3</v>
      </c>
      <c r="E19" s="9" t="s">
        <v>109</v>
      </c>
      <c r="F19" s="9" t="str">
        <f t="shared" si="1"/>
        <v/>
      </c>
      <c r="G19" s="41">
        <f t="shared" si="2"/>
        <v>8.3622897148746527E-3</v>
      </c>
    </row>
    <row r="20" spans="2:7" x14ac:dyDescent="0.2">
      <c r="B20" s="9" t="s">
        <v>569</v>
      </c>
      <c r="C20" s="13">
        <f>SUMIFS(Inventaire!$J$7:$J$175,Inventaire!$D$7:$D$175,B20)</f>
        <v>31578577.809999999</v>
      </c>
      <c r="D20" s="41">
        <f t="shared" si="0"/>
        <v>8.0420673048871866E-3</v>
      </c>
      <c r="E20" s="9" t="s">
        <v>109</v>
      </c>
      <c r="F20" s="9" t="str">
        <f t="shared" si="1"/>
        <v/>
      </c>
      <c r="G20" s="41">
        <f t="shared" si="2"/>
        <v>8.0420673048871866E-3</v>
      </c>
    </row>
    <row r="21" spans="2:7" x14ac:dyDescent="0.2">
      <c r="B21" s="9" t="s">
        <v>272</v>
      </c>
      <c r="C21" s="13">
        <f>SUMIFS(Inventaire!$J$7:$J$175,Inventaire!$D$7:$D$175,B21)</f>
        <v>30427732.190000001</v>
      </c>
      <c r="D21" s="41">
        <f t="shared" si="0"/>
        <v>7.7489832404539953E-3</v>
      </c>
      <c r="E21" s="9" t="s">
        <v>109</v>
      </c>
      <c r="F21" s="9" t="str">
        <f t="shared" si="1"/>
        <v/>
      </c>
      <c r="G21" s="41">
        <f t="shared" si="2"/>
        <v>7.7489832404539953E-3</v>
      </c>
    </row>
    <row r="22" spans="2:7" x14ac:dyDescent="0.2">
      <c r="B22" s="9" t="s">
        <v>476</v>
      </c>
      <c r="C22" s="13">
        <f>SUMIFS(Inventaire!$J$7:$J$175,Inventaire!$D$7:$D$175,B22)</f>
        <v>30373047.120000001</v>
      </c>
      <c r="D22" s="41">
        <f t="shared" si="0"/>
        <v>7.735056678714625E-3</v>
      </c>
      <c r="E22" s="9" t="s">
        <v>109</v>
      </c>
      <c r="F22" s="9" t="str">
        <f t="shared" si="1"/>
        <v/>
      </c>
      <c r="G22" s="41">
        <f t="shared" si="2"/>
        <v>7.735056678714625E-3</v>
      </c>
    </row>
    <row r="23" spans="2:7" x14ac:dyDescent="0.2">
      <c r="B23" s="9" t="s">
        <v>182</v>
      </c>
      <c r="C23" s="13">
        <f>SUMIFS(Inventaire!$J$7:$J$175,Inventaire!$D$7:$D$175,B23)</f>
        <v>30281847.600000001</v>
      </c>
      <c r="D23" s="41">
        <f t="shared" si="0"/>
        <v>7.7118310387752241E-3</v>
      </c>
      <c r="E23" s="9" t="s">
        <v>109</v>
      </c>
      <c r="F23" s="9" t="str">
        <f t="shared" si="1"/>
        <v/>
      </c>
      <c r="G23" s="41">
        <f t="shared" si="2"/>
        <v>7.7118310387752241E-3</v>
      </c>
    </row>
    <row r="24" spans="2:7" x14ac:dyDescent="0.2">
      <c r="B24" s="9" t="s">
        <v>362</v>
      </c>
      <c r="C24" s="13">
        <f>SUMIFS(Inventaire!$J$7:$J$175,Inventaire!$D$7:$D$175,B24)</f>
        <v>30174577.870000001</v>
      </c>
      <c r="D24" s="41">
        <f t="shared" si="0"/>
        <v>7.6845128234449599E-3</v>
      </c>
      <c r="E24" s="9" t="s">
        <v>109</v>
      </c>
      <c r="F24" s="9" t="str">
        <f t="shared" si="1"/>
        <v/>
      </c>
      <c r="G24" s="41">
        <f t="shared" si="2"/>
        <v>7.6845128234449599E-3</v>
      </c>
    </row>
    <row r="25" spans="2:7" x14ac:dyDescent="0.2">
      <c r="B25" s="9" t="s">
        <v>282</v>
      </c>
      <c r="C25" s="13">
        <f>SUMIFS(Inventaire!$J$7:$J$175,Inventaire!$D$7:$D$175,B25)</f>
        <v>29132104.98</v>
      </c>
      <c r="D25" s="41">
        <f t="shared" si="0"/>
        <v>7.4190278736368208E-3</v>
      </c>
      <c r="E25" s="9" t="s">
        <v>109</v>
      </c>
      <c r="F25" s="9" t="str">
        <f t="shared" si="1"/>
        <v/>
      </c>
      <c r="G25" s="41">
        <f t="shared" si="2"/>
        <v>7.4190278736368208E-3</v>
      </c>
    </row>
    <row r="26" spans="2:7" x14ac:dyDescent="0.2">
      <c r="B26" s="9" t="s">
        <v>451</v>
      </c>
      <c r="C26" s="13">
        <f>SUMIFS(Inventaire!$J$7:$J$175,Inventaire!$D$7:$D$175,B26)</f>
        <v>29011302.219999999</v>
      </c>
      <c r="D26" s="41">
        <f t="shared" si="0"/>
        <v>7.3882632226008743E-3</v>
      </c>
      <c r="E26" s="9" t="s">
        <v>109</v>
      </c>
      <c r="F26" s="9" t="str">
        <f t="shared" si="1"/>
        <v/>
      </c>
      <c r="G26" s="41">
        <f t="shared" si="2"/>
        <v>7.3882632226008743E-3</v>
      </c>
    </row>
    <row r="27" spans="2:7" x14ac:dyDescent="0.2">
      <c r="B27" s="9" t="s">
        <v>431</v>
      </c>
      <c r="C27" s="13">
        <f>SUMIFS(Inventaire!$J$7:$J$175,Inventaire!$D$7:$D$175,B27)</f>
        <v>26762809.93</v>
      </c>
      <c r="D27" s="41">
        <f t="shared" si="0"/>
        <v>6.8156431876044369E-3</v>
      </c>
      <c r="E27" s="9" t="s">
        <v>109</v>
      </c>
      <c r="F27" s="9" t="str">
        <f t="shared" si="1"/>
        <v/>
      </c>
      <c r="G27" s="41">
        <f t="shared" si="2"/>
        <v>6.8156431876044369E-3</v>
      </c>
    </row>
    <row r="28" spans="2:7" x14ac:dyDescent="0.2">
      <c r="B28" s="9" t="s">
        <v>563</v>
      </c>
      <c r="C28" s="13">
        <f>SUMIFS(Inventaire!$J$7:$J$175,Inventaire!$D$7:$D$175,B28)</f>
        <v>26621549.030000001</v>
      </c>
      <c r="D28" s="41">
        <f t="shared" si="0"/>
        <v>6.7796684938679387E-3</v>
      </c>
      <c r="E28" s="9" t="s">
        <v>109</v>
      </c>
      <c r="F28" s="9" t="str">
        <f t="shared" si="1"/>
        <v/>
      </c>
      <c r="G28" s="41">
        <f t="shared" si="2"/>
        <v>6.7796684938679387E-3</v>
      </c>
    </row>
    <row r="29" spans="2:7" x14ac:dyDescent="0.2">
      <c r="B29" s="9" t="s">
        <v>336</v>
      </c>
      <c r="C29" s="13">
        <f>SUMIFS(Inventaire!$J$7:$J$175,Inventaire!$D$7:$D$175,B29)</f>
        <v>26417037.579999998</v>
      </c>
      <c r="D29" s="41">
        <f t="shared" si="0"/>
        <v>6.7275858809201427E-3</v>
      </c>
      <c r="E29" s="9" t="s">
        <v>109</v>
      </c>
      <c r="F29" s="9" t="str">
        <f t="shared" si="1"/>
        <v/>
      </c>
      <c r="G29" s="41">
        <f t="shared" si="2"/>
        <v>6.7275858809201427E-3</v>
      </c>
    </row>
    <row r="30" spans="2:7" x14ac:dyDescent="0.2">
      <c r="B30" s="9" t="s">
        <v>365</v>
      </c>
      <c r="C30" s="13">
        <f>SUMIFS(Inventaire!$J$7:$J$175,Inventaire!$D$7:$D$175,B30)</f>
        <v>26144265.719999999</v>
      </c>
      <c r="D30" s="41">
        <f t="shared" si="0"/>
        <v>6.658119495505389E-3</v>
      </c>
      <c r="E30" s="9" t="s">
        <v>109</v>
      </c>
      <c r="F30" s="9" t="str">
        <f t="shared" si="1"/>
        <v/>
      </c>
      <c r="G30" s="41">
        <f t="shared" si="2"/>
        <v>6.658119495505389E-3</v>
      </c>
    </row>
    <row r="31" spans="2:7" x14ac:dyDescent="0.2">
      <c r="B31" s="9" t="s">
        <v>143</v>
      </c>
      <c r="C31" s="13">
        <f>SUMIFS(Inventaire!$J$7:$J$175,Inventaire!$D$7:$D$175,B31)</f>
        <v>25638352.299999997</v>
      </c>
      <c r="D31" s="41">
        <f t="shared" si="0"/>
        <v>6.5292793115501353E-3</v>
      </c>
      <c r="E31" s="9" t="s">
        <v>109</v>
      </c>
      <c r="F31" s="9" t="str">
        <f t="shared" si="1"/>
        <v/>
      </c>
      <c r="G31" s="41">
        <f t="shared" si="2"/>
        <v>6.5292793115501353E-3</v>
      </c>
    </row>
    <row r="32" spans="2:7" x14ac:dyDescent="0.2">
      <c r="B32" s="9" t="s">
        <v>517</v>
      </c>
      <c r="C32" s="13">
        <f>SUMIFS(Inventaire!$J$7:$J$175,Inventaire!$D$7:$D$175,B32)</f>
        <v>25483190.07</v>
      </c>
      <c r="D32" s="41">
        <f t="shared" si="0"/>
        <v>6.489764387719677E-3</v>
      </c>
      <c r="E32" s="9" t="s">
        <v>109</v>
      </c>
      <c r="F32" s="9" t="str">
        <f t="shared" si="1"/>
        <v/>
      </c>
      <c r="G32" s="41">
        <f t="shared" si="2"/>
        <v>6.489764387719677E-3</v>
      </c>
    </row>
    <row r="33" spans="2:7" x14ac:dyDescent="0.2">
      <c r="B33" s="9" t="s">
        <v>330</v>
      </c>
      <c r="C33" s="13">
        <f>SUMIFS(Inventaire!$J$7:$J$175,Inventaire!$D$7:$D$175,B33)</f>
        <v>25472209.170000002</v>
      </c>
      <c r="D33" s="41">
        <f t="shared" si="0"/>
        <v>6.486967898992428E-3</v>
      </c>
      <c r="E33" s="9" t="s">
        <v>109</v>
      </c>
      <c r="F33" s="9" t="str">
        <f t="shared" si="1"/>
        <v/>
      </c>
      <c r="G33" s="41">
        <f t="shared" si="2"/>
        <v>6.486967898992428E-3</v>
      </c>
    </row>
    <row r="34" spans="2:7" x14ac:dyDescent="0.2">
      <c r="B34" s="9" t="s">
        <v>425</v>
      </c>
      <c r="C34" s="13">
        <f>SUMIFS(Inventaire!$J$7:$J$175,Inventaire!$D$7:$D$175,B34)</f>
        <v>24630865.850000001</v>
      </c>
      <c r="D34" s="41">
        <f t="shared" si="0"/>
        <v>6.2727043040114467E-3</v>
      </c>
      <c r="E34" s="9" t="s">
        <v>109</v>
      </c>
      <c r="F34" s="9" t="str">
        <f t="shared" si="1"/>
        <v/>
      </c>
      <c r="G34" s="41">
        <f t="shared" si="2"/>
        <v>6.2727043040114467E-3</v>
      </c>
    </row>
    <row r="35" spans="2:7" x14ac:dyDescent="0.2">
      <c r="B35" s="9" t="s">
        <v>543</v>
      </c>
      <c r="C35" s="13">
        <f>SUMIFS(Inventaire!$J$7:$J$175,Inventaire!$D$7:$D$175,B35)</f>
        <v>24004295.510000002</v>
      </c>
      <c r="D35" s="41">
        <f t="shared" si="0"/>
        <v>6.1131366098662607E-3</v>
      </c>
      <c r="E35" s="9" t="s">
        <v>109</v>
      </c>
      <c r="F35" s="9" t="str">
        <f t="shared" si="1"/>
        <v/>
      </c>
      <c r="G35" s="41">
        <f t="shared" si="2"/>
        <v>6.1131366098662607E-3</v>
      </c>
    </row>
    <row r="36" spans="2:7" x14ac:dyDescent="0.2">
      <c r="B36" s="9" t="s">
        <v>239</v>
      </c>
      <c r="C36" s="13">
        <f>SUMIFS(Inventaire!$J$7:$J$175,Inventaire!$D$7:$D$175,B36)</f>
        <v>22896430.520000003</v>
      </c>
      <c r="D36" s="41">
        <f t="shared" si="0"/>
        <v>5.8309983556385234E-3</v>
      </c>
      <c r="E36" s="9" t="s">
        <v>109</v>
      </c>
      <c r="F36" s="9" t="str">
        <f t="shared" si="1"/>
        <v/>
      </c>
      <c r="G36" s="41">
        <f t="shared" si="2"/>
        <v>5.8309983556385234E-3</v>
      </c>
    </row>
    <row r="37" spans="2:7" x14ac:dyDescent="0.2">
      <c r="B37" s="9" t="s">
        <v>319</v>
      </c>
      <c r="C37" s="13">
        <f>SUMIFS(Inventaire!$J$7:$J$175,Inventaire!$D$7:$D$175,B37)</f>
        <v>22378824.950000003</v>
      </c>
      <c r="D37" s="41">
        <f t="shared" si="0"/>
        <v>5.699180550024544E-3</v>
      </c>
      <c r="E37" s="9" t="s">
        <v>109</v>
      </c>
      <c r="F37" s="9" t="str">
        <f t="shared" si="1"/>
        <v/>
      </c>
      <c r="G37" s="41">
        <f t="shared" si="2"/>
        <v>5.699180550024544E-3</v>
      </c>
    </row>
    <row r="38" spans="2:7" x14ac:dyDescent="0.2">
      <c r="B38" s="9" t="s">
        <v>132</v>
      </c>
      <c r="C38" s="13">
        <f>SUMIFS(Inventaire!$J$7:$J$175,Inventaire!$D$7:$D$175,B38)</f>
        <v>22354763.559999999</v>
      </c>
      <c r="D38" s="41">
        <f t="shared" si="0"/>
        <v>5.6930528732496927E-3</v>
      </c>
      <c r="E38" s="9" t="s">
        <v>109</v>
      </c>
      <c r="F38" s="9" t="str">
        <f t="shared" si="1"/>
        <v/>
      </c>
      <c r="G38" s="41">
        <f t="shared" si="2"/>
        <v>5.6930528732496927E-3</v>
      </c>
    </row>
    <row r="39" spans="2:7" x14ac:dyDescent="0.2">
      <c r="B39" s="9" t="s">
        <v>262</v>
      </c>
      <c r="C39" s="13">
        <f>SUMIFS(Inventaire!$J$7:$J$175,Inventaire!$D$7:$D$175,B39)</f>
        <v>22281902.879999999</v>
      </c>
      <c r="D39" s="41">
        <f t="shared" ref="D39:D70" si="3">C39/RL_Actif_Net</f>
        <v>5.6744975571754426E-3</v>
      </c>
      <c r="E39" s="9" t="s">
        <v>109</v>
      </c>
      <c r="F39" s="9" t="str">
        <f t="shared" ref="F39:F70" si="4">IF(E39="OUI","Souverain, régime dérogatoire",IF(D39&gt;RL_Seuil_Emetteur_10,"Au-delà du plafond",IF(D39&gt;RL_Seuil_Emetteur_5,"Au-delà de 5 %","")))</f>
        <v/>
      </c>
      <c r="G39" s="41">
        <f t="shared" ref="G39:G70" si="5">IF(E39="NON",D39,0)</f>
        <v>5.6744975571754426E-3</v>
      </c>
    </row>
    <row r="40" spans="2:7" x14ac:dyDescent="0.2">
      <c r="B40" s="9" t="s">
        <v>428</v>
      </c>
      <c r="C40" s="13">
        <f>SUMIFS(Inventaire!$J$7:$J$175,Inventaire!$D$7:$D$175,B40)</f>
        <v>22219592.600000001</v>
      </c>
      <c r="D40" s="41">
        <f t="shared" si="3"/>
        <v>5.6586290950628882E-3</v>
      </c>
      <c r="E40" s="9" t="s">
        <v>109</v>
      </c>
      <c r="F40" s="9" t="str">
        <f t="shared" si="4"/>
        <v/>
      </c>
      <c r="G40" s="41">
        <f t="shared" si="5"/>
        <v>5.6586290950628882E-3</v>
      </c>
    </row>
    <row r="41" spans="2:7" x14ac:dyDescent="0.2">
      <c r="B41" s="9" t="s">
        <v>410</v>
      </c>
      <c r="C41" s="13">
        <f>SUMIFS(Inventaire!$J$7:$J$175,Inventaire!$D$7:$D$175,B41)</f>
        <v>22205247.530000001</v>
      </c>
      <c r="D41" s="41">
        <f t="shared" si="3"/>
        <v>5.6549758583931608E-3</v>
      </c>
      <c r="E41" s="9" t="s">
        <v>109</v>
      </c>
      <c r="F41" s="9" t="str">
        <f t="shared" si="4"/>
        <v/>
      </c>
      <c r="G41" s="41">
        <f t="shared" si="5"/>
        <v>5.6549758583931608E-3</v>
      </c>
    </row>
    <row r="42" spans="2:7" x14ac:dyDescent="0.2">
      <c r="B42" s="9" t="s">
        <v>233</v>
      </c>
      <c r="C42" s="13">
        <f>SUMIFS(Inventaire!$J$7:$J$175,Inventaire!$D$7:$D$175,B42)</f>
        <v>21861780.210000001</v>
      </c>
      <c r="D42" s="41">
        <f t="shared" si="3"/>
        <v>5.5675055701145506E-3</v>
      </c>
      <c r="E42" s="9" t="s">
        <v>109</v>
      </c>
      <c r="F42" s="9" t="str">
        <f t="shared" si="4"/>
        <v/>
      </c>
      <c r="G42" s="41">
        <f t="shared" si="5"/>
        <v>5.5675055701145506E-3</v>
      </c>
    </row>
    <row r="43" spans="2:7" x14ac:dyDescent="0.2">
      <c r="B43" s="9" t="s">
        <v>440</v>
      </c>
      <c r="C43" s="13">
        <f>SUMIFS(Inventaire!$J$7:$J$175,Inventaire!$D$7:$D$175,B43)</f>
        <v>21837684.109999999</v>
      </c>
      <c r="D43" s="41">
        <f t="shared" si="3"/>
        <v>5.5613690537979757E-3</v>
      </c>
      <c r="E43" s="9" t="s">
        <v>109</v>
      </c>
      <c r="F43" s="9" t="str">
        <f t="shared" si="4"/>
        <v/>
      </c>
      <c r="G43" s="41">
        <f t="shared" si="5"/>
        <v>5.5613690537979757E-3</v>
      </c>
    </row>
    <row r="44" spans="2:7" x14ac:dyDescent="0.2">
      <c r="B44" s="9" t="s">
        <v>534</v>
      </c>
      <c r="C44" s="13">
        <f>SUMIFS(Inventaire!$J$7:$J$175,Inventaire!$D$7:$D$175,B44)</f>
        <v>21819166.030000001</v>
      </c>
      <c r="D44" s="41">
        <f t="shared" si="3"/>
        <v>5.5566530831607508E-3</v>
      </c>
      <c r="E44" s="9" t="s">
        <v>109</v>
      </c>
      <c r="F44" s="9" t="str">
        <f t="shared" si="4"/>
        <v/>
      </c>
      <c r="G44" s="41">
        <f t="shared" si="5"/>
        <v>5.5566530831607508E-3</v>
      </c>
    </row>
    <row r="45" spans="2:7" x14ac:dyDescent="0.2">
      <c r="B45" s="9" t="s">
        <v>470</v>
      </c>
      <c r="C45" s="13">
        <f>SUMIFS(Inventaire!$J$7:$J$175,Inventaire!$D$7:$D$175,B45)</f>
        <v>21660894.52</v>
      </c>
      <c r="D45" s="41">
        <f t="shared" si="3"/>
        <v>5.5163463238277494E-3</v>
      </c>
      <c r="E45" s="9" t="s">
        <v>109</v>
      </c>
      <c r="F45" s="9" t="str">
        <f t="shared" si="4"/>
        <v/>
      </c>
      <c r="G45" s="41">
        <f t="shared" si="5"/>
        <v>5.5163463238277494E-3</v>
      </c>
    </row>
    <row r="46" spans="2:7" x14ac:dyDescent="0.2">
      <c r="B46" s="9" t="s">
        <v>497</v>
      </c>
      <c r="C46" s="13">
        <f>SUMIFS(Inventaire!$J$7:$J$175,Inventaire!$D$7:$D$175,B46)</f>
        <v>21545645.300000001</v>
      </c>
      <c r="D46" s="41">
        <f t="shared" si="3"/>
        <v>5.48699598418762E-3</v>
      </c>
      <c r="E46" s="9" t="s">
        <v>109</v>
      </c>
      <c r="F46" s="9" t="str">
        <f t="shared" si="4"/>
        <v/>
      </c>
      <c r="G46" s="41">
        <f t="shared" si="5"/>
        <v>5.48699598418762E-3</v>
      </c>
    </row>
    <row r="47" spans="2:7" x14ac:dyDescent="0.2">
      <c r="B47" s="9" t="s">
        <v>511</v>
      </c>
      <c r="C47" s="13">
        <f>SUMIFS(Inventaire!$J$7:$J$175,Inventaire!$D$7:$D$175,B47)</f>
        <v>21524507.5</v>
      </c>
      <c r="D47" s="41">
        <f t="shared" si="3"/>
        <v>5.4816128535317673E-3</v>
      </c>
      <c r="E47" s="9" t="s">
        <v>109</v>
      </c>
      <c r="F47" s="9" t="str">
        <f t="shared" si="4"/>
        <v/>
      </c>
      <c r="G47" s="41">
        <f t="shared" si="5"/>
        <v>5.4816128535317673E-3</v>
      </c>
    </row>
    <row r="48" spans="2:7" x14ac:dyDescent="0.2">
      <c r="B48" s="9" t="s">
        <v>419</v>
      </c>
      <c r="C48" s="13">
        <f>SUMIFS(Inventaire!$J$7:$J$175,Inventaire!$D$7:$D$175,B48)</f>
        <v>21377084.93</v>
      </c>
      <c r="D48" s="41">
        <f t="shared" si="3"/>
        <v>5.4440689768780184E-3</v>
      </c>
      <c r="E48" s="9" t="s">
        <v>109</v>
      </c>
      <c r="F48" s="9" t="str">
        <f t="shared" si="4"/>
        <v/>
      </c>
      <c r="G48" s="41">
        <f t="shared" si="5"/>
        <v>5.4440689768780184E-3</v>
      </c>
    </row>
    <row r="49" spans="2:7" x14ac:dyDescent="0.2">
      <c r="B49" s="9" t="s">
        <v>287</v>
      </c>
      <c r="C49" s="13">
        <f>SUMIFS(Inventaire!$J$7:$J$175,Inventaire!$D$7:$D$175,B49)</f>
        <v>21218409.59</v>
      </c>
      <c r="D49" s="41">
        <f t="shared" si="3"/>
        <v>5.4036593747868898E-3</v>
      </c>
      <c r="E49" s="9" t="s">
        <v>109</v>
      </c>
      <c r="F49" s="9" t="str">
        <f t="shared" si="4"/>
        <v/>
      </c>
      <c r="G49" s="41">
        <f t="shared" si="5"/>
        <v>5.4036593747868898E-3</v>
      </c>
    </row>
    <row r="50" spans="2:7" x14ac:dyDescent="0.2">
      <c r="B50" s="9" t="s">
        <v>407</v>
      </c>
      <c r="C50" s="13">
        <f>SUMIFS(Inventaire!$J$7:$J$175,Inventaire!$D$7:$D$175,B50)</f>
        <v>21158735.620000001</v>
      </c>
      <c r="D50" s="41">
        <f t="shared" si="3"/>
        <v>5.3884622976424646E-3</v>
      </c>
      <c r="E50" s="9" t="s">
        <v>109</v>
      </c>
      <c r="F50" s="9" t="str">
        <f t="shared" si="4"/>
        <v/>
      </c>
      <c r="G50" s="41">
        <f t="shared" si="5"/>
        <v>5.3884622976424646E-3</v>
      </c>
    </row>
    <row r="51" spans="2:7" x14ac:dyDescent="0.2">
      <c r="B51" s="9" t="s">
        <v>185</v>
      </c>
      <c r="C51" s="13">
        <f>SUMIFS(Inventaire!$J$7:$J$175,Inventaire!$D$7:$D$175,B51)</f>
        <v>20948930.140000001</v>
      </c>
      <c r="D51" s="41">
        <f t="shared" si="3"/>
        <v>5.3350314623070031E-3</v>
      </c>
      <c r="E51" s="9" t="s">
        <v>109</v>
      </c>
      <c r="F51" s="9" t="str">
        <f t="shared" si="4"/>
        <v/>
      </c>
      <c r="G51" s="41">
        <f t="shared" si="5"/>
        <v>5.3350314623070031E-3</v>
      </c>
    </row>
    <row r="52" spans="2:7" x14ac:dyDescent="0.2">
      <c r="B52" s="9" t="s">
        <v>117</v>
      </c>
      <c r="C52" s="13">
        <f>SUMIFS(Inventaire!$J$7:$J$175,Inventaire!$D$7:$D$175,B52)</f>
        <v>20935205.48</v>
      </c>
      <c r="D52" s="41">
        <f t="shared" si="3"/>
        <v>5.3315362244872131E-3</v>
      </c>
      <c r="E52" s="9" t="s">
        <v>109</v>
      </c>
      <c r="F52" s="9" t="str">
        <f t="shared" si="4"/>
        <v/>
      </c>
      <c r="G52" s="41">
        <f t="shared" si="5"/>
        <v>5.3315362244872131E-3</v>
      </c>
    </row>
    <row r="53" spans="2:7" x14ac:dyDescent="0.2">
      <c r="B53" s="9" t="s">
        <v>390</v>
      </c>
      <c r="C53" s="13">
        <f>SUMIFS(Inventaire!$J$7:$J$175,Inventaire!$D$7:$D$175,B53)</f>
        <v>20777363.009999998</v>
      </c>
      <c r="D53" s="41">
        <f t="shared" si="3"/>
        <v>5.2913387281038364E-3</v>
      </c>
      <c r="E53" s="9" t="s">
        <v>109</v>
      </c>
      <c r="F53" s="9" t="str">
        <f t="shared" si="4"/>
        <v/>
      </c>
      <c r="G53" s="41">
        <f t="shared" si="5"/>
        <v>5.2913387281038364E-3</v>
      </c>
    </row>
    <row r="54" spans="2:7" x14ac:dyDescent="0.2">
      <c r="B54" s="9" t="s">
        <v>129</v>
      </c>
      <c r="C54" s="13">
        <f>SUMIFS(Inventaire!$J$7:$J$175,Inventaire!$D$7:$D$175,B54)</f>
        <v>20543945.48</v>
      </c>
      <c r="D54" s="41">
        <f t="shared" si="3"/>
        <v>5.2318946487125827E-3</v>
      </c>
      <c r="E54" s="9" t="s">
        <v>109</v>
      </c>
      <c r="F54" s="9" t="str">
        <f t="shared" si="4"/>
        <v/>
      </c>
      <c r="G54" s="41">
        <f t="shared" si="5"/>
        <v>5.2318946487125827E-3</v>
      </c>
    </row>
    <row r="55" spans="2:7" x14ac:dyDescent="0.2">
      <c r="B55" s="9" t="s">
        <v>307</v>
      </c>
      <c r="C55" s="13">
        <f>SUMIFS(Inventaire!$J$7:$J$175,Inventaire!$D$7:$D$175,B55)</f>
        <v>20404144.390000001</v>
      </c>
      <c r="D55" s="41">
        <f t="shared" si="3"/>
        <v>5.1962917225187198E-3</v>
      </c>
      <c r="E55" s="9" t="s">
        <v>109</v>
      </c>
      <c r="F55" s="9" t="str">
        <f t="shared" si="4"/>
        <v/>
      </c>
      <c r="G55" s="41">
        <f t="shared" si="5"/>
        <v>5.1962917225187198E-3</v>
      </c>
    </row>
    <row r="56" spans="2:7" x14ac:dyDescent="0.2">
      <c r="B56" s="9" t="s">
        <v>108</v>
      </c>
      <c r="C56" s="13">
        <f>SUMIFS(Inventaire!$J$7:$J$175,Inventaire!$D$7:$D$175,B56)</f>
        <v>20390282.84</v>
      </c>
      <c r="D56" s="41">
        <f t="shared" si="3"/>
        <v>5.1927616231354995E-3</v>
      </c>
      <c r="E56" s="9" t="s">
        <v>109</v>
      </c>
      <c r="F56" s="9" t="str">
        <f t="shared" si="4"/>
        <v/>
      </c>
      <c r="G56" s="41">
        <f t="shared" si="5"/>
        <v>5.1927616231354995E-3</v>
      </c>
    </row>
    <row r="57" spans="2:7" x14ac:dyDescent="0.2">
      <c r="B57" s="9" t="s">
        <v>146</v>
      </c>
      <c r="C57" s="13">
        <f>SUMIFS(Inventaire!$J$7:$J$175,Inventaire!$D$7:$D$175,B57)</f>
        <v>20382806.850000001</v>
      </c>
      <c r="D57" s="41">
        <f t="shared" si="3"/>
        <v>5.1908577243876715E-3</v>
      </c>
      <c r="E57" s="9" t="s">
        <v>109</v>
      </c>
      <c r="F57" s="9" t="str">
        <f t="shared" si="4"/>
        <v/>
      </c>
      <c r="G57" s="41">
        <f t="shared" si="5"/>
        <v>5.1908577243876715E-3</v>
      </c>
    </row>
    <row r="58" spans="2:7" x14ac:dyDescent="0.2">
      <c r="B58" s="9" t="s">
        <v>537</v>
      </c>
      <c r="C58" s="13">
        <f>SUMIFS(Inventaire!$J$7:$J$175,Inventaire!$D$7:$D$175,B58)</f>
        <v>20319108.219999999</v>
      </c>
      <c r="D58" s="41">
        <f t="shared" si="3"/>
        <v>5.1746356933395563E-3</v>
      </c>
      <c r="E58" s="9" t="s">
        <v>109</v>
      </c>
      <c r="F58" s="9" t="str">
        <f t="shared" si="4"/>
        <v/>
      </c>
      <c r="G58" s="41">
        <f t="shared" si="5"/>
        <v>5.1746356933395563E-3</v>
      </c>
    </row>
    <row r="59" spans="2:7" x14ac:dyDescent="0.2">
      <c r="B59" s="9" t="s">
        <v>520</v>
      </c>
      <c r="C59" s="13">
        <f>SUMIFS(Inventaire!$J$7:$J$175,Inventaire!$D$7:$D$175,B59)</f>
        <v>20299005.48</v>
      </c>
      <c r="D59" s="41">
        <f t="shared" si="3"/>
        <v>5.1695161598043432E-3</v>
      </c>
      <c r="E59" s="9" t="s">
        <v>109</v>
      </c>
      <c r="F59" s="9" t="str">
        <f t="shared" si="4"/>
        <v/>
      </c>
      <c r="G59" s="41">
        <f t="shared" si="5"/>
        <v>5.1695161598043432E-3</v>
      </c>
    </row>
    <row r="60" spans="2:7" x14ac:dyDescent="0.2">
      <c r="B60" s="9" t="s">
        <v>479</v>
      </c>
      <c r="C60" s="13">
        <f>SUMIFS(Inventaire!$J$7:$J$175,Inventaire!$D$7:$D$175,B60)</f>
        <v>20079605.48</v>
      </c>
      <c r="D60" s="41">
        <f t="shared" si="3"/>
        <v>5.1136419029803549E-3</v>
      </c>
      <c r="E60" s="9" t="s">
        <v>109</v>
      </c>
      <c r="F60" s="9" t="str">
        <f t="shared" si="4"/>
        <v/>
      </c>
      <c r="G60" s="41">
        <f t="shared" si="5"/>
        <v>5.1136419029803549E-3</v>
      </c>
    </row>
    <row r="61" spans="2:7" x14ac:dyDescent="0.2">
      <c r="B61" s="9" t="s">
        <v>149</v>
      </c>
      <c r="C61" s="13">
        <f>SUMIFS(Inventaire!$J$7:$J$175,Inventaire!$D$7:$D$175,B61)</f>
        <v>20047134.25</v>
      </c>
      <c r="D61" s="41">
        <f t="shared" si="3"/>
        <v>5.1053725053303509E-3</v>
      </c>
      <c r="E61" s="9" t="s">
        <v>109</v>
      </c>
      <c r="F61" s="9" t="str">
        <f t="shared" si="4"/>
        <v/>
      </c>
      <c r="G61" s="41">
        <f t="shared" si="5"/>
        <v>5.1053725053303509E-3</v>
      </c>
    </row>
    <row r="62" spans="2:7" x14ac:dyDescent="0.2">
      <c r="B62" s="9" t="s">
        <v>290</v>
      </c>
      <c r="C62" s="13">
        <f>SUMIFS(Inventaire!$J$7:$J$175,Inventaire!$D$7:$D$175,B62)</f>
        <v>20046669.82</v>
      </c>
      <c r="D62" s="41">
        <f t="shared" si="3"/>
        <v>5.1052542296644585E-3</v>
      </c>
      <c r="E62" s="9" t="s">
        <v>109</v>
      </c>
      <c r="F62" s="9" t="str">
        <f t="shared" si="4"/>
        <v/>
      </c>
      <c r="G62" s="41">
        <f t="shared" si="5"/>
        <v>5.1052542296644585E-3</v>
      </c>
    </row>
    <row r="63" spans="2:7" x14ac:dyDescent="0.2">
      <c r="B63" s="9" t="s">
        <v>236</v>
      </c>
      <c r="C63" s="13">
        <f>SUMIFS(Inventaire!$J$7:$J$175,Inventaire!$D$7:$D$175,B63)</f>
        <v>19682838.989999998</v>
      </c>
      <c r="D63" s="41">
        <f t="shared" si="3"/>
        <v>5.0125979979602419E-3</v>
      </c>
      <c r="E63" s="9" t="s">
        <v>109</v>
      </c>
      <c r="F63" s="9" t="str">
        <f t="shared" si="4"/>
        <v/>
      </c>
      <c r="G63" s="41">
        <f t="shared" si="5"/>
        <v>5.0125979979602419E-3</v>
      </c>
    </row>
    <row r="64" spans="2:7" x14ac:dyDescent="0.2">
      <c r="B64" s="9" t="s">
        <v>167</v>
      </c>
      <c r="C64" s="13">
        <f>SUMIFS(Inventaire!$J$7:$J$175,Inventaire!$D$7:$D$175,B64)</f>
        <v>19680863.149999999</v>
      </c>
      <c r="D64" s="41">
        <f t="shared" si="3"/>
        <v>5.012094813859955E-3</v>
      </c>
      <c r="E64" s="9" t="s">
        <v>109</v>
      </c>
      <c r="F64" s="9" t="str">
        <f t="shared" si="4"/>
        <v/>
      </c>
      <c r="G64" s="41">
        <f t="shared" si="5"/>
        <v>5.012094813859955E-3</v>
      </c>
    </row>
    <row r="65" spans="2:7" x14ac:dyDescent="0.2">
      <c r="B65" s="9" t="s">
        <v>458</v>
      </c>
      <c r="C65" s="13">
        <f>SUMIFS(Inventaire!$J$7:$J$175,Inventaire!$D$7:$D$175,B65)</f>
        <v>19422254.239999998</v>
      </c>
      <c r="D65" s="41">
        <f t="shared" si="3"/>
        <v>4.9462352848977315E-3</v>
      </c>
      <c r="E65" s="9" t="s">
        <v>109</v>
      </c>
      <c r="F65" s="9" t="str">
        <f t="shared" si="4"/>
        <v/>
      </c>
      <c r="G65" s="41">
        <f t="shared" si="5"/>
        <v>4.9462352848977315E-3</v>
      </c>
    </row>
    <row r="66" spans="2:7" x14ac:dyDescent="0.2">
      <c r="B66" s="9" t="s">
        <v>446</v>
      </c>
      <c r="C66" s="13">
        <f>SUMIFS(Inventaire!$J$7:$J$175,Inventaire!$D$7:$D$175,B66)</f>
        <v>19251371.800000001</v>
      </c>
      <c r="D66" s="41">
        <f t="shared" si="3"/>
        <v>4.9027169196321444E-3</v>
      </c>
      <c r="E66" s="9" t="s">
        <v>109</v>
      </c>
      <c r="F66" s="9" t="str">
        <f t="shared" si="4"/>
        <v/>
      </c>
      <c r="G66" s="41">
        <f t="shared" si="5"/>
        <v>4.9027169196321444E-3</v>
      </c>
    </row>
    <row r="67" spans="2:7" x14ac:dyDescent="0.2">
      <c r="B67" s="9" t="s">
        <v>531</v>
      </c>
      <c r="C67" s="13">
        <f>SUMIFS(Inventaire!$J$7:$J$175,Inventaire!$D$7:$D$175,B67)</f>
        <v>19243241.100000001</v>
      </c>
      <c r="D67" s="41">
        <f t="shared" si="3"/>
        <v>4.9006462869067178E-3</v>
      </c>
      <c r="E67" s="9" t="s">
        <v>109</v>
      </c>
      <c r="F67" s="9" t="str">
        <f t="shared" si="4"/>
        <v/>
      </c>
      <c r="G67" s="41">
        <f t="shared" si="5"/>
        <v>4.9006462869067178E-3</v>
      </c>
    </row>
    <row r="68" spans="2:7" x14ac:dyDescent="0.2">
      <c r="B68" s="9" t="s">
        <v>560</v>
      </c>
      <c r="C68" s="13">
        <f>SUMIFS(Inventaire!$J$7:$J$175,Inventaire!$D$7:$D$175,B68)</f>
        <v>19135966.68</v>
      </c>
      <c r="D68" s="41">
        <f t="shared" si="3"/>
        <v>4.8733268771814463E-3</v>
      </c>
      <c r="E68" s="9" t="s">
        <v>109</v>
      </c>
      <c r="F68" s="9" t="str">
        <f t="shared" si="4"/>
        <v/>
      </c>
      <c r="G68" s="41">
        <f t="shared" si="5"/>
        <v>4.8733268771814463E-3</v>
      </c>
    </row>
    <row r="69" spans="2:7" x14ac:dyDescent="0.2">
      <c r="B69" s="9" t="s">
        <v>209</v>
      </c>
      <c r="C69" s="13">
        <f>SUMIFS(Inventaire!$J$7:$J$175,Inventaire!$D$7:$D$175,B69)</f>
        <v>19004937.670000002</v>
      </c>
      <c r="D69" s="41">
        <f t="shared" si="3"/>
        <v>4.8399579229602393E-3</v>
      </c>
      <c r="E69" s="9" t="s">
        <v>109</v>
      </c>
      <c r="F69" s="9" t="str">
        <f t="shared" si="4"/>
        <v/>
      </c>
      <c r="G69" s="41">
        <f t="shared" si="5"/>
        <v>4.8399579229602393E-3</v>
      </c>
    </row>
    <row r="70" spans="2:7" x14ac:dyDescent="0.2">
      <c r="B70" s="9" t="s">
        <v>566</v>
      </c>
      <c r="C70" s="13">
        <f>SUMIFS(Inventaire!$J$7:$J$175,Inventaire!$D$7:$D$175,B70)</f>
        <v>18788958.280000001</v>
      </c>
      <c r="D70" s="41">
        <f t="shared" si="3"/>
        <v>4.784954787565761E-3</v>
      </c>
      <c r="E70" s="9" t="s">
        <v>109</v>
      </c>
      <c r="F70" s="9" t="str">
        <f t="shared" si="4"/>
        <v/>
      </c>
      <c r="G70" s="41">
        <f t="shared" si="5"/>
        <v>4.784954787565761E-3</v>
      </c>
    </row>
    <row r="71" spans="2:7" x14ac:dyDescent="0.2">
      <c r="B71" s="9" t="s">
        <v>413</v>
      </c>
      <c r="C71" s="13">
        <f>SUMIFS(Inventaire!$J$7:$J$175,Inventaire!$D$7:$D$175,B71)</f>
        <v>18676181.84</v>
      </c>
      <c r="D71" s="41">
        <f t="shared" ref="D71:D102" si="6">C71/RL_Actif_Net</f>
        <v>4.7562341869629571E-3</v>
      </c>
      <c r="E71" s="9" t="s">
        <v>109</v>
      </c>
      <c r="F71" s="9" t="str">
        <f t="shared" ref="F71:F102" si="7">IF(E71="OUI","Souverain, régime dérogatoire",IF(D71&gt;RL_Seuil_Emetteur_10,"Au-delà du plafond",IF(D71&gt;RL_Seuil_Emetteur_5,"Au-delà de 5 %","")))</f>
        <v/>
      </c>
      <c r="G71" s="41">
        <f t="shared" ref="G71:G102" si="8">IF(E71="NON",D71,0)</f>
        <v>4.7562341869629571E-3</v>
      </c>
    </row>
    <row r="72" spans="2:7" x14ac:dyDescent="0.2">
      <c r="B72" s="9" t="s">
        <v>422</v>
      </c>
      <c r="C72" s="13">
        <f>SUMIFS(Inventaire!$J$7:$J$175,Inventaire!$D$7:$D$175,B72)</f>
        <v>18627946.920000002</v>
      </c>
      <c r="D72" s="41">
        <f t="shared" si="6"/>
        <v>4.7439502748938388E-3</v>
      </c>
      <c r="E72" s="9" t="s">
        <v>109</v>
      </c>
      <c r="F72" s="9" t="str">
        <f t="shared" si="7"/>
        <v/>
      </c>
      <c r="G72" s="41">
        <f t="shared" si="8"/>
        <v>4.7439502748938388E-3</v>
      </c>
    </row>
    <row r="73" spans="2:7" x14ac:dyDescent="0.2">
      <c r="B73" s="9" t="s">
        <v>416</v>
      </c>
      <c r="C73" s="13">
        <f>SUMIFS(Inventaire!$J$7:$J$175,Inventaire!$D$7:$D$175,B73)</f>
        <v>18627376.59</v>
      </c>
      <c r="D73" s="41">
        <f t="shared" si="6"/>
        <v>4.7438050298396249E-3</v>
      </c>
      <c r="E73" s="9" t="s">
        <v>109</v>
      </c>
      <c r="F73" s="9" t="str">
        <f t="shared" si="7"/>
        <v/>
      </c>
      <c r="G73" s="41">
        <f t="shared" si="8"/>
        <v>4.7438050298396249E-3</v>
      </c>
    </row>
    <row r="74" spans="2:7" x14ac:dyDescent="0.2">
      <c r="B74" s="9" t="s">
        <v>179</v>
      </c>
      <c r="C74" s="13">
        <f>SUMIFS(Inventaire!$J$7:$J$175,Inventaire!$D$7:$D$175,B74)</f>
        <v>18307322.25</v>
      </c>
      <c r="D74" s="41">
        <f t="shared" si="6"/>
        <v>4.6622972887694694E-3</v>
      </c>
      <c r="E74" s="9" t="s">
        <v>109</v>
      </c>
      <c r="F74" s="9" t="str">
        <f t="shared" si="7"/>
        <v/>
      </c>
      <c r="G74" s="41">
        <f t="shared" si="8"/>
        <v>4.6622972887694694E-3</v>
      </c>
    </row>
    <row r="75" spans="2:7" x14ac:dyDescent="0.2">
      <c r="B75" s="9" t="s">
        <v>384</v>
      </c>
      <c r="C75" s="13">
        <f>SUMIFS(Inventaire!$J$7:$J$175,Inventaire!$D$7:$D$175,B75)</f>
        <v>18256296.579999998</v>
      </c>
      <c r="D75" s="41">
        <f t="shared" si="6"/>
        <v>4.649302660737582E-3</v>
      </c>
      <c r="E75" s="9" t="s">
        <v>109</v>
      </c>
      <c r="F75" s="9" t="str">
        <f t="shared" si="7"/>
        <v/>
      </c>
      <c r="G75" s="41">
        <f t="shared" si="8"/>
        <v>4.649302660737582E-3</v>
      </c>
    </row>
    <row r="76" spans="2:7" x14ac:dyDescent="0.2">
      <c r="B76" s="9" t="s">
        <v>393</v>
      </c>
      <c r="C76" s="13">
        <f>SUMIFS(Inventaire!$J$7:$J$175,Inventaire!$D$7:$D$175,B76)</f>
        <v>18222339.760000002</v>
      </c>
      <c r="D76" s="41">
        <f t="shared" si="6"/>
        <v>4.6406549301924328E-3</v>
      </c>
      <c r="E76" s="9" t="s">
        <v>109</v>
      </c>
      <c r="F76" s="9" t="str">
        <f t="shared" si="7"/>
        <v/>
      </c>
      <c r="G76" s="41">
        <f t="shared" si="8"/>
        <v>4.6406549301924328E-3</v>
      </c>
    </row>
    <row r="77" spans="2:7" x14ac:dyDescent="0.2">
      <c r="B77" s="9" t="s">
        <v>525</v>
      </c>
      <c r="C77" s="13">
        <f>SUMIFS(Inventaire!$J$7:$J$175,Inventaire!$D$7:$D$175,B77)</f>
        <v>17624715.07</v>
      </c>
      <c r="D77" s="41">
        <f t="shared" si="6"/>
        <v>4.4884587797210714E-3</v>
      </c>
      <c r="E77" s="9" t="s">
        <v>109</v>
      </c>
      <c r="F77" s="9" t="str">
        <f t="shared" si="7"/>
        <v/>
      </c>
      <c r="G77" s="41">
        <f t="shared" si="8"/>
        <v>4.4884587797210714E-3</v>
      </c>
    </row>
    <row r="78" spans="2:7" x14ac:dyDescent="0.2">
      <c r="B78" s="9" t="s">
        <v>557</v>
      </c>
      <c r="C78" s="13">
        <f>SUMIFS(Inventaire!$J$7:$J$175,Inventaire!$D$7:$D$175,B78)</f>
        <v>17283048.370000001</v>
      </c>
      <c r="D78" s="41">
        <f t="shared" si="6"/>
        <v>4.4014470525378232E-3</v>
      </c>
      <c r="E78" s="9" t="s">
        <v>109</v>
      </c>
      <c r="F78" s="9" t="str">
        <f t="shared" si="7"/>
        <v/>
      </c>
      <c r="G78" s="41">
        <f t="shared" si="8"/>
        <v>4.4014470525378232E-3</v>
      </c>
    </row>
    <row r="79" spans="2:7" x14ac:dyDescent="0.2">
      <c r="B79" s="9" t="s">
        <v>500</v>
      </c>
      <c r="C79" s="13">
        <f>SUMIFS(Inventaire!$J$7:$J$175,Inventaire!$D$7:$D$175,B79)</f>
        <v>17063900.02</v>
      </c>
      <c r="D79" s="41">
        <f t="shared" si="6"/>
        <v>4.3456368830280083E-3</v>
      </c>
      <c r="E79" s="9" t="s">
        <v>109</v>
      </c>
      <c r="F79" s="9" t="str">
        <f t="shared" si="7"/>
        <v/>
      </c>
      <c r="G79" s="41">
        <f t="shared" si="8"/>
        <v>4.3456368830280083E-3</v>
      </c>
    </row>
    <row r="80" spans="2:7" x14ac:dyDescent="0.2">
      <c r="B80" s="9" t="s">
        <v>126</v>
      </c>
      <c r="C80" s="13">
        <f>SUMIFS(Inventaire!$J$7:$J$175,Inventaire!$D$7:$D$175,B80)</f>
        <v>16644882.529999999</v>
      </c>
      <c r="D80" s="41">
        <f t="shared" si="6"/>
        <v>4.2389263504391149E-3</v>
      </c>
      <c r="E80" s="9" t="s">
        <v>109</v>
      </c>
      <c r="F80" s="9" t="str">
        <f t="shared" si="7"/>
        <v/>
      </c>
      <c r="G80" s="41">
        <f t="shared" si="8"/>
        <v>4.2389263504391149E-3</v>
      </c>
    </row>
    <row r="81" spans="2:7" x14ac:dyDescent="0.2">
      <c r="B81" s="9" t="s">
        <v>583</v>
      </c>
      <c r="C81" s="13">
        <f>SUMIFS(Inventaire!$J$7:$J$175,Inventaire!$D$7:$D$175,B81)</f>
        <v>16060655.34</v>
      </c>
      <c r="D81" s="41">
        <f t="shared" si="6"/>
        <v>4.0901421204590912E-3</v>
      </c>
      <c r="E81" s="9" t="s">
        <v>109</v>
      </c>
      <c r="F81" s="9" t="str">
        <f t="shared" si="7"/>
        <v/>
      </c>
      <c r="G81" s="41">
        <f t="shared" si="8"/>
        <v>4.0901421204590912E-3</v>
      </c>
    </row>
    <row r="82" spans="2:7" x14ac:dyDescent="0.2">
      <c r="B82" s="9" t="s">
        <v>488</v>
      </c>
      <c r="C82" s="13">
        <f>SUMIFS(Inventaire!$J$7:$J$175,Inventaire!$D$7:$D$175,B82)</f>
        <v>16044777.960000001</v>
      </c>
      <c r="D82" s="41">
        <f t="shared" si="6"/>
        <v>4.0860986527844695E-3</v>
      </c>
      <c r="E82" s="9" t="s">
        <v>109</v>
      </c>
      <c r="F82" s="9" t="str">
        <f t="shared" si="7"/>
        <v/>
      </c>
      <c r="G82" s="41">
        <f t="shared" si="8"/>
        <v>4.0860986527844695E-3</v>
      </c>
    </row>
    <row r="83" spans="2:7" x14ac:dyDescent="0.2">
      <c r="B83" s="9" t="s">
        <v>245</v>
      </c>
      <c r="C83" s="13">
        <f>SUMIFS(Inventaire!$J$7:$J$175,Inventaire!$D$7:$D$175,B83)</f>
        <v>15946223.630000001</v>
      </c>
      <c r="D83" s="41">
        <f t="shared" si="6"/>
        <v>4.0609999748194006E-3</v>
      </c>
      <c r="E83" s="9" t="s">
        <v>109</v>
      </c>
      <c r="F83" s="9" t="str">
        <f t="shared" si="7"/>
        <v/>
      </c>
      <c r="G83" s="41">
        <f t="shared" si="8"/>
        <v>4.0609999748194006E-3</v>
      </c>
    </row>
    <row r="84" spans="2:7" x14ac:dyDescent="0.2">
      <c r="B84" s="9" t="s">
        <v>374</v>
      </c>
      <c r="C84" s="13">
        <f>SUMIFS(Inventaire!$J$7:$J$175,Inventaire!$D$7:$D$175,B84)</f>
        <v>15877008.220000001</v>
      </c>
      <c r="D84" s="41">
        <f t="shared" si="6"/>
        <v>4.043372993987506E-3</v>
      </c>
      <c r="E84" s="9" t="s">
        <v>109</v>
      </c>
      <c r="F84" s="9" t="str">
        <f t="shared" si="7"/>
        <v/>
      </c>
      <c r="G84" s="41">
        <f t="shared" si="8"/>
        <v>4.043372993987506E-3</v>
      </c>
    </row>
    <row r="85" spans="2:7" x14ac:dyDescent="0.2">
      <c r="B85" s="9" t="s">
        <v>265</v>
      </c>
      <c r="C85" s="13">
        <f>SUMIFS(Inventaire!$J$7:$J$175,Inventaire!$D$7:$D$175,B85)</f>
        <v>15790917.27</v>
      </c>
      <c r="D85" s="41">
        <f t="shared" si="6"/>
        <v>4.0214483456259692E-3</v>
      </c>
      <c r="E85" s="9" t="s">
        <v>109</v>
      </c>
      <c r="F85" s="9" t="str">
        <f t="shared" si="7"/>
        <v/>
      </c>
      <c r="G85" s="41">
        <f t="shared" si="8"/>
        <v>4.0214483456259692E-3</v>
      </c>
    </row>
    <row r="86" spans="2:7" x14ac:dyDescent="0.2">
      <c r="B86" s="9" t="s">
        <v>242</v>
      </c>
      <c r="C86" s="13">
        <f>SUMIFS(Inventaire!$J$7:$J$175,Inventaire!$D$7:$D$175,B86)</f>
        <v>15627392.6</v>
      </c>
      <c r="D86" s="41">
        <f t="shared" si="6"/>
        <v>3.9798037722046471E-3</v>
      </c>
      <c r="E86" s="9" t="s">
        <v>109</v>
      </c>
      <c r="F86" s="9" t="str">
        <f t="shared" si="7"/>
        <v/>
      </c>
      <c r="G86" s="41">
        <f t="shared" si="8"/>
        <v>3.9798037722046471E-3</v>
      </c>
    </row>
    <row r="87" spans="2:7" x14ac:dyDescent="0.2">
      <c r="B87" s="9" t="s">
        <v>540</v>
      </c>
      <c r="C87" s="13">
        <f>SUMIFS(Inventaire!$J$7:$J$175,Inventaire!$D$7:$D$175,B87)</f>
        <v>15273645.050000001</v>
      </c>
      <c r="D87" s="41">
        <f t="shared" si="6"/>
        <v>3.8897154337381172E-3</v>
      </c>
      <c r="E87" s="9" t="s">
        <v>109</v>
      </c>
      <c r="F87" s="9" t="str">
        <f t="shared" si="7"/>
        <v/>
      </c>
      <c r="G87" s="41">
        <f t="shared" si="8"/>
        <v>3.8897154337381172E-3</v>
      </c>
    </row>
    <row r="88" spans="2:7" x14ac:dyDescent="0.2">
      <c r="B88" s="9" t="s">
        <v>161</v>
      </c>
      <c r="C88" s="13">
        <f>SUMIFS(Inventaire!$J$7:$J$175,Inventaire!$D$7:$D$175,B88)</f>
        <v>15082697.050000001</v>
      </c>
      <c r="D88" s="41">
        <f t="shared" si="6"/>
        <v>3.8410870035100997E-3</v>
      </c>
      <c r="E88" s="9" t="s">
        <v>109</v>
      </c>
      <c r="F88" s="9" t="str">
        <f t="shared" si="7"/>
        <v/>
      </c>
      <c r="G88" s="41">
        <f t="shared" si="8"/>
        <v>3.8410870035100997E-3</v>
      </c>
    </row>
    <row r="89" spans="2:7" x14ac:dyDescent="0.2">
      <c r="B89" s="9" t="s">
        <v>275</v>
      </c>
      <c r="C89" s="13">
        <f>SUMIFS(Inventaire!$J$7:$J$175,Inventaire!$D$7:$D$175,B89)</f>
        <v>14745321</v>
      </c>
      <c r="D89" s="41">
        <f t="shared" si="6"/>
        <v>3.7551679694902145E-3</v>
      </c>
      <c r="E89" s="9" t="s">
        <v>109</v>
      </c>
      <c r="F89" s="9" t="str">
        <f t="shared" si="7"/>
        <v/>
      </c>
      <c r="G89" s="41">
        <f t="shared" si="8"/>
        <v>3.7551679694902145E-3</v>
      </c>
    </row>
    <row r="90" spans="2:7" x14ac:dyDescent="0.2">
      <c r="B90" s="9" t="s">
        <v>482</v>
      </c>
      <c r="C90" s="13">
        <f>SUMIFS(Inventaire!$J$7:$J$175,Inventaire!$D$7:$D$175,B90)</f>
        <v>14445238.960000001</v>
      </c>
      <c r="D90" s="41">
        <f t="shared" si="6"/>
        <v>3.6787465430033121E-3</v>
      </c>
      <c r="E90" s="9" t="s">
        <v>109</v>
      </c>
      <c r="F90" s="9" t="str">
        <f t="shared" si="7"/>
        <v/>
      </c>
      <c r="G90" s="41">
        <f t="shared" si="8"/>
        <v>3.6787465430033121E-3</v>
      </c>
    </row>
    <row r="91" spans="2:7" x14ac:dyDescent="0.2">
      <c r="B91" s="9" t="s">
        <v>154</v>
      </c>
      <c r="C91" s="13">
        <f>SUMIFS(Inventaire!$J$7:$J$175,Inventaire!$D$7:$D$175,B91)</f>
        <v>14378796.789999999</v>
      </c>
      <c r="D91" s="41">
        <f t="shared" si="6"/>
        <v>3.6618258188897148E-3</v>
      </c>
      <c r="E91" s="9" t="s">
        <v>109</v>
      </c>
      <c r="F91" s="9" t="str">
        <f t="shared" si="7"/>
        <v/>
      </c>
      <c r="G91" s="41">
        <f t="shared" si="8"/>
        <v>3.6618258188897148E-3</v>
      </c>
    </row>
    <row r="92" spans="2:7" x14ac:dyDescent="0.2">
      <c r="B92" s="9" t="s">
        <v>120</v>
      </c>
      <c r="C92" s="13">
        <f>SUMIFS(Inventaire!$J$7:$J$175,Inventaire!$D$7:$D$175,B92)</f>
        <v>13784447.029999999</v>
      </c>
      <c r="D92" s="41">
        <f t="shared" si="6"/>
        <v>3.5104636897488033E-3</v>
      </c>
      <c r="E92" s="9" t="s">
        <v>109</v>
      </c>
      <c r="F92" s="9" t="str">
        <f t="shared" si="7"/>
        <v/>
      </c>
      <c r="G92" s="41">
        <f t="shared" si="8"/>
        <v>3.5104636897488033E-3</v>
      </c>
    </row>
    <row r="93" spans="2:7" x14ac:dyDescent="0.2">
      <c r="B93" s="9" t="s">
        <v>514</v>
      </c>
      <c r="C93" s="13">
        <f>SUMIFS(Inventaire!$J$7:$J$175,Inventaire!$D$7:$D$175,B93)</f>
        <v>13778962.5</v>
      </c>
      <c r="D93" s="41">
        <f t="shared" si="6"/>
        <v>3.5090669530223727E-3</v>
      </c>
      <c r="E93" s="9" t="s">
        <v>109</v>
      </c>
      <c r="F93" s="9" t="str">
        <f t="shared" si="7"/>
        <v/>
      </c>
      <c r="G93" s="41">
        <f t="shared" si="8"/>
        <v>3.5090669530223727E-3</v>
      </c>
    </row>
    <row r="94" spans="2:7" x14ac:dyDescent="0.2">
      <c r="B94" s="9" t="s">
        <v>164</v>
      </c>
      <c r="C94" s="13">
        <f>SUMIFS(Inventaire!$J$7:$J$175,Inventaire!$D$7:$D$175,B94)</f>
        <v>13366487.67</v>
      </c>
      <c r="D94" s="41">
        <f t="shared" si="6"/>
        <v>3.404022629481575E-3</v>
      </c>
      <c r="E94" s="9" t="s">
        <v>109</v>
      </c>
      <c r="F94" s="9" t="str">
        <f t="shared" si="7"/>
        <v/>
      </c>
      <c r="G94" s="41">
        <f t="shared" si="8"/>
        <v>3.404022629481575E-3</v>
      </c>
    </row>
    <row r="95" spans="2:7" x14ac:dyDescent="0.2">
      <c r="B95" s="9" t="s">
        <v>206</v>
      </c>
      <c r="C95" s="13">
        <f>SUMIFS(Inventaire!$J$7:$J$175,Inventaire!$D$7:$D$175,B95)</f>
        <v>13362903.15</v>
      </c>
      <c r="D95" s="41">
        <f t="shared" si="6"/>
        <v>3.4031097653472509E-3</v>
      </c>
      <c r="E95" s="9" t="s">
        <v>109</v>
      </c>
      <c r="F95" s="9" t="str">
        <f t="shared" si="7"/>
        <v/>
      </c>
      <c r="G95" s="41">
        <f t="shared" si="8"/>
        <v>3.4031097653472509E-3</v>
      </c>
    </row>
    <row r="96" spans="2:7" x14ac:dyDescent="0.2">
      <c r="B96" s="9" t="s">
        <v>304</v>
      </c>
      <c r="C96" s="13">
        <f>SUMIFS(Inventaire!$J$7:$J$175,Inventaire!$D$7:$D$175,B96)</f>
        <v>13175151.390000001</v>
      </c>
      <c r="D96" s="41">
        <f t="shared" si="6"/>
        <v>3.3552953165897491E-3</v>
      </c>
      <c r="E96" s="9" t="s">
        <v>109</v>
      </c>
      <c r="F96" s="9" t="str">
        <f t="shared" si="7"/>
        <v/>
      </c>
      <c r="G96" s="41">
        <f t="shared" si="8"/>
        <v>3.3552953165897491E-3</v>
      </c>
    </row>
    <row r="97" spans="2:7" x14ac:dyDescent="0.2">
      <c r="B97" s="9" t="s">
        <v>248</v>
      </c>
      <c r="C97" s="13">
        <f>SUMIFS(Inventaire!$J$7:$J$175,Inventaire!$D$7:$D$175,B97)</f>
        <v>12883768.42</v>
      </c>
      <c r="D97" s="41">
        <f t="shared" si="6"/>
        <v>3.2810892687323355E-3</v>
      </c>
      <c r="E97" s="9" t="s">
        <v>109</v>
      </c>
      <c r="F97" s="9" t="str">
        <f t="shared" si="7"/>
        <v/>
      </c>
      <c r="G97" s="41">
        <f t="shared" si="8"/>
        <v>3.2810892687323355E-3</v>
      </c>
    </row>
    <row r="98" spans="2:7" x14ac:dyDescent="0.2">
      <c r="B98" s="9" t="s">
        <v>254</v>
      </c>
      <c r="C98" s="13">
        <f>SUMIFS(Inventaire!$J$7:$J$175,Inventaire!$D$7:$D$175,B98)</f>
        <v>12816020</v>
      </c>
      <c r="D98" s="41">
        <f t="shared" si="6"/>
        <v>3.2638358839625109E-3</v>
      </c>
      <c r="E98" s="9" t="s">
        <v>109</v>
      </c>
      <c r="F98" s="9" t="str">
        <f t="shared" si="7"/>
        <v/>
      </c>
      <c r="G98" s="41">
        <f t="shared" si="8"/>
        <v>3.2638358839625109E-3</v>
      </c>
    </row>
    <row r="99" spans="2:7" x14ac:dyDescent="0.2">
      <c r="B99" s="9" t="s">
        <v>353</v>
      </c>
      <c r="C99" s="13">
        <f>SUMIFS(Inventaire!$J$7:$J$175,Inventaire!$D$7:$D$175,B99)</f>
        <v>12750609.449999999</v>
      </c>
      <c r="D99" s="41">
        <f t="shared" si="6"/>
        <v>3.2471778809101026E-3</v>
      </c>
      <c r="E99" s="9" t="s">
        <v>109</v>
      </c>
      <c r="F99" s="9" t="str">
        <f t="shared" si="7"/>
        <v/>
      </c>
      <c r="G99" s="41">
        <f t="shared" si="8"/>
        <v>3.2471778809101026E-3</v>
      </c>
    </row>
    <row r="100" spans="2:7" x14ac:dyDescent="0.2">
      <c r="B100" s="9" t="s">
        <v>197</v>
      </c>
      <c r="C100" s="13">
        <f>SUMIFS(Inventaire!$J$7:$J$175,Inventaire!$D$7:$D$175,B100)</f>
        <v>12267453.210000001</v>
      </c>
      <c r="D100" s="41">
        <f t="shared" si="6"/>
        <v>3.1241332325971007E-3</v>
      </c>
      <c r="E100" s="9" t="s">
        <v>109</v>
      </c>
      <c r="F100" s="9" t="str">
        <f t="shared" si="7"/>
        <v/>
      </c>
      <c r="G100" s="41">
        <f t="shared" si="8"/>
        <v>3.1241332325971007E-3</v>
      </c>
    </row>
    <row r="101" spans="2:7" x14ac:dyDescent="0.2">
      <c r="B101" s="9" t="s">
        <v>135</v>
      </c>
      <c r="C101" s="13">
        <f>SUMIFS(Inventaire!$J$7:$J$175,Inventaire!$D$7:$D$175,B101)</f>
        <v>12223039.989999998</v>
      </c>
      <c r="D101" s="41">
        <f t="shared" si="6"/>
        <v>3.1128225869240817E-3</v>
      </c>
      <c r="E101" s="9" t="s">
        <v>109</v>
      </c>
      <c r="F101" s="9" t="str">
        <f t="shared" si="7"/>
        <v/>
      </c>
      <c r="G101" s="41">
        <f t="shared" si="8"/>
        <v>3.1128225869240817E-3</v>
      </c>
    </row>
    <row r="102" spans="2:7" x14ac:dyDescent="0.2">
      <c r="B102" s="9" t="s">
        <v>138</v>
      </c>
      <c r="C102" s="13">
        <f>SUMIFS(Inventaire!$J$7:$J$175,Inventaire!$D$7:$D$175,B102)</f>
        <v>11203530.41</v>
      </c>
      <c r="D102" s="41">
        <f t="shared" si="6"/>
        <v>2.8531856675647529E-3</v>
      </c>
      <c r="E102" s="9" t="s">
        <v>109</v>
      </c>
      <c r="F102" s="9" t="str">
        <f t="shared" si="7"/>
        <v/>
      </c>
      <c r="G102" s="41">
        <f t="shared" si="8"/>
        <v>2.8531856675647529E-3</v>
      </c>
    </row>
    <row r="103" spans="2:7" x14ac:dyDescent="0.2">
      <c r="B103" s="9" t="s">
        <v>123</v>
      </c>
      <c r="C103" s="13">
        <f>SUMIFS(Inventaire!$J$7:$J$175,Inventaire!$D$7:$D$175,B103)</f>
        <v>10758520.789999999</v>
      </c>
      <c r="D103" s="41">
        <f t="shared" ref="D103:D134" si="9">C103/RL_Actif_Net</f>
        <v>2.7398557596475894E-3</v>
      </c>
      <c r="E103" s="9" t="s">
        <v>109</v>
      </c>
      <c r="F103" s="9" t="str">
        <f t="shared" ref="F103:F134" si="10">IF(E103="OUI","Souverain, régime dérogatoire",IF(D103&gt;RL_Seuil_Emetteur_10,"Au-delà du plafond",IF(D103&gt;RL_Seuil_Emetteur_5,"Au-delà de 5 %","")))</f>
        <v/>
      </c>
      <c r="G103" s="41">
        <f t="shared" ref="G103:G134" si="11">IF(E103="NON",D103,0)</f>
        <v>2.7398557596475894E-3</v>
      </c>
    </row>
    <row r="104" spans="2:7" x14ac:dyDescent="0.2">
      <c r="B104" s="9" t="s">
        <v>434</v>
      </c>
      <c r="C104" s="13">
        <f>SUMIFS(Inventaire!$J$7:$J$175,Inventaire!$D$7:$D$175,B104)</f>
        <v>10534366.439999999</v>
      </c>
      <c r="D104" s="41">
        <f t="shared" si="9"/>
        <v>2.6827707199023106E-3</v>
      </c>
      <c r="E104" s="9" t="s">
        <v>109</v>
      </c>
      <c r="F104" s="9" t="str">
        <f t="shared" si="10"/>
        <v/>
      </c>
      <c r="G104" s="41">
        <f t="shared" si="11"/>
        <v>2.6827707199023106E-3</v>
      </c>
    </row>
    <row r="105" spans="2:7" x14ac:dyDescent="0.2">
      <c r="B105" s="9" t="s">
        <v>344</v>
      </c>
      <c r="C105" s="13">
        <f>SUMIFS(Inventaire!$J$7:$J$175,Inventaire!$D$7:$D$175,B105)</f>
        <v>10402673.42</v>
      </c>
      <c r="D105" s="41">
        <f t="shared" si="9"/>
        <v>2.6492326632869658E-3</v>
      </c>
      <c r="E105" s="9" t="s">
        <v>109</v>
      </c>
      <c r="F105" s="9" t="str">
        <f t="shared" si="10"/>
        <v/>
      </c>
      <c r="G105" s="41">
        <f t="shared" si="11"/>
        <v>2.6492326632869658E-3</v>
      </c>
    </row>
    <row r="106" spans="2:7" x14ac:dyDescent="0.2">
      <c r="B106" s="9" t="s">
        <v>218</v>
      </c>
      <c r="C106" s="13">
        <f>SUMIFS(Inventaire!$J$7:$J$175,Inventaire!$D$7:$D$175,B106)</f>
        <v>10327177.380000001</v>
      </c>
      <c r="D106" s="41">
        <f t="shared" si="9"/>
        <v>2.6300062041796088E-3</v>
      </c>
      <c r="E106" s="9" t="s">
        <v>109</v>
      </c>
      <c r="F106" s="9" t="str">
        <f t="shared" si="10"/>
        <v/>
      </c>
      <c r="G106" s="41">
        <f t="shared" si="11"/>
        <v>2.6300062041796088E-3</v>
      </c>
    </row>
    <row r="107" spans="2:7" x14ac:dyDescent="0.2">
      <c r="B107" s="9" t="s">
        <v>551</v>
      </c>
      <c r="C107" s="13">
        <f>SUMIFS(Inventaire!$J$7:$J$175,Inventaire!$D$7:$D$175,B107)</f>
        <v>10204665.039999999</v>
      </c>
      <c r="D107" s="41">
        <f t="shared" si="9"/>
        <v>2.5988061770635291E-3</v>
      </c>
      <c r="E107" s="9" t="s">
        <v>109</v>
      </c>
      <c r="F107" s="9" t="str">
        <f t="shared" si="10"/>
        <v/>
      </c>
      <c r="G107" s="41">
        <f t="shared" si="11"/>
        <v>2.5988061770635291E-3</v>
      </c>
    </row>
    <row r="108" spans="2:7" x14ac:dyDescent="0.2">
      <c r="B108" s="9" t="s">
        <v>491</v>
      </c>
      <c r="C108" s="13">
        <f>SUMIFS(Inventaire!$J$7:$J$175,Inventaire!$D$7:$D$175,B108)</f>
        <v>10122400</v>
      </c>
      <c r="D108" s="41">
        <f t="shared" si="9"/>
        <v>2.5778558672522453E-3</v>
      </c>
      <c r="E108" s="9" t="s">
        <v>109</v>
      </c>
      <c r="F108" s="9" t="str">
        <f t="shared" si="10"/>
        <v/>
      </c>
      <c r="G108" s="41">
        <f t="shared" si="11"/>
        <v>2.5778558672522453E-3</v>
      </c>
    </row>
    <row r="109" spans="2:7" x14ac:dyDescent="0.2">
      <c r="B109" s="9" t="s">
        <v>473</v>
      </c>
      <c r="C109" s="13">
        <f>SUMIFS(Inventaire!$J$7:$J$175,Inventaire!$D$7:$D$175,B109)</f>
        <v>9901787.0800000001</v>
      </c>
      <c r="D109" s="41">
        <f t="shared" si="9"/>
        <v>2.5216727179779973E-3</v>
      </c>
      <c r="E109" s="9" t="s">
        <v>109</v>
      </c>
      <c r="F109" s="9" t="str">
        <f t="shared" si="10"/>
        <v/>
      </c>
      <c r="G109" s="41">
        <f t="shared" si="11"/>
        <v>2.5216727179779973E-3</v>
      </c>
    </row>
    <row r="110" spans="2:7" x14ac:dyDescent="0.2">
      <c r="B110" s="9" t="s">
        <v>377</v>
      </c>
      <c r="C110" s="13">
        <f>SUMIFS(Inventaire!$J$7:$J$175,Inventaire!$D$7:$D$175,B110)</f>
        <v>9885788.6699999999</v>
      </c>
      <c r="D110" s="41">
        <f t="shared" si="9"/>
        <v>2.5175984277814819E-3</v>
      </c>
      <c r="E110" s="9" t="s">
        <v>109</v>
      </c>
      <c r="F110" s="9" t="str">
        <f t="shared" si="10"/>
        <v/>
      </c>
      <c r="G110" s="41">
        <f t="shared" si="11"/>
        <v>2.5175984277814819E-3</v>
      </c>
    </row>
    <row r="111" spans="2:7" x14ac:dyDescent="0.2">
      <c r="B111" s="9" t="s">
        <v>322</v>
      </c>
      <c r="C111" s="13">
        <f>SUMIFS(Inventaire!$J$7:$J$175,Inventaire!$D$7:$D$175,B111)</f>
        <v>9745895.2100000009</v>
      </c>
      <c r="D111" s="41">
        <f t="shared" si="9"/>
        <v>2.4819719778633583E-3</v>
      </c>
      <c r="E111" s="9" t="s">
        <v>109</v>
      </c>
      <c r="F111" s="9" t="str">
        <f t="shared" si="10"/>
        <v/>
      </c>
      <c r="G111" s="41">
        <f t="shared" si="11"/>
        <v>2.4819719778633583E-3</v>
      </c>
    </row>
    <row r="112" spans="2:7" x14ac:dyDescent="0.2">
      <c r="B112" s="9" t="s">
        <v>443</v>
      </c>
      <c r="C112" s="13">
        <f>SUMIFS(Inventaire!$J$7:$J$175,Inventaire!$D$7:$D$175,B112)</f>
        <v>9634371.9499999993</v>
      </c>
      <c r="D112" s="41">
        <f t="shared" si="9"/>
        <v>2.4535705226624077E-3</v>
      </c>
      <c r="E112" s="9" t="s">
        <v>109</v>
      </c>
      <c r="F112" s="9" t="str">
        <f t="shared" si="10"/>
        <v/>
      </c>
      <c r="G112" s="41">
        <f t="shared" si="11"/>
        <v>2.4535705226624077E-3</v>
      </c>
    </row>
    <row r="113" spans="2:7" x14ac:dyDescent="0.2">
      <c r="B113" s="9" t="s">
        <v>503</v>
      </c>
      <c r="C113" s="13">
        <f>SUMIFS(Inventaire!$J$7:$J$175,Inventaire!$D$7:$D$175,B113)</f>
        <v>9560827.5999999996</v>
      </c>
      <c r="D113" s="41">
        <f t="shared" si="9"/>
        <v>2.4348410974123925E-3</v>
      </c>
      <c r="E113" s="9" t="s">
        <v>109</v>
      </c>
      <c r="F113" s="9" t="str">
        <f t="shared" si="10"/>
        <v/>
      </c>
      <c r="G113" s="41">
        <f t="shared" si="11"/>
        <v>2.4348410974123925E-3</v>
      </c>
    </row>
    <row r="114" spans="2:7" x14ac:dyDescent="0.2">
      <c r="B114" s="9" t="s">
        <v>301</v>
      </c>
      <c r="C114" s="13">
        <f>SUMIFS(Inventaire!$J$7:$J$175,Inventaire!$D$7:$D$175,B114)</f>
        <v>9503323.4000000004</v>
      </c>
      <c r="D114" s="41">
        <f t="shared" si="9"/>
        <v>2.4201965922197857E-3</v>
      </c>
      <c r="E114" s="9" t="s">
        <v>109</v>
      </c>
      <c r="F114" s="9" t="str">
        <f t="shared" si="10"/>
        <v/>
      </c>
      <c r="G114" s="41">
        <f t="shared" si="11"/>
        <v>2.4201965922197857E-3</v>
      </c>
    </row>
    <row r="115" spans="2:7" x14ac:dyDescent="0.2">
      <c r="B115" s="9" t="s">
        <v>191</v>
      </c>
      <c r="C115" s="13">
        <f>SUMIFS(Inventaire!$J$7:$J$175,Inventaire!$D$7:$D$175,B115)</f>
        <v>9359776.4199999999</v>
      </c>
      <c r="D115" s="41">
        <f t="shared" si="9"/>
        <v>2.3836397060446354E-3</v>
      </c>
      <c r="E115" s="9" t="s">
        <v>109</v>
      </c>
      <c r="F115" s="9" t="str">
        <f t="shared" si="10"/>
        <v/>
      </c>
      <c r="G115" s="41">
        <f t="shared" si="11"/>
        <v>2.3836397060446354E-3</v>
      </c>
    </row>
    <row r="116" spans="2:7" x14ac:dyDescent="0.2">
      <c r="B116" s="9" t="s">
        <v>356</v>
      </c>
      <c r="C116" s="13">
        <f>SUMIFS(Inventaire!$J$7:$J$175,Inventaire!$D$7:$D$175,B116)</f>
        <v>9055503.4199999999</v>
      </c>
      <c r="D116" s="41">
        <f t="shared" si="9"/>
        <v>2.3061509742916477E-3</v>
      </c>
      <c r="E116" s="9" t="s">
        <v>109</v>
      </c>
      <c r="F116" s="9" t="str">
        <f t="shared" si="10"/>
        <v/>
      </c>
      <c r="G116" s="41">
        <f t="shared" si="11"/>
        <v>2.3061509742916477E-3</v>
      </c>
    </row>
    <row r="117" spans="2:7" x14ac:dyDescent="0.2">
      <c r="B117" s="9" t="s">
        <v>546</v>
      </c>
      <c r="C117" s="13">
        <f>SUMIFS(Inventaire!$J$7:$J$175,Inventaire!$D$7:$D$175,B117)</f>
        <v>8976992.7100000009</v>
      </c>
      <c r="D117" s="41">
        <f t="shared" si="9"/>
        <v>2.2861567738633264E-3</v>
      </c>
      <c r="E117" s="9" t="s">
        <v>109</v>
      </c>
      <c r="F117" s="9" t="str">
        <f t="shared" si="10"/>
        <v/>
      </c>
      <c r="G117" s="41">
        <f t="shared" si="11"/>
        <v>2.2861567738633264E-3</v>
      </c>
    </row>
    <row r="118" spans="2:7" x14ac:dyDescent="0.2">
      <c r="B118" s="9" t="s">
        <v>230</v>
      </c>
      <c r="C118" s="13">
        <f>SUMIFS(Inventaire!$J$7:$J$175,Inventaire!$D$7:$D$175,B118)</f>
        <v>8371658.6299999999</v>
      </c>
      <c r="D118" s="41">
        <f t="shared" si="9"/>
        <v>2.1319972850290833E-3</v>
      </c>
      <c r="E118" s="9" t="s">
        <v>109</v>
      </c>
      <c r="F118" s="9" t="str">
        <f t="shared" si="10"/>
        <v/>
      </c>
      <c r="G118" s="41">
        <f t="shared" si="11"/>
        <v>2.1319972850290833E-3</v>
      </c>
    </row>
    <row r="119" spans="2:7" x14ac:dyDescent="0.2">
      <c r="B119" s="9" t="s">
        <v>528</v>
      </c>
      <c r="C119" s="13">
        <f>SUMIFS(Inventaire!$J$7:$J$175,Inventaire!$D$7:$D$175,B119)</f>
        <v>8097642.7400000002</v>
      </c>
      <c r="D119" s="41">
        <f t="shared" si="9"/>
        <v>2.0622140844287471E-3</v>
      </c>
      <c r="E119" s="9" t="s">
        <v>109</v>
      </c>
      <c r="F119" s="9" t="str">
        <f t="shared" si="10"/>
        <v/>
      </c>
      <c r="G119" s="41">
        <f t="shared" si="11"/>
        <v>2.0622140844287471E-3</v>
      </c>
    </row>
    <row r="120" spans="2:7" x14ac:dyDescent="0.2">
      <c r="B120" s="9" t="s">
        <v>572</v>
      </c>
      <c r="C120" s="13">
        <f>SUMIFS(Inventaire!$J$7:$J$175,Inventaire!$D$7:$D$175,B120)</f>
        <v>8054768.0300000003</v>
      </c>
      <c r="D120" s="41">
        <f t="shared" si="9"/>
        <v>2.0512952487049822E-3</v>
      </c>
      <c r="E120" s="9" t="s">
        <v>109</v>
      </c>
      <c r="F120" s="9" t="str">
        <f t="shared" si="10"/>
        <v/>
      </c>
      <c r="G120" s="41">
        <f t="shared" si="11"/>
        <v>2.0512952487049822E-3</v>
      </c>
    </row>
    <row r="121" spans="2:7" x14ac:dyDescent="0.2">
      <c r="B121" s="9" t="s">
        <v>506</v>
      </c>
      <c r="C121" s="13">
        <f>SUMIFS(Inventaire!$J$7:$J$175,Inventaire!$D$7:$D$175,B121)</f>
        <v>7849712.7800000003</v>
      </c>
      <c r="D121" s="41">
        <f t="shared" si="9"/>
        <v>1.9990741470568181E-3</v>
      </c>
      <c r="E121" s="9" t="s">
        <v>109</v>
      </c>
      <c r="F121" s="9" t="str">
        <f t="shared" si="10"/>
        <v/>
      </c>
      <c r="G121" s="41">
        <f t="shared" si="11"/>
        <v>1.9990741470568181E-3</v>
      </c>
    </row>
    <row r="122" spans="2:7" x14ac:dyDescent="0.2">
      <c r="B122" s="9" t="s">
        <v>194</v>
      </c>
      <c r="C122" s="13">
        <f>SUMIFS(Inventaire!$J$7:$J$175,Inventaire!$D$7:$D$175,B122)</f>
        <v>7558400</v>
      </c>
      <c r="D122" s="41">
        <f t="shared" si="9"/>
        <v>1.9248859743775559E-3</v>
      </c>
      <c r="E122" s="9" t="s">
        <v>109</v>
      </c>
      <c r="F122" s="9" t="str">
        <f t="shared" si="10"/>
        <v/>
      </c>
      <c r="G122" s="41">
        <f t="shared" si="11"/>
        <v>1.9248859743775559E-3</v>
      </c>
    </row>
    <row r="123" spans="2:7" x14ac:dyDescent="0.2">
      <c r="B123" s="9" t="s">
        <v>404</v>
      </c>
      <c r="C123" s="13">
        <f>SUMIFS(Inventaire!$J$7:$J$175,Inventaire!$D$7:$D$175,B123)</f>
        <v>7225963.1799999997</v>
      </c>
      <c r="D123" s="41">
        <f t="shared" si="9"/>
        <v>1.8402248063810649E-3</v>
      </c>
      <c r="E123" s="9" t="s">
        <v>109</v>
      </c>
      <c r="F123" s="9" t="str">
        <f t="shared" si="10"/>
        <v/>
      </c>
      <c r="G123" s="41">
        <f t="shared" si="11"/>
        <v>1.8402248063810649E-3</v>
      </c>
    </row>
    <row r="124" spans="2:7" x14ac:dyDescent="0.2">
      <c r="B124" s="9" t="s">
        <v>341</v>
      </c>
      <c r="C124" s="13">
        <f>SUMIFS(Inventaire!$J$7:$J$175,Inventaire!$D$7:$D$175,B124)</f>
        <v>7224969.0399999991</v>
      </c>
      <c r="D124" s="41">
        <f t="shared" si="9"/>
        <v>1.8399716302931934E-3</v>
      </c>
      <c r="E124" s="9" t="s">
        <v>109</v>
      </c>
      <c r="F124" s="9" t="str">
        <f t="shared" si="10"/>
        <v/>
      </c>
      <c r="G124" s="41">
        <f t="shared" si="11"/>
        <v>1.8399716302931934E-3</v>
      </c>
    </row>
    <row r="125" spans="2:7" x14ac:dyDescent="0.2">
      <c r="B125" s="9" t="s">
        <v>227</v>
      </c>
      <c r="C125" s="13">
        <f>SUMIFS(Inventaire!$J$7:$J$175,Inventaire!$D$7:$D$175,B125)</f>
        <v>6940022.0499999998</v>
      </c>
      <c r="D125" s="41">
        <f t="shared" si="9"/>
        <v>1.7674046234541665E-3</v>
      </c>
      <c r="E125" s="9" t="s">
        <v>109</v>
      </c>
      <c r="F125" s="9" t="str">
        <f t="shared" si="10"/>
        <v/>
      </c>
      <c r="G125" s="41">
        <f t="shared" si="11"/>
        <v>1.7674046234541665E-3</v>
      </c>
    </row>
    <row r="126" spans="2:7" x14ac:dyDescent="0.2">
      <c r="B126" s="9" t="s">
        <v>485</v>
      </c>
      <c r="C126" s="13">
        <f>SUMIFS(Inventaire!$J$7:$J$175,Inventaire!$D$7:$D$175,B126)</f>
        <v>6678221.3099999996</v>
      </c>
      <c r="D126" s="41">
        <f t="shared" si="9"/>
        <v>1.7007322361092701E-3</v>
      </c>
      <c r="E126" s="9" t="s">
        <v>109</v>
      </c>
      <c r="F126" s="9" t="str">
        <f t="shared" si="10"/>
        <v/>
      </c>
      <c r="G126" s="41">
        <f t="shared" si="11"/>
        <v>1.7007322361092701E-3</v>
      </c>
    </row>
    <row r="127" spans="2:7" x14ac:dyDescent="0.2">
      <c r="B127" s="9" t="s">
        <v>295</v>
      </c>
      <c r="C127" s="13">
        <f>SUMIFS(Inventaire!$J$7:$J$175,Inventaire!$D$7:$D$175,B127)</f>
        <v>6081983.6900000004</v>
      </c>
      <c r="D127" s="41">
        <f t="shared" si="9"/>
        <v>1.5488893285978585E-3</v>
      </c>
      <c r="E127" s="9" t="s">
        <v>109</v>
      </c>
      <c r="F127" s="9" t="str">
        <f t="shared" si="10"/>
        <v/>
      </c>
      <c r="G127" s="41">
        <f t="shared" si="11"/>
        <v>1.5488893285978585E-3</v>
      </c>
    </row>
    <row r="128" spans="2:7" x14ac:dyDescent="0.2">
      <c r="B128" s="9" t="s">
        <v>203</v>
      </c>
      <c r="C128" s="13">
        <f>SUMIFS(Inventaire!$J$7:$J$175,Inventaire!$D$7:$D$175,B128)</f>
        <v>5852284.0199999996</v>
      </c>
      <c r="D128" s="41">
        <f t="shared" si="9"/>
        <v>1.4903920708313795E-3</v>
      </c>
      <c r="E128" s="9" t="s">
        <v>109</v>
      </c>
      <c r="F128" s="9" t="str">
        <f t="shared" si="10"/>
        <v/>
      </c>
      <c r="G128" s="41">
        <f t="shared" si="11"/>
        <v>1.4903920708313795E-3</v>
      </c>
    </row>
    <row r="129" spans="2:7" x14ac:dyDescent="0.2">
      <c r="B129" s="9" t="s">
        <v>215</v>
      </c>
      <c r="C129" s="13">
        <f>SUMIFS(Inventaire!$J$7:$J$175,Inventaire!$D$7:$D$175,B129)</f>
        <v>5699833.9699999997</v>
      </c>
      <c r="D129" s="41">
        <f t="shared" si="9"/>
        <v>1.4515678536639689E-3</v>
      </c>
      <c r="E129" s="9" t="s">
        <v>109</v>
      </c>
      <c r="F129" s="9" t="str">
        <f t="shared" si="10"/>
        <v/>
      </c>
      <c r="G129" s="41">
        <f t="shared" si="11"/>
        <v>1.4515678536639689E-3</v>
      </c>
    </row>
    <row r="130" spans="2:7" x14ac:dyDescent="0.2">
      <c r="B130" s="9" t="s">
        <v>313</v>
      </c>
      <c r="C130" s="13">
        <f>SUMIFS(Inventaire!$J$7:$J$175,Inventaire!$D$7:$D$175,B130)</f>
        <v>5676855.7599999998</v>
      </c>
      <c r="D130" s="41">
        <f t="shared" si="9"/>
        <v>1.4457160286553293E-3</v>
      </c>
      <c r="E130" s="9" t="s">
        <v>109</v>
      </c>
      <c r="F130" s="9" t="str">
        <f t="shared" si="10"/>
        <v/>
      </c>
      <c r="G130" s="41">
        <f t="shared" si="11"/>
        <v>1.4457160286553293E-3</v>
      </c>
    </row>
    <row r="131" spans="2:7" x14ac:dyDescent="0.2">
      <c r="B131" s="9" t="s">
        <v>398</v>
      </c>
      <c r="C131" s="13">
        <f>SUMIFS(Inventaire!$J$7:$J$175,Inventaire!$D$7:$D$175,B131)</f>
        <v>5604683.5700000003</v>
      </c>
      <c r="D131" s="41">
        <f t="shared" si="9"/>
        <v>1.4273360492587492E-3</v>
      </c>
      <c r="E131" s="9" t="s">
        <v>109</v>
      </c>
      <c r="F131" s="9" t="str">
        <f t="shared" si="10"/>
        <v/>
      </c>
      <c r="G131" s="41">
        <f t="shared" si="11"/>
        <v>1.4273360492587492E-3</v>
      </c>
    </row>
    <row r="132" spans="2:7" x14ac:dyDescent="0.2">
      <c r="B132" s="9" t="s">
        <v>350</v>
      </c>
      <c r="C132" s="13">
        <f>SUMIFS(Inventaire!$J$7:$J$175,Inventaire!$D$7:$D$175,B132)</f>
        <v>5585021.5099999998</v>
      </c>
      <c r="D132" s="41">
        <f t="shared" si="9"/>
        <v>1.4223287430138599E-3</v>
      </c>
      <c r="E132" s="9" t="s">
        <v>109</v>
      </c>
      <c r="F132" s="9" t="str">
        <f t="shared" si="10"/>
        <v/>
      </c>
      <c r="G132" s="41">
        <f t="shared" si="11"/>
        <v>1.4223287430138599E-3</v>
      </c>
    </row>
    <row r="133" spans="2:7" x14ac:dyDescent="0.2">
      <c r="B133" s="9" t="s">
        <v>554</v>
      </c>
      <c r="C133" s="13">
        <f>SUMIFS(Inventaire!$J$7:$J$175,Inventaire!$D$7:$D$175,B133)</f>
        <v>5580605.25</v>
      </c>
      <c r="D133" s="41">
        <f t="shared" si="9"/>
        <v>1.4212040609471255E-3</v>
      </c>
      <c r="E133" s="9" t="s">
        <v>109</v>
      </c>
      <c r="F133" s="9" t="str">
        <f t="shared" si="10"/>
        <v/>
      </c>
      <c r="G133" s="41">
        <f t="shared" si="11"/>
        <v>1.4212040609471255E-3</v>
      </c>
    </row>
    <row r="134" spans="2:7" x14ac:dyDescent="0.2">
      <c r="B134" s="9" t="s">
        <v>347</v>
      </c>
      <c r="C134" s="13">
        <f>SUMIFS(Inventaire!$J$7:$J$175,Inventaire!$D$7:$D$175,B134)</f>
        <v>5251090.3</v>
      </c>
      <c r="D134" s="41">
        <f t="shared" si="9"/>
        <v>1.3372870010399068E-3</v>
      </c>
      <c r="E134" s="9" t="s">
        <v>109</v>
      </c>
      <c r="F134" s="9" t="str">
        <f t="shared" si="10"/>
        <v/>
      </c>
      <c r="G134" s="41">
        <f t="shared" si="11"/>
        <v>1.3372870010399068E-3</v>
      </c>
    </row>
    <row r="135" spans="2:7" x14ac:dyDescent="0.2">
      <c r="B135" s="9" t="s">
        <v>461</v>
      </c>
      <c r="C135" s="13">
        <f>SUMIFS(Inventaire!$J$7:$J$175,Inventaire!$D$7:$D$175,B135)</f>
        <v>5236527.08</v>
      </c>
      <c r="D135" s="41">
        <f t="shared" ref="D135:D166" si="12">C135/RL_Actif_Net</f>
        <v>1.3335782084489122E-3</v>
      </c>
      <c r="E135" s="9" t="s">
        <v>109</v>
      </c>
      <c r="F135" s="9" t="str">
        <f t="shared" ref="F135:F166" si="13">IF(E135="OUI","Souverain, régime dérogatoire",IF(D135&gt;RL_Seuil_Emetteur_10,"Au-delà du plafond",IF(D135&gt;RL_Seuil_Emetteur_5,"Au-delà de 5 %","")))</f>
        <v/>
      </c>
      <c r="G135" s="41">
        <f t="shared" ref="G135:G151" si="14">IF(E135="NON",D135,0)</f>
        <v>1.3335782084489122E-3</v>
      </c>
    </row>
    <row r="136" spans="2:7" x14ac:dyDescent="0.2">
      <c r="B136" s="9" t="s">
        <v>310</v>
      </c>
      <c r="C136" s="13">
        <f>SUMIFS(Inventaire!$J$7:$J$175,Inventaire!$D$7:$D$175,B136)</f>
        <v>5204727.05</v>
      </c>
      <c r="D136" s="41">
        <f t="shared" si="12"/>
        <v>1.3254797442591648E-3</v>
      </c>
      <c r="E136" s="9" t="s">
        <v>109</v>
      </c>
      <c r="F136" s="9" t="str">
        <f t="shared" si="13"/>
        <v/>
      </c>
      <c r="G136" s="41">
        <f t="shared" si="14"/>
        <v>1.3254797442591648E-3</v>
      </c>
    </row>
    <row r="137" spans="2:7" x14ac:dyDescent="0.2">
      <c r="B137" s="9" t="s">
        <v>401</v>
      </c>
      <c r="C137" s="13">
        <f>SUMIFS(Inventaire!$J$7:$J$175,Inventaire!$D$7:$D$175,B137)</f>
        <v>4967508.6100000003</v>
      </c>
      <c r="D137" s="41">
        <f t="shared" si="12"/>
        <v>1.2650676930287825E-3</v>
      </c>
      <c r="E137" s="9" t="s">
        <v>109</v>
      </c>
      <c r="F137" s="9" t="str">
        <f t="shared" si="13"/>
        <v/>
      </c>
      <c r="G137" s="41">
        <f t="shared" si="14"/>
        <v>1.2650676930287825E-3</v>
      </c>
    </row>
    <row r="138" spans="2:7" x14ac:dyDescent="0.2">
      <c r="B138" s="9" t="s">
        <v>221</v>
      </c>
      <c r="C138" s="13">
        <f>SUMIFS(Inventaire!$J$7:$J$175,Inventaire!$D$7:$D$175,B138)</f>
        <v>4934140.75</v>
      </c>
      <c r="D138" s="41">
        <f t="shared" si="12"/>
        <v>1.2565699520109752E-3</v>
      </c>
      <c r="E138" s="9" t="s">
        <v>109</v>
      </c>
      <c r="F138" s="9" t="str">
        <f t="shared" si="13"/>
        <v/>
      </c>
      <c r="G138" s="41">
        <f t="shared" si="14"/>
        <v>1.2565699520109752E-3</v>
      </c>
    </row>
    <row r="139" spans="2:7" x14ac:dyDescent="0.2">
      <c r="B139" s="9" t="s">
        <v>464</v>
      </c>
      <c r="C139" s="13">
        <f>SUMIFS(Inventaire!$J$7:$J$175,Inventaire!$D$7:$D$175,B139)</f>
        <v>4720835</v>
      </c>
      <c r="D139" s="41">
        <f t="shared" si="12"/>
        <v>1.2022477083576775E-3</v>
      </c>
      <c r="E139" s="9" t="s">
        <v>109</v>
      </c>
      <c r="F139" s="9" t="str">
        <f t="shared" si="13"/>
        <v/>
      </c>
      <c r="G139" s="41">
        <f t="shared" si="14"/>
        <v>1.2022477083576775E-3</v>
      </c>
    </row>
    <row r="140" spans="2:7" x14ac:dyDescent="0.2">
      <c r="B140" s="9" t="s">
        <v>325</v>
      </c>
      <c r="C140" s="13">
        <f>SUMIFS(Inventaire!$J$7:$J$175,Inventaire!$D$7:$D$175,B140)</f>
        <v>4424475.82</v>
      </c>
      <c r="D140" s="41">
        <f t="shared" si="12"/>
        <v>1.1267743768377746E-3</v>
      </c>
      <c r="E140" s="9" t="s">
        <v>109</v>
      </c>
      <c r="F140" s="9" t="str">
        <f t="shared" si="13"/>
        <v/>
      </c>
      <c r="G140" s="41">
        <f t="shared" si="14"/>
        <v>1.1267743768377746E-3</v>
      </c>
    </row>
    <row r="141" spans="2:7" x14ac:dyDescent="0.2">
      <c r="B141" s="9" t="s">
        <v>298</v>
      </c>
      <c r="C141" s="13">
        <f>SUMIFS(Inventaire!$J$7:$J$175,Inventaire!$D$7:$D$175,B141)</f>
        <v>4304461.4000000004</v>
      </c>
      <c r="D141" s="41">
        <f t="shared" si="12"/>
        <v>1.0962104911237272E-3</v>
      </c>
      <c r="E141" s="9" t="s">
        <v>109</v>
      </c>
      <c r="F141" s="9" t="str">
        <f t="shared" si="13"/>
        <v/>
      </c>
      <c r="G141" s="41">
        <f t="shared" si="14"/>
        <v>1.0962104911237272E-3</v>
      </c>
    </row>
    <row r="142" spans="2:7" x14ac:dyDescent="0.2">
      <c r="B142" s="9" t="s">
        <v>387</v>
      </c>
      <c r="C142" s="13">
        <f>SUMIFS(Inventaire!$J$7:$J$175,Inventaire!$D$7:$D$175,B142)</f>
        <v>4274704.93</v>
      </c>
      <c r="D142" s="41">
        <f t="shared" si="12"/>
        <v>1.08863245718136E-3</v>
      </c>
      <c r="E142" s="9" t="s">
        <v>109</v>
      </c>
      <c r="F142" s="9" t="str">
        <f t="shared" si="13"/>
        <v/>
      </c>
      <c r="G142" s="41">
        <f t="shared" si="14"/>
        <v>1.08863245718136E-3</v>
      </c>
    </row>
    <row r="143" spans="2:7" x14ac:dyDescent="0.2">
      <c r="B143" s="9" t="s">
        <v>316</v>
      </c>
      <c r="C143" s="13">
        <f>SUMIFS(Inventaire!$J$7:$J$175,Inventaire!$D$7:$D$175,B143)</f>
        <v>4237799.49</v>
      </c>
      <c r="D143" s="41">
        <f t="shared" si="12"/>
        <v>1.0792338061660352E-3</v>
      </c>
      <c r="E143" s="9" t="s">
        <v>109</v>
      </c>
      <c r="F143" s="9" t="str">
        <f t="shared" si="13"/>
        <v/>
      </c>
      <c r="G143" s="41">
        <f t="shared" si="14"/>
        <v>1.0792338061660352E-3</v>
      </c>
    </row>
    <row r="144" spans="2:7" x14ac:dyDescent="0.2">
      <c r="B144" s="9" t="s">
        <v>359</v>
      </c>
      <c r="C144" s="13">
        <f>SUMIFS(Inventaire!$J$7:$J$175,Inventaire!$D$7:$D$175,B144)</f>
        <v>4097133.9</v>
      </c>
      <c r="D144" s="41">
        <f t="shared" si="12"/>
        <v>1.0434107191015049E-3</v>
      </c>
      <c r="E144" s="9" t="s">
        <v>109</v>
      </c>
      <c r="F144" s="9" t="str">
        <f t="shared" si="13"/>
        <v/>
      </c>
      <c r="G144" s="41">
        <f t="shared" si="14"/>
        <v>1.0434107191015049E-3</v>
      </c>
    </row>
    <row r="145" spans="2:7" x14ac:dyDescent="0.2">
      <c r="B145" s="9" t="s">
        <v>494</v>
      </c>
      <c r="C145" s="13">
        <f>SUMIFS(Inventaire!$J$7:$J$175,Inventaire!$D$7:$D$175,B145)</f>
        <v>3385491.73</v>
      </c>
      <c r="D145" s="41">
        <f t="shared" si="12"/>
        <v>8.6217791430040849E-4</v>
      </c>
      <c r="E145" s="9" t="s">
        <v>109</v>
      </c>
      <c r="F145" s="9" t="str">
        <f t="shared" si="13"/>
        <v/>
      </c>
      <c r="G145" s="41">
        <f t="shared" si="14"/>
        <v>8.6217791430040849E-4</v>
      </c>
    </row>
    <row r="146" spans="2:7" x14ac:dyDescent="0.2">
      <c r="B146" s="9" t="s">
        <v>212</v>
      </c>
      <c r="C146" s="13">
        <f>SUMIFS(Inventaire!$J$7:$J$175,Inventaire!$D$7:$D$175,B146)</f>
        <v>3329712.25</v>
      </c>
      <c r="D146" s="41">
        <f t="shared" si="12"/>
        <v>8.4797264086819088E-4</v>
      </c>
      <c r="E146" s="9" t="s">
        <v>109</v>
      </c>
      <c r="F146" s="9" t="str">
        <f t="shared" si="13"/>
        <v/>
      </c>
      <c r="G146" s="41">
        <f t="shared" si="14"/>
        <v>8.4797264086819088E-4</v>
      </c>
    </row>
    <row r="147" spans="2:7" x14ac:dyDescent="0.2">
      <c r="B147" s="9" t="s">
        <v>224</v>
      </c>
      <c r="C147" s="13">
        <f>SUMIFS(Inventaire!$J$7:$J$175,Inventaire!$D$7:$D$175,B147)</f>
        <v>2635797.7000000002</v>
      </c>
      <c r="D147" s="41">
        <f t="shared" si="12"/>
        <v>6.7125450148531717E-4</v>
      </c>
      <c r="E147" s="9" t="s">
        <v>109</v>
      </c>
      <c r="F147" s="9" t="str">
        <f t="shared" si="13"/>
        <v/>
      </c>
      <c r="G147" s="41">
        <f t="shared" si="14"/>
        <v>6.7125450148531717E-4</v>
      </c>
    </row>
    <row r="148" spans="2:7" x14ac:dyDescent="0.2">
      <c r="B148" s="9" t="s">
        <v>333</v>
      </c>
      <c r="C148" s="13">
        <f>SUMIFS(Inventaire!$J$7:$J$175,Inventaire!$D$7:$D$175,B148)</f>
        <v>1412963.01</v>
      </c>
      <c r="D148" s="41">
        <f t="shared" si="12"/>
        <v>3.5983709254118522E-4</v>
      </c>
      <c r="E148" s="9" t="s">
        <v>109</v>
      </c>
      <c r="F148" s="9" t="str">
        <f t="shared" si="13"/>
        <v/>
      </c>
      <c r="G148" s="41">
        <f t="shared" si="14"/>
        <v>3.5983709254118522E-4</v>
      </c>
    </row>
    <row r="149" spans="2:7" x14ac:dyDescent="0.2">
      <c r="B149" s="9" t="s">
        <v>371</v>
      </c>
      <c r="C149" s="13">
        <f>SUMIFS(Inventaire!$J$7:$J$175,Inventaire!$D$7:$D$175,B149)</f>
        <v>181737.82</v>
      </c>
      <c r="D149" s="41">
        <f t="shared" si="12"/>
        <v>4.6282888009625436E-5</v>
      </c>
      <c r="E149" s="9" t="s">
        <v>109</v>
      </c>
      <c r="F149" s="9" t="str">
        <f t="shared" si="13"/>
        <v/>
      </c>
      <c r="G149" s="41">
        <f t="shared" si="14"/>
        <v>4.6282888009625436E-5</v>
      </c>
    </row>
    <row r="150" spans="2:7" x14ac:dyDescent="0.2">
      <c r="B150" s="9" t="s">
        <v>685</v>
      </c>
      <c r="C150" s="13">
        <f>SUMIFS(Inventaire!$J$7:$J$175,Inventaire!$D$7:$D$175,B150)</f>
        <v>0</v>
      </c>
      <c r="D150" s="41">
        <f t="shared" si="12"/>
        <v>0</v>
      </c>
      <c r="E150" s="9" t="s">
        <v>109</v>
      </c>
      <c r="F150" s="9" t="str">
        <f t="shared" si="13"/>
        <v/>
      </c>
      <c r="G150" s="41">
        <f t="shared" si="14"/>
        <v>0</v>
      </c>
    </row>
    <row r="151" spans="2:7" x14ac:dyDescent="0.2">
      <c r="B151" s="9" t="s">
        <v>691</v>
      </c>
      <c r="C151" s="13">
        <f>SUMIFS(Inventaire!$J$7:$J$175,Inventaire!$D$7:$D$175,B151)</f>
        <v>0</v>
      </c>
      <c r="D151" s="41">
        <f t="shared" si="12"/>
        <v>0</v>
      </c>
      <c r="E151" s="9" t="s">
        <v>109</v>
      </c>
      <c r="F151" s="9" t="str">
        <f t="shared" si="13"/>
        <v/>
      </c>
      <c r="G151" s="41">
        <f t="shared" si="14"/>
        <v>0</v>
      </c>
    </row>
  </sheetData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C22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34" customWidth="1"/>
    <col min="3" max="3" width="110" customWidth="1"/>
  </cols>
  <sheetData>
    <row r="2" spans="2:3" ht="18" x14ac:dyDescent="0.2">
      <c r="B2" s="1" t="s">
        <v>706</v>
      </c>
    </row>
    <row r="5" spans="2:3" x14ac:dyDescent="0.2">
      <c r="B5" s="8" t="s">
        <v>707</v>
      </c>
      <c r="C5" s="9" t="s">
        <v>708</v>
      </c>
    </row>
    <row r="6" spans="2:3" x14ac:dyDescent="0.2">
      <c r="B6" s="8" t="s">
        <v>709</v>
      </c>
      <c r="C6" s="9" t="s">
        <v>710</v>
      </c>
    </row>
    <row r="7" spans="2:3" x14ac:dyDescent="0.2">
      <c r="B7" s="8" t="s">
        <v>711</v>
      </c>
      <c r="C7" s="9" t="s">
        <v>712</v>
      </c>
    </row>
    <row r="8" spans="2:3" x14ac:dyDescent="0.2">
      <c r="B8" s="8" t="s">
        <v>713</v>
      </c>
      <c r="C8" s="9" t="s">
        <v>714</v>
      </c>
    </row>
    <row r="9" spans="2:3" x14ac:dyDescent="0.2">
      <c r="B9" s="8" t="s">
        <v>41</v>
      </c>
      <c r="C9" s="9" t="s">
        <v>715</v>
      </c>
    </row>
    <row r="10" spans="2:3" x14ac:dyDescent="0.2">
      <c r="B10" s="8" t="s">
        <v>716</v>
      </c>
      <c r="C10" s="9" t="s">
        <v>717</v>
      </c>
    </row>
    <row r="11" spans="2:3" x14ac:dyDescent="0.2">
      <c r="B11" s="8" t="s">
        <v>718</v>
      </c>
      <c r="C11" s="9" t="s">
        <v>719</v>
      </c>
    </row>
    <row r="12" spans="2:3" x14ac:dyDescent="0.2">
      <c r="B12" s="8" t="s">
        <v>720</v>
      </c>
      <c r="C12" s="9" t="s">
        <v>721</v>
      </c>
    </row>
    <row r="13" spans="2:3" x14ac:dyDescent="0.2">
      <c r="B13" s="8" t="s">
        <v>722</v>
      </c>
      <c r="C13" s="9" t="s">
        <v>723</v>
      </c>
    </row>
    <row r="14" spans="2:3" x14ac:dyDescent="0.2">
      <c r="B14" s="8" t="s">
        <v>724</v>
      </c>
      <c r="C14" s="9" t="s">
        <v>725</v>
      </c>
    </row>
    <row r="15" spans="2:3" x14ac:dyDescent="0.2">
      <c r="B15" s="8" t="s">
        <v>726</v>
      </c>
      <c r="C15" s="9" t="s">
        <v>727</v>
      </c>
    </row>
    <row r="16" spans="2:3" x14ac:dyDescent="0.2">
      <c r="B16" s="8" t="s">
        <v>728</v>
      </c>
      <c r="C16" s="9" t="s">
        <v>729</v>
      </c>
    </row>
    <row r="17" spans="2:3" x14ac:dyDescent="0.2">
      <c r="B17" s="8" t="s">
        <v>730</v>
      </c>
      <c r="C17" s="9" t="s">
        <v>731</v>
      </c>
    </row>
    <row r="18" spans="2:3" x14ac:dyDescent="0.2">
      <c r="B18" s="8" t="s">
        <v>732</v>
      </c>
      <c r="C18" s="9" t="s">
        <v>733</v>
      </c>
    </row>
    <row r="19" spans="2:3" x14ac:dyDescent="0.2">
      <c r="B19" s="8" t="s">
        <v>734</v>
      </c>
      <c r="C19" s="9" t="s">
        <v>735</v>
      </c>
    </row>
    <row r="20" spans="2:3" x14ac:dyDescent="0.2">
      <c r="B20" s="8" t="s">
        <v>736</v>
      </c>
      <c r="C20" s="9" t="s">
        <v>737</v>
      </c>
    </row>
    <row r="21" spans="2:3" x14ac:dyDescent="0.2">
      <c r="B21" s="8" t="s">
        <v>738</v>
      </c>
      <c r="C21" s="9" t="s">
        <v>739</v>
      </c>
    </row>
    <row r="22" spans="2:3" x14ac:dyDescent="0.2">
      <c r="B22" s="8" t="s">
        <v>740</v>
      </c>
      <c r="C22" s="9" t="s">
        <v>741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30</vt:i4>
      </vt:variant>
    </vt:vector>
  </HeadingPairs>
  <TitlesOfParts>
    <vt:vector size="41" baseType="lpstr">
      <vt:lpstr>Comité</vt:lpstr>
      <vt:lpstr>Paramètres</vt:lpstr>
      <vt:lpstr>Positions</vt:lpstr>
      <vt:lpstr>Calculs</vt:lpstr>
      <vt:lpstr>Historique</vt:lpstr>
      <vt:lpstr>Flux</vt:lpstr>
      <vt:lpstr>Backtest</vt:lpstr>
      <vt:lpstr>Contrôles</vt:lpstr>
      <vt:lpstr>Inventaire</vt:lpstr>
      <vt:lpstr>Émetteurs</vt:lpstr>
      <vt:lpstr>Sources</vt:lpstr>
      <vt:lpstr>RL_Actif_Net</vt:lpstr>
      <vt:lpstr>RL_Age_Prix</vt:lpstr>
      <vt:lpstr>RL_Choc_Spread</vt:lpstr>
      <vt:lpstr>RL_Choc_Taux</vt:lpstr>
      <vt:lpstr>RL_Confiance</vt:lpstr>
      <vt:lpstr>RL_Date</vt:lpstr>
      <vt:lpstr>RL_Ecart_Contributions</vt:lpstr>
      <vt:lpstr>RL_ES_Apres</vt:lpstr>
      <vt:lpstr>RL_ES_Initial</vt:lpstr>
      <vt:lpstr>RL_Horodatage</vt:lpstr>
      <vt:lpstr>RL_ISIN_Vente</vt:lpstr>
      <vt:lpstr>RL_Liste_ISIN</vt:lpstr>
      <vt:lpstr>RL_Montant_Vente</vt:lpstr>
      <vt:lpstr>RL_NAV</vt:lpstr>
      <vt:lpstr>RL_Poids_Apres</vt:lpstr>
      <vt:lpstr>RL_Sensibilite_Spread</vt:lpstr>
      <vt:lpstr>RL_Sensibilites</vt:lpstr>
      <vt:lpstr>RL_Seuil_Cumul_40</vt:lpstr>
      <vt:lpstr>RL_Seuil_Emetteur_10</vt:lpstr>
      <vt:lpstr>RL_Seuil_Emetteur_5</vt:lpstr>
      <vt:lpstr>RL_Seuil_Ligne</vt:lpstr>
      <vt:lpstr>RL_Spread_Revue</vt:lpstr>
      <vt:lpstr>RL_Statut_VBA</vt:lpstr>
      <vt:lpstr>RL_Tableau_Positions</vt:lpstr>
      <vt:lpstr>RL_Valide</vt:lpstr>
      <vt:lpstr>RL_VaR_Apres</vt:lpstr>
      <vt:lpstr>RL_VaR_Initial</vt:lpstr>
      <vt:lpstr>RL_Variations</vt:lpstr>
      <vt:lpstr>RL_Zone_Comite</vt:lpstr>
      <vt:lpstr>Comité!Zone_d_impression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khazala.haikalzakaria@outlook.fr</cp:lastModifiedBy>
  <dcterms:created xsi:type="dcterms:W3CDTF">2026-10-06T23:54:18Z</dcterms:created>
  <dcterms:modified xsi:type="dcterms:W3CDTF">2026-10-07T00:00:17Z</dcterms:modified>
</cp:coreProperties>
</file>